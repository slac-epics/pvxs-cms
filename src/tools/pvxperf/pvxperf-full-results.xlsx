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eorge/Projects/com/slac/pvxs-cms/src/tools/pvxperf/"/>
    </mc:Choice>
  </mc:AlternateContent>
  <xr:revisionPtr revIDLastSave="0" documentId="8_{D1DD4272-5FFD-4149-9242-C7635FCCBC00}" xr6:coauthVersionLast="47" xr6:coauthVersionMax="47" xr10:uidLastSave="{00000000-0000-0000-0000-000000000000}"/>
  <bookViews>
    <workbookView xWindow="6700" yWindow="760" windowWidth="48300" windowHeight="28180" activeTab="2" xr2:uid="{852995C9-3A88-0C47-98B1-269C06BFC988}"/>
  </bookViews>
  <sheets>
    <sheet name="Summary" sheetId="4" r:id="rId1"/>
    <sheet name="charts" sheetId="3" r:id="rId2"/>
    <sheet name="pivot" sheetId="10" r:id="rId3"/>
    <sheet name="seq" sheetId="2" r:id="rId4"/>
    <sheet name="par" sheetId="5" r:id="rId5"/>
    <sheet name="all" sheetId="8" r:id="rId6"/>
    <sheet name="csv" sheetId="1" r:id="rId7"/>
  </sheets>
  <calcPr calcId="181029"/>
  <pivotCaches>
    <pivotCache cacheId="11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8" l="1"/>
  <c r="K10" i="8" s="1"/>
  <c r="K11" i="8" s="1"/>
  <c r="K12" i="8" s="1"/>
  <c r="K13" i="8" s="1"/>
  <c r="K15" i="8"/>
  <c r="K16" i="8" s="1"/>
  <c r="K17" i="8" s="1"/>
  <c r="K18" i="8" s="1"/>
  <c r="K19" i="8" s="1"/>
  <c r="K21" i="8"/>
  <c r="K22" i="8" s="1"/>
  <c r="K23" i="8" s="1"/>
  <c r="K24" i="8" s="1"/>
  <c r="K25" i="8" s="1"/>
  <c r="K27" i="8"/>
  <c r="K28" i="8" s="1"/>
  <c r="K29" i="8" s="1"/>
  <c r="K30" i="8" s="1"/>
  <c r="K31" i="8" s="1"/>
  <c r="Q3" i="8"/>
  <c r="Q4" i="8" s="1"/>
  <c r="Q5" i="8" s="1"/>
  <c r="Q6" i="8" s="1"/>
  <c r="Q7" i="8" s="1"/>
  <c r="Q9" i="8"/>
  <c r="Q10" i="8" s="1"/>
  <c r="Q11" i="8" s="1"/>
  <c r="Q12" i="8" s="1"/>
  <c r="Q13" i="8" s="1"/>
  <c r="Q15" i="8"/>
  <c r="Q16" i="8" s="1"/>
  <c r="Q17" i="8" s="1"/>
  <c r="Q18" i="8" s="1"/>
  <c r="Q19" i="8" s="1"/>
  <c r="Q21" i="8"/>
  <c r="Q22" i="8" s="1"/>
  <c r="Q23" i="8" s="1"/>
  <c r="Q24" i="8" s="1"/>
  <c r="Q25" i="8" s="1"/>
  <c r="Q27" i="8"/>
  <c r="Q28" i="8" s="1"/>
  <c r="Q29" i="8" s="1"/>
  <c r="Q30" i="8" s="1"/>
  <c r="Q31" i="8" s="1"/>
  <c r="W3" i="8"/>
  <c r="W4" i="8" s="1"/>
  <c r="W5" i="8" s="1"/>
  <c r="W6" i="8" s="1"/>
  <c r="W7" i="8" s="1"/>
  <c r="W9" i="8"/>
  <c r="W10" i="8" s="1"/>
  <c r="W11" i="8" s="1"/>
  <c r="W12" i="8" s="1"/>
  <c r="W13" i="8" s="1"/>
  <c r="W15" i="8"/>
  <c r="W16" i="8" s="1"/>
  <c r="W17" i="8" s="1"/>
  <c r="W18" i="8" s="1"/>
  <c r="W19" i="8" s="1"/>
  <c r="W21" i="8"/>
  <c r="W22" i="8"/>
  <c r="W23" i="8" s="1"/>
  <c r="W24" i="8" s="1"/>
  <c r="W25" i="8" s="1"/>
  <c r="W27" i="8"/>
  <c r="W28" i="8" s="1"/>
  <c r="W29" i="8" s="1"/>
  <c r="W30" i="8" s="1"/>
  <c r="W31" i="8" s="1"/>
  <c r="K3" i="8"/>
  <c r="K4" i="8" s="1"/>
  <c r="K5" i="8" s="1"/>
  <c r="K6" i="8" s="1"/>
  <c r="K7" i="8" s="1"/>
  <c r="J22" i="8" a="1"/>
  <c r="V12" i="8" a="1"/>
  <c r="V4" i="8" a="1"/>
  <c r="J8" i="8" a="1"/>
  <c r="V3" i="8" a="1"/>
  <c r="P29" i="8" a="1"/>
  <c r="P13" i="8" a="1"/>
  <c r="P11" i="8" a="1"/>
  <c r="V31" i="8" a="1"/>
  <c r="S14" i="8" a="1"/>
  <c r="J5" i="8" a="1"/>
  <c r="V24" i="8" a="1"/>
  <c r="P21" i="8" a="1"/>
  <c r="V27" i="8" a="1"/>
  <c r="J23" i="8" a="1"/>
  <c r="D20" i="8" a="1"/>
  <c r="P26" i="8" a="1"/>
  <c r="P12" i="8" a="1"/>
  <c r="P5" i="8" a="1"/>
  <c r="V23" i="8" a="1"/>
  <c r="J11" i="8" a="1"/>
  <c r="V29" i="8" a="1"/>
  <c r="J4" i="8" a="1"/>
  <c r="P3" i="8" a="1"/>
  <c r="J30" i="8" a="1"/>
  <c r="V6" i="8" a="1"/>
  <c r="J2" i="8" a="1"/>
  <c r="J14" i="8" a="1"/>
  <c r="J21" i="8" a="1"/>
  <c r="J24" i="8" a="1"/>
  <c r="J19" i="8" a="1"/>
  <c r="P10" i="8" a="1"/>
  <c r="J27" i="8" a="1"/>
  <c r="V17" i="8" a="1"/>
  <c r="V19" i="8" a="1"/>
  <c r="J13" i="8" a="1"/>
  <c r="V8" i="8" a="1"/>
  <c r="V14" i="8" a="1"/>
  <c r="P25" i="8" a="1"/>
  <c r="P16" i="8" a="1"/>
  <c r="P9" i="8" a="1"/>
  <c r="V22" i="8" a="1"/>
  <c r="J18" i="8" a="1"/>
  <c r="V13" i="8" a="1"/>
  <c r="D26" i="8" a="1"/>
  <c r="P24" i="8" a="1"/>
  <c r="J20" i="8" a="1"/>
  <c r="V18" i="8" a="1"/>
  <c r="J6" i="8" a="1"/>
  <c r="V9" i="8" a="1"/>
  <c r="D14" i="8" a="1"/>
  <c r="J28" i="8" a="1"/>
  <c r="J15" i="8" a="1"/>
  <c r="P31" i="8" a="1"/>
  <c r="P17" i="8" a="1"/>
  <c r="P20" i="8" a="1"/>
  <c r="V28" i="8" a="1"/>
  <c r="J16" i="8" a="1"/>
  <c r="J10" i="8" a="1"/>
  <c r="P22" i="8" a="1"/>
  <c r="V10" i="8" a="1"/>
  <c r="V11" i="8" a="1"/>
  <c r="P27" i="8" a="1"/>
  <c r="P18" i="8" a="1"/>
  <c r="P2" i="8" a="1"/>
  <c r="P7" i="8" a="1"/>
  <c r="P15" i="8" a="1"/>
  <c r="J12" i="8" a="1"/>
  <c r="V2" i="8" a="1"/>
  <c r="P4" i="8" a="1"/>
  <c r="D8" i="8" a="1"/>
  <c r="P23" i="8" a="1"/>
  <c r="J29" i="8" a="1"/>
  <c r="V15" i="8" a="1"/>
  <c r="J31" i="8" a="1"/>
  <c r="V21" i="8" a="1"/>
  <c r="V5" i="8" a="1"/>
  <c r="V7" i="8" a="1"/>
  <c r="P19" i="8" a="1"/>
  <c r="J3" i="8" a="1"/>
  <c r="P28" i="8" a="1"/>
  <c r="P14" i="8" a="1"/>
  <c r="P6" i="8" a="1"/>
  <c r="V26" i="8" a="1"/>
  <c r="V20" i="8" a="1"/>
  <c r="J9" i="8" a="1"/>
  <c r="J25" i="8" a="1"/>
  <c r="V25" i="8" a="1"/>
  <c r="J26" i="8" a="1"/>
  <c r="V16" i="8" a="1"/>
  <c r="J17" i="8" a="1"/>
  <c r="V30" i="8" a="1"/>
  <c r="P8" i="8" a="1"/>
  <c r="J7" i="8" a="1"/>
  <c r="P30" i="8" a="1"/>
  <c r="V20" i="8" l="1"/>
  <c r="V5" i="8"/>
  <c r="P10" i="8"/>
  <c r="J25" i="8"/>
  <c r="J10" i="8"/>
  <c r="V29" i="8"/>
  <c r="V9" i="8"/>
  <c r="P24" i="8"/>
  <c r="P9" i="8"/>
  <c r="V31" i="8"/>
  <c r="V26" i="8"/>
  <c r="V21" i="8"/>
  <c r="V16" i="8"/>
  <c r="V11" i="8"/>
  <c r="V6" i="8"/>
  <c r="P31" i="8"/>
  <c r="P26" i="8"/>
  <c r="P21" i="8"/>
  <c r="P16" i="8"/>
  <c r="P11" i="8"/>
  <c r="P6" i="8"/>
  <c r="J31" i="8"/>
  <c r="J26" i="8"/>
  <c r="J21" i="8"/>
  <c r="J16" i="8"/>
  <c r="J11" i="8"/>
  <c r="J6" i="8"/>
  <c r="D26" i="8"/>
  <c r="P25" i="8"/>
  <c r="P13" i="8"/>
  <c r="V30" i="8"/>
  <c r="V15" i="8"/>
  <c r="P30" i="8"/>
  <c r="P15" i="8"/>
  <c r="J30" i="8"/>
  <c r="J15" i="8"/>
  <c r="D20" i="8"/>
  <c r="V24" i="8"/>
  <c r="V14" i="8"/>
  <c r="P29" i="8"/>
  <c r="P14" i="8"/>
  <c r="J29" i="8"/>
  <c r="J19" i="8"/>
  <c r="J9" i="8"/>
  <c r="V28" i="8"/>
  <c r="V23" i="8"/>
  <c r="V18" i="8"/>
  <c r="V13" i="8"/>
  <c r="V8" i="8"/>
  <c r="V3" i="8"/>
  <c r="P28" i="8"/>
  <c r="P23" i="8"/>
  <c r="P18" i="8"/>
  <c r="P8" i="8"/>
  <c r="P3" i="8"/>
  <c r="J28" i="8"/>
  <c r="J23" i="8"/>
  <c r="J18" i="8"/>
  <c r="J13" i="8"/>
  <c r="J8" i="8"/>
  <c r="J3" i="8"/>
  <c r="D8" i="8"/>
  <c r="V25" i="8"/>
  <c r="V10" i="8"/>
  <c r="P20" i="8"/>
  <c r="P5" i="8"/>
  <c r="J20" i="8"/>
  <c r="J5" i="8"/>
  <c r="V19" i="8"/>
  <c r="V4" i="8"/>
  <c r="P19" i="8"/>
  <c r="P4" i="8"/>
  <c r="J24" i="8"/>
  <c r="J14" i="8"/>
  <c r="J4" i="8"/>
  <c r="D14" i="8"/>
  <c r="V27" i="8"/>
  <c r="V22" i="8"/>
  <c r="V17" i="8"/>
  <c r="V12" i="8"/>
  <c r="V7" i="8"/>
  <c r="V2" i="8"/>
  <c r="P27" i="8"/>
  <c r="P22" i="8"/>
  <c r="P17" i="8"/>
  <c r="P12" i="8"/>
  <c r="P7" i="8"/>
  <c r="P2" i="8"/>
  <c r="J27" i="8"/>
  <c r="J22" i="8"/>
  <c r="J17" i="8"/>
  <c r="J12" i="8"/>
  <c r="J7" i="8"/>
  <c r="J2" i="8"/>
  <c r="S14" i="8"/>
  <c r="E2" i="8"/>
  <c r="D3" i="5"/>
  <c r="D4" i="5" s="1"/>
  <c r="D5" i="5" s="1"/>
  <c r="D6" i="5" s="1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T14" i="8" a="1"/>
  <c r="N14" i="8" a="1"/>
  <c r="G21" i="8" a="1"/>
  <c r="C18" i="5" a="1"/>
  <c r="C10" i="5" a="1"/>
  <c r="C2" i="5" a="1"/>
  <c r="B24" i="5" a="1"/>
  <c r="B7" i="5" a="1"/>
  <c r="U15" i="8" a="1"/>
  <c r="T9" i="8" a="1"/>
  <c r="I20" i="8" a="1"/>
  <c r="C9" i="5" a="1"/>
  <c r="C15" i="5" a="1"/>
  <c r="B5" i="5" a="1"/>
  <c r="B12" i="5" a="1"/>
  <c r="S15" i="8" a="1"/>
  <c r="B26" i="8" a="1"/>
  <c r="U8" i="8" a="1"/>
  <c r="C14" i="5" a="1"/>
  <c r="B10" i="5" a="1"/>
  <c r="B13" i="5" a="1"/>
  <c r="H22" i="8" a="1"/>
  <c r="O15" i="8" a="1"/>
  <c r="B20" i="5" a="1"/>
  <c r="M14" i="8" a="1"/>
  <c r="C20" i="5" a="1"/>
  <c r="B11" i="5" a="1"/>
  <c r="T15" i="8" a="1"/>
  <c r="O14" i="8" a="1"/>
  <c r="C21" i="5" a="1"/>
  <c r="B14" i="5" a="1"/>
  <c r="C12" i="5" a="1"/>
  <c r="B19" i="5" a="1"/>
  <c r="B3" i="5" a="1"/>
  <c r="C25" i="5" a="1"/>
  <c r="B8" i="5" a="1"/>
  <c r="B17" i="5" a="1"/>
  <c r="B15" i="5" a="1"/>
  <c r="N16" i="8" a="1"/>
  <c r="C17" i="5" a="1"/>
  <c r="S8" i="8" a="1"/>
  <c r="C23" i="5" a="1"/>
  <c r="B8" i="8" a="1"/>
  <c r="C22" i="5" a="1"/>
  <c r="C5" i="5" a="1"/>
  <c r="B4" i="5" a="1"/>
  <c r="B6" i="5" a="1"/>
  <c r="M15" i="8" a="1"/>
  <c r="C19" i="5" a="1"/>
  <c r="B9" i="5" a="1"/>
  <c r="H20" i="8" a="1"/>
  <c r="C16" i="5" a="1"/>
  <c r="B21" i="5" a="1"/>
  <c r="B2" i="8" a="1"/>
  <c r="H21" i="8" a="1"/>
  <c r="I21" i="8" a="1"/>
  <c r="C24" i="5" a="1"/>
  <c r="C6" i="5" a="1"/>
  <c r="B22" i="5" a="1"/>
  <c r="B18" i="5" a="1"/>
  <c r="B2" i="5" a="1"/>
  <c r="A2" i="8" a="1"/>
  <c r="B23" i="5" a="1"/>
  <c r="B25" i="5" a="1"/>
  <c r="H23" i="8" a="1"/>
  <c r="C2" i="8" a="1"/>
  <c r="C4" i="5" a="1"/>
  <c r="C11" i="5" a="1"/>
  <c r="D2" i="8" a="1"/>
  <c r="T8" i="8" a="1"/>
  <c r="C3" i="5" a="1"/>
  <c r="C8" i="5" a="1"/>
  <c r="B16" i="5" a="1"/>
  <c r="C7" i="5" a="1"/>
  <c r="U14" i="8" a="1"/>
  <c r="N15" i="8" a="1"/>
  <c r="G20" i="8" a="1"/>
  <c r="C13" i="5" a="1"/>
  <c r="D2" i="8" l="1"/>
  <c r="S15" i="8"/>
  <c r="U15" i="8"/>
  <c r="T14" i="8"/>
  <c r="U14" i="8"/>
  <c r="T15" i="8"/>
  <c r="N16" i="8"/>
  <c r="H21" i="8"/>
  <c r="B26" i="8"/>
  <c r="T9" i="8"/>
  <c r="N14" i="8"/>
  <c r="N15" i="8"/>
  <c r="H20" i="8"/>
  <c r="T8" i="8"/>
  <c r="H23" i="8"/>
  <c r="B8" i="8"/>
  <c r="H22" i="8"/>
  <c r="B2" i="8"/>
  <c r="O15" i="8"/>
  <c r="I21" i="8"/>
  <c r="U8" i="8"/>
  <c r="I20" i="8"/>
  <c r="G21" i="8"/>
  <c r="G20" i="8"/>
  <c r="O14" i="8"/>
  <c r="M15" i="8"/>
  <c r="M14" i="8"/>
  <c r="S8" i="8"/>
  <c r="E27" i="8"/>
  <c r="C2" i="8"/>
  <c r="A2" i="8"/>
  <c r="E3" i="8"/>
  <c r="C7" i="5"/>
  <c r="C37" i="4" s="1"/>
  <c r="C16" i="5"/>
  <c r="E34" i="4" s="1"/>
  <c r="C20" i="5"/>
  <c r="F32" i="4" s="1"/>
  <c r="C5" i="5"/>
  <c r="C35" i="4" s="1"/>
  <c r="C23" i="5"/>
  <c r="F35" i="4" s="1"/>
  <c r="C17" i="5"/>
  <c r="E35" i="4" s="1"/>
  <c r="C6" i="5"/>
  <c r="C36" i="4" s="1"/>
  <c r="C25" i="5"/>
  <c r="F37" i="4" s="1"/>
  <c r="C15" i="5"/>
  <c r="E33" i="4" s="1"/>
  <c r="C10" i="5"/>
  <c r="D34" i="4" s="1"/>
  <c r="C12" i="5"/>
  <c r="D36" i="4" s="1"/>
  <c r="C21" i="5"/>
  <c r="F33" i="4" s="1"/>
  <c r="C19" i="5"/>
  <c r="E37" i="4" s="1"/>
  <c r="C4" i="5"/>
  <c r="C34" i="4" s="1"/>
  <c r="C22" i="5"/>
  <c r="F34" i="4" s="1"/>
  <c r="C11" i="5"/>
  <c r="D35" i="4" s="1"/>
  <c r="C24" i="5"/>
  <c r="F36" i="4" s="1"/>
  <c r="C14" i="5"/>
  <c r="C9" i="5"/>
  <c r="D33" i="4" s="1"/>
  <c r="C18" i="5"/>
  <c r="E36" i="4" s="1"/>
  <c r="C13" i="5"/>
  <c r="D37" i="4" s="1"/>
  <c r="C8" i="5"/>
  <c r="C3" i="5"/>
  <c r="C33" i="4" s="1"/>
  <c r="C2" i="5"/>
  <c r="B22" i="5"/>
  <c r="B17" i="5"/>
  <c r="B12" i="5"/>
  <c r="B7" i="5"/>
  <c r="B21" i="5"/>
  <c r="B16" i="5"/>
  <c r="B11" i="5"/>
  <c r="B6" i="5"/>
  <c r="B25" i="5"/>
  <c r="B20" i="5"/>
  <c r="B15" i="5"/>
  <c r="B10" i="5"/>
  <c r="B5" i="5"/>
  <c r="B24" i="5"/>
  <c r="B19" i="5"/>
  <c r="B14" i="5"/>
  <c r="B9" i="5"/>
  <c r="B4" i="5"/>
  <c r="B23" i="5"/>
  <c r="B18" i="5"/>
  <c r="B13" i="5"/>
  <c r="B8" i="5"/>
  <c r="B3" i="5"/>
  <c r="B2" i="5"/>
  <c r="D3" i="8" a="1"/>
  <c r="G22" i="8" a="1"/>
  <c r="A2" i="5" a="1"/>
  <c r="D27" i="8" a="1"/>
  <c r="B3" i="8" a="1"/>
  <c r="S9" i="8" a="1"/>
  <c r="S16" i="8" a="1"/>
  <c r="I22" i="8" a="1"/>
  <c r="I23" i="8" a="1"/>
  <c r="H24" i="8" a="1"/>
  <c r="C26" i="8" a="1"/>
  <c r="M16" i="8" a="1"/>
  <c r="B27" i="8" a="1"/>
  <c r="U16" i="8" a="1"/>
  <c r="A26" i="8" a="1"/>
  <c r="N17" i="8" a="1"/>
  <c r="T16" i="8" a="1"/>
  <c r="G23" i="8" a="1"/>
  <c r="T10" i="8" a="1"/>
  <c r="U9" i="8" a="1"/>
  <c r="O16" i="8" a="1"/>
  <c r="D27" i="8" l="1"/>
  <c r="D3" i="8"/>
  <c r="E32" i="4"/>
  <c r="D32" i="4"/>
  <c r="C32" i="4"/>
  <c r="B3" i="8"/>
  <c r="T16" i="8"/>
  <c r="U16" i="8"/>
  <c r="S16" i="8"/>
  <c r="T10" i="8"/>
  <c r="N17" i="8"/>
  <c r="H24" i="8"/>
  <c r="B27" i="8"/>
  <c r="O16" i="8"/>
  <c r="M16" i="8"/>
  <c r="C26" i="8"/>
  <c r="U9" i="8"/>
  <c r="G23" i="8"/>
  <c r="A26" i="8"/>
  <c r="I23" i="8"/>
  <c r="S9" i="8"/>
  <c r="I22" i="8"/>
  <c r="G22" i="8"/>
  <c r="E28" i="8"/>
  <c r="E4" i="8"/>
  <c r="A2" i="5"/>
  <c r="D2" i="2"/>
  <c r="U17" i="8" a="1"/>
  <c r="G24" i="8" a="1"/>
  <c r="A3" i="5" a="1"/>
  <c r="S10" i="8" a="1"/>
  <c r="T11" i="8" a="1"/>
  <c r="U10" i="8" a="1"/>
  <c r="C3" i="8" a="1"/>
  <c r="A3" i="8" a="1"/>
  <c r="O17" i="8" a="1"/>
  <c r="D4" i="8" a="1"/>
  <c r="C27" i="8" a="1"/>
  <c r="I24" i="8" a="1"/>
  <c r="T17" i="8" a="1"/>
  <c r="M17" i="8" a="1"/>
  <c r="S17" i="8" a="1"/>
  <c r="A27" i="8" a="1"/>
  <c r="N18" i="8" a="1"/>
  <c r="H25" i="8" a="1"/>
  <c r="B28" i="8" a="1"/>
  <c r="D28" i="8" a="1"/>
  <c r="A2" i="2" a="1"/>
  <c r="B2" i="2" a="1"/>
  <c r="C2" i="2" a="1"/>
  <c r="B4" i="8" a="1"/>
  <c r="D4" i="8" l="1"/>
  <c r="D28" i="8"/>
  <c r="B4" i="8"/>
  <c r="S17" i="8"/>
  <c r="T17" i="8"/>
  <c r="U17" i="8"/>
  <c r="T11" i="8"/>
  <c r="N18" i="8"/>
  <c r="H25" i="8"/>
  <c r="B28" i="8"/>
  <c r="U10" i="8"/>
  <c r="A27" i="8"/>
  <c r="S10" i="8"/>
  <c r="M17" i="8"/>
  <c r="G24" i="8"/>
  <c r="I24" i="8"/>
  <c r="C27" i="8"/>
  <c r="O17" i="8"/>
  <c r="E29" i="8"/>
  <c r="A3" i="8"/>
  <c r="C3" i="8"/>
  <c r="E5" i="8"/>
  <c r="C2" i="2"/>
  <c r="B2" i="2"/>
  <c r="A2" i="2"/>
  <c r="D3" i="2"/>
  <c r="A3" i="5"/>
  <c r="U18" i="8" a="1"/>
  <c r="S11" i="8" a="1"/>
  <c r="A4" i="5" a="1"/>
  <c r="T12" i="8" a="1"/>
  <c r="A28" i="8" a="1"/>
  <c r="C4" i="8" a="1"/>
  <c r="B29" i="8" a="1"/>
  <c r="D5" i="8" a="1"/>
  <c r="D29" i="8" a="1"/>
  <c r="I25" i="8" a="1"/>
  <c r="B5" i="8" a="1"/>
  <c r="S18" i="8" a="1"/>
  <c r="O18" i="8" a="1"/>
  <c r="T18" i="8" a="1"/>
  <c r="U11" i="8" a="1"/>
  <c r="G25" i="8" a="1"/>
  <c r="N19" i="8" a="1"/>
  <c r="H26" i="8" a="1"/>
  <c r="A4" i="8" a="1"/>
  <c r="C28" i="8" a="1"/>
  <c r="A3" i="2" a="1"/>
  <c r="B3" i="2" a="1"/>
  <c r="M18" i="8" a="1"/>
  <c r="C3" i="2" a="1"/>
  <c r="D29" i="8" l="1"/>
  <c r="D5" i="8"/>
  <c r="C23" i="4"/>
  <c r="B5" i="8"/>
  <c r="T18" i="8"/>
  <c r="S18" i="8"/>
  <c r="U18" i="8"/>
  <c r="T12" i="8"/>
  <c r="N19" i="8"/>
  <c r="H26" i="8"/>
  <c r="B29" i="8"/>
  <c r="A28" i="8"/>
  <c r="G25" i="8"/>
  <c r="U11" i="8"/>
  <c r="O18" i="8"/>
  <c r="S11" i="8"/>
  <c r="M18" i="8"/>
  <c r="I25" i="8"/>
  <c r="C28" i="8"/>
  <c r="E30" i="8"/>
  <c r="A4" i="8"/>
  <c r="C4" i="8"/>
  <c r="E6" i="8"/>
  <c r="C3" i="2"/>
  <c r="C24" i="4" s="1"/>
  <c r="B3" i="2"/>
  <c r="A3" i="2"/>
  <c r="D4" i="2"/>
  <c r="A4" i="5"/>
  <c r="B6" i="8" a="1"/>
  <c r="C29" i="8" a="1"/>
  <c r="A4" i="2" a="1"/>
  <c r="I26" i="8" a="1"/>
  <c r="U19" i="8" a="1"/>
  <c r="T13" i="8" a="1"/>
  <c r="G26" i="8" a="1"/>
  <c r="A5" i="8" a="1"/>
  <c r="B30" i="8" a="1"/>
  <c r="D6" i="8" a="1"/>
  <c r="M19" i="8" a="1"/>
  <c r="B4" i="2" a="1"/>
  <c r="S19" i="8" a="1"/>
  <c r="U12" i="8" a="1"/>
  <c r="A5" i="5" a="1"/>
  <c r="T19" i="8" a="1"/>
  <c r="O19" i="8" a="1"/>
  <c r="S12" i="8" a="1"/>
  <c r="N20" i="8" a="1"/>
  <c r="H27" i="8" a="1"/>
  <c r="D30" i="8" a="1"/>
  <c r="C5" i="8" a="1"/>
  <c r="C4" i="2" a="1"/>
  <c r="A29" i="8" a="1"/>
  <c r="D30" i="8" l="1"/>
  <c r="D6" i="8"/>
  <c r="B6" i="8"/>
  <c r="U19" i="8"/>
  <c r="T19" i="8"/>
  <c r="S19" i="8"/>
  <c r="T13" i="8"/>
  <c r="N20" i="8"/>
  <c r="H27" i="8"/>
  <c r="B30" i="8"/>
  <c r="G26" i="8"/>
  <c r="S12" i="8"/>
  <c r="O19" i="8"/>
  <c r="I26" i="8"/>
  <c r="U12" i="8"/>
  <c r="C29" i="8"/>
  <c r="A29" i="8"/>
  <c r="M19" i="8"/>
  <c r="E31" i="8"/>
  <c r="C5" i="8"/>
  <c r="A5" i="8"/>
  <c r="E7" i="8"/>
  <c r="A4" i="2"/>
  <c r="B4" i="2"/>
  <c r="C4" i="2"/>
  <c r="C25" i="4" s="1"/>
  <c r="D5" i="2"/>
  <c r="A5" i="5"/>
  <c r="T20" i="8" a="1"/>
  <c r="M20" i="8" a="1"/>
  <c r="G27" i="8" a="1"/>
  <c r="N21" i="8" a="1"/>
  <c r="A30" i="8" a="1"/>
  <c r="H28" i="8" a="1"/>
  <c r="B31" i="8" a="1"/>
  <c r="C5" i="2" a="1"/>
  <c r="B5" i="2" a="1"/>
  <c r="S13" i="8" a="1"/>
  <c r="B7" i="8" a="1"/>
  <c r="A6" i="5" a="1"/>
  <c r="U20" i="8" a="1"/>
  <c r="U13" i="8" a="1"/>
  <c r="S20" i="8" a="1"/>
  <c r="C6" i="8" a="1"/>
  <c r="A6" i="8" a="1"/>
  <c r="I27" i="8" a="1"/>
  <c r="D7" i="8" a="1"/>
  <c r="D31" i="8" a="1"/>
  <c r="A5" i="2" a="1"/>
  <c r="O20" i="8" a="1"/>
  <c r="C30" i="8" a="1"/>
  <c r="D31" i="8" l="1"/>
  <c r="D7" i="8"/>
  <c r="B7" i="8"/>
  <c r="S20" i="8"/>
  <c r="U20" i="8"/>
  <c r="T20" i="8"/>
  <c r="N21" i="8"/>
  <c r="H28" i="8"/>
  <c r="B31" i="8"/>
  <c r="A30" i="8"/>
  <c r="G27" i="8"/>
  <c r="U13" i="8"/>
  <c r="M20" i="8"/>
  <c r="C30" i="8"/>
  <c r="S13" i="8"/>
  <c r="O20" i="8"/>
  <c r="I27" i="8"/>
  <c r="A6" i="8"/>
  <c r="C6" i="8"/>
  <c r="A5" i="2"/>
  <c r="B5" i="2"/>
  <c r="C5" i="2"/>
  <c r="C26" i="4" s="1"/>
  <c r="D6" i="2"/>
  <c r="A6" i="5"/>
  <c r="I28" i="8" a="1"/>
  <c r="A6" i="2" a="1"/>
  <c r="A7" i="5" a="1"/>
  <c r="G28" i="8" a="1"/>
  <c r="S21" i="8" a="1"/>
  <c r="O21" i="8" a="1"/>
  <c r="A7" i="8" a="1"/>
  <c r="B6" i="2" a="1"/>
  <c r="A31" i="8" a="1"/>
  <c r="M21" i="8" a="1"/>
  <c r="T21" i="8" a="1"/>
  <c r="N22" i="8" a="1"/>
  <c r="C6" i="2" a="1"/>
  <c r="C31" i="8" a="1"/>
  <c r="U21" i="8" a="1"/>
  <c r="C7" i="8" a="1"/>
  <c r="H29" i="8" a="1"/>
  <c r="H2" i="8" a="1"/>
  <c r="T21" i="8" l="1"/>
  <c r="U21" i="8"/>
  <c r="S21" i="8"/>
  <c r="N22" i="8"/>
  <c r="H29" i="8"/>
  <c r="H2" i="8"/>
  <c r="O21" i="8"/>
  <c r="M21" i="8"/>
  <c r="G28" i="8"/>
  <c r="C31" i="8"/>
  <c r="A31" i="8"/>
  <c r="I28" i="8"/>
  <c r="A7" i="8"/>
  <c r="C7" i="8"/>
  <c r="E9" i="8"/>
  <c r="A6" i="2"/>
  <c r="B6" i="2"/>
  <c r="C6" i="2"/>
  <c r="C27" i="4" s="1"/>
  <c r="D7" i="2"/>
  <c r="A7" i="5"/>
  <c r="D9" i="8" a="1"/>
  <c r="O22" i="8" a="1"/>
  <c r="G29" i="8" a="1"/>
  <c r="I2" i="8" a="1"/>
  <c r="H30" i="8" a="1"/>
  <c r="A8" i="5" a="1"/>
  <c r="S22" i="8" a="1"/>
  <c r="I29" i="8" a="1"/>
  <c r="N23" i="8" a="1"/>
  <c r="B9" i="8" a="1"/>
  <c r="H3" i="8" a="1"/>
  <c r="B7" i="2" a="1"/>
  <c r="A7" i="2" a="1"/>
  <c r="M22" i="8" a="1"/>
  <c r="U22" i="8" a="1"/>
  <c r="T22" i="8" a="1"/>
  <c r="C8" i="8" a="1"/>
  <c r="A8" i="8" a="1"/>
  <c r="C7" i="2" a="1"/>
  <c r="G2" i="8" a="1"/>
  <c r="D9" i="8" l="1"/>
  <c r="T22" i="8"/>
  <c r="U22" i="8"/>
  <c r="S22" i="8"/>
  <c r="N23" i="8"/>
  <c r="B9" i="8"/>
  <c r="H30" i="8"/>
  <c r="H3" i="8"/>
  <c r="I2" i="8"/>
  <c r="G29" i="8"/>
  <c r="I29" i="8"/>
  <c r="O22" i="8"/>
  <c r="M22" i="8"/>
  <c r="G2" i="8"/>
  <c r="A8" i="8"/>
  <c r="C8" i="8"/>
  <c r="E10" i="8"/>
  <c r="A7" i="2"/>
  <c r="B7" i="2"/>
  <c r="C7" i="2"/>
  <c r="C28" i="4" s="1"/>
  <c r="D8" i="2"/>
  <c r="A8" i="5"/>
  <c r="I30" i="8" a="1"/>
  <c r="A8" i="2" a="1"/>
  <c r="O23" i="8" a="1"/>
  <c r="T23" i="8" a="1"/>
  <c r="I3" i="8" a="1"/>
  <c r="N24" i="8" a="1"/>
  <c r="B10" i="8" a="1"/>
  <c r="H31" i="8" a="1"/>
  <c r="H4" i="8" a="1"/>
  <c r="M23" i="8" a="1"/>
  <c r="A9" i="5" a="1"/>
  <c r="U23" i="8" a="1"/>
  <c r="G3" i="8" a="1"/>
  <c r="C9" i="8" a="1"/>
  <c r="A9" i="8" a="1"/>
  <c r="D10" i="8" a="1"/>
  <c r="G30" i="8" a="1"/>
  <c r="S23" i="8" a="1"/>
  <c r="C8" i="2" a="1"/>
  <c r="B8" i="2" a="1"/>
  <c r="D10" i="8" l="1"/>
  <c r="S23" i="8"/>
  <c r="U23" i="8"/>
  <c r="T23" i="8"/>
  <c r="N24" i="8"/>
  <c r="B10" i="8"/>
  <c r="H31" i="8"/>
  <c r="H4" i="8"/>
  <c r="G3" i="8"/>
  <c r="I3" i="8"/>
  <c r="G30" i="8"/>
  <c r="O23" i="8"/>
  <c r="M23" i="8"/>
  <c r="I30" i="8"/>
  <c r="A9" i="8"/>
  <c r="C9" i="8"/>
  <c r="E11" i="8"/>
  <c r="A8" i="2"/>
  <c r="B8" i="2"/>
  <c r="C8" i="2"/>
  <c r="D9" i="2"/>
  <c r="A9" i="5"/>
  <c r="I4" i="8" a="1"/>
  <c r="A9" i="2" a="1"/>
  <c r="N2" i="8" a="1"/>
  <c r="G4" i="8" a="1"/>
  <c r="A10" i="5" a="1"/>
  <c r="B11" i="8" a="1"/>
  <c r="D11" i="8" a="1"/>
  <c r="M24" i="8" a="1"/>
  <c r="S24" i="8" a="1"/>
  <c r="O24" i="8" a="1"/>
  <c r="T24" i="8" a="1"/>
  <c r="I31" i="8" a="1"/>
  <c r="U24" i="8" a="1"/>
  <c r="G31" i="8" a="1"/>
  <c r="N25" i="8" a="1"/>
  <c r="A10" i="8" a="1"/>
  <c r="C9" i="2" a="1"/>
  <c r="H5" i="8" a="1"/>
  <c r="C10" i="8" a="1"/>
  <c r="B9" i="2" a="1"/>
  <c r="D11" i="8" l="1"/>
  <c r="D23" i="4"/>
  <c r="U24" i="8"/>
  <c r="T24" i="8"/>
  <c r="S24" i="8"/>
  <c r="N25" i="8"/>
  <c r="B11" i="8"/>
  <c r="N2" i="8"/>
  <c r="H5" i="8"/>
  <c r="G31" i="8"/>
  <c r="I31" i="8"/>
  <c r="O24" i="8"/>
  <c r="M24" i="8"/>
  <c r="G4" i="8"/>
  <c r="I4" i="8"/>
  <c r="C10" i="8"/>
  <c r="A10" i="8"/>
  <c r="E12" i="8"/>
  <c r="A9" i="2"/>
  <c r="B9" i="2"/>
  <c r="C9" i="2"/>
  <c r="D24" i="4" s="1"/>
  <c r="D10" i="2"/>
  <c r="A10" i="5"/>
  <c r="H6" i="8" a="1"/>
  <c r="B10" i="2" a="1"/>
  <c r="A10" i="2" a="1"/>
  <c r="D12" i="8" a="1"/>
  <c r="U25" i="8" a="1"/>
  <c r="T25" i="8" a="1"/>
  <c r="C11" i="8" a="1"/>
  <c r="B12" i="8" a="1"/>
  <c r="G5" i="8" a="1"/>
  <c r="O25" i="8" a="1"/>
  <c r="M2" i="8" a="1"/>
  <c r="I5" i="8" a="1"/>
  <c r="S25" i="8" a="1"/>
  <c r="M25" i="8" a="1"/>
  <c r="N3" i="8" a="1"/>
  <c r="A11" i="5" a="1"/>
  <c r="O2" i="8" a="1"/>
  <c r="N26" i="8" a="1"/>
  <c r="A11" i="8" a="1"/>
  <c r="C10" i="2" a="1"/>
  <c r="D12" i="8" l="1"/>
  <c r="T25" i="8"/>
  <c r="S25" i="8"/>
  <c r="U25" i="8"/>
  <c r="N26" i="8"/>
  <c r="B12" i="8"/>
  <c r="N3" i="8"/>
  <c r="H6" i="8"/>
  <c r="M25" i="8"/>
  <c r="O2" i="8"/>
  <c r="I5" i="8"/>
  <c r="M2" i="8"/>
  <c r="O25" i="8"/>
  <c r="G5" i="8"/>
  <c r="A11" i="8"/>
  <c r="C11" i="8"/>
  <c r="E13" i="8"/>
  <c r="A10" i="2"/>
  <c r="B10" i="2"/>
  <c r="C10" i="2"/>
  <c r="D25" i="4" s="1"/>
  <c r="D11" i="2"/>
  <c r="A11" i="5"/>
  <c r="M26" i="8" a="1"/>
  <c r="A11" i="2" a="1"/>
  <c r="O26" i="8" a="1"/>
  <c r="D13" i="8" a="1"/>
  <c r="G6" i="8" a="1"/>
  <c r="T26" i="8" a="1"/>
  <c r="I6" i="8" a="1"/>
  <c r="M3" i="8" a="1"/>
  <c r="S26" i="8" a="1"/>
  <c r="N27" i="8" a="1"/>
  <c r="A12" i="8" a="1"/>
  <c r="N4" i="8" a="1"/>
  <c r="B11" i="2" a="1"/>
  <c r="A12" i="5" a="1"/>
  <c r="O3" i="8" a="1"/>
  <c r="C11" i="2" a="1"/>
  <c r="U26" i="8" a="1"/>
  <c r="C12" i="8" a="1"/>
  <c r="B13" i="8" a="1"/>
  <c r="H7" i="8" a="1"/>
  <c r="D13" i="8" l="1"/>
  <c r="S26" i="8"/>
  <c r="U26" i="8"/>
  <c r="T26" i="8"/>
  <c r="N27" i="8"/>
  <c r="B13" i="8"/>
  <c r="N4" i="8"/>
  <c r="H7" i="8"/>
  <c r="O3" i="8"/>
  <c r="M3" i="8"/>
  <c r="I6" i="8"/>
  <c r="G6" i="8"/>
  <c r="O26" i="8"/>
  <c r="M26" i="8"/>
  <c r="A12" i="8"/>
  <c r="C12" i="8"/>
  <c r="A11" i="2"/>
  <c r="B11" i="2"/>
  <c r="C11" i="2"/>
  <c r="D26" i="4" s="1"/>
  <c r="D12" i="2"/>
  <c r="A12" i="5"/>
  <c r="M27" i="8" a="1"/>
  <c r="U27" i="8" a="1"/>
  <c r="I7" i="8" a="1"/>
  <c r="S27" i="8" a="1"/>
  <c r="O4" i="8" a="1"/>
  <c r="A13" i="8" a="1"/>
  <c r="N5" i="8" a="1"/>
  <c r="H8" i="8" a="1"/>
  <c r="T27" i="8" a="1"/>
  <c r="C13" i="8" a="1"/>
  <c r="C12" i="2" a="1"/>
  <c r="O27" i="8" a="1"/>
  <c r="G7" i="8" a="1"/>
  <c r="M4" i="8" a="1"/>
  <c r="N28" i="8" a="1"/>
  <c r="B14" i="8" a="1"/>
  <c r="B12" i="2" a="1"/>
  <c r="A12" i="2" a="1"/>
  <c r="A13" i="5" a="1"/>
  <c r="T27" i="8" l="1"/>
  <c r="S27" i="8"/>
  <c r="U27" i="8"/>
  <c r="N28" i="8"/>
  <c r="B14" i="8"/>
  <c r="N5" i="8"/>
  <c r="H8" i="8"/>
  <c r="O4" i="8"/>
  <c r="M4" i="8"/>
  <c r="I7" i="8"/>
  <c r="M27" i="8"/>
  <c r="G7" i="8"/>
  <c r="O27" i="8"/>
  <c r="C13" i="8"/>
  <c r="A13" i="8"/>
  <c r="E15" i="8"/>
  <c r="A12" i="2"/>
  <c r="B12" i="2"/>
  <c r="C12" i="2"/>
  <c r="D27" i="4" s="1"/>
  <c r="D13" i="2"/>
  <c r="A13" i="5"/>
  <c r="I8" i="8" a="1"/>
  <c r="A14" i="5" a="1"/>
  <c r="T28" i="8" a="1"/>
  <c r="A14" i="8" a="1"/>
  <c r="B15" i="8" a="1"/>
  <c r="N6" i="8" a="1"/>
  <c r="D15" i="8" a="1"/>
  <c r="M28" i="8" a="1"/>
  <c r="O28" i="8" a="1"/>
  <c r="M5" i="8" a="1"/>
  <c r="O5" i="8" a="1"/>
  <c r="H9" i="8" a="1"/>
  <c r="G8" i="8" a="1"/>
  <c r="S28" i="8" a="1"/>
  <c r="U28" i="8" a="1"/>
  <c r="N29" i="8" a="1"/>
  <c r="C14" i="8" a="1"/>
  <c r="C13" i="2" a="1"/>
  <c r="B13" i="2" a="1"/>
  <c r="A13" i="2" a="1"/>
  <c r="D15" i="8" l="1"/>
  <c r="U28" i="8"/>
  <c r="T28" i="8"/>
  <c r="S28" i="8"/>
  <c r="N29" i="8"/>
  <c r="B15" i="8"/>
  <c r="N6" i="8"/>
  <c r="H9" i="8"/>
  <c r="O5" i="8"/>
  <c r="M5" i="8"/>
  <c r="O28" i="8"/>
  <c r="M28" i="8"/>
  <c r="I8" i="8"/>
  <c r="G8" i="8"/>
  <c r="C14" i="8"/>
  <c r="A14" i="8"/>
  <c r="E16" i="8"/>
  <c r="A13" i="2"/>
  <c r="B13" i="2"/>
  <c r="C13" i="2"/>
  <c r="D28" i="4" s="1"/>
  <c r="D14" i="2"/>
  <c r="A14" i="5"/>
  <c r="M6" i="8" a="1"/>
  <c r="A14" i="2" a="1"/>
  <c r="D16" i="8" a="1"/>
  <c r="S29" i="8" a="1"/>
  <c r="M29" i="8" a="1"/>
  <c r="N30" i="8" a="1"/>
  <c r="N7" i="8" a="1"/>
  <c r="O6" i="8" a="1"/>
  <c r="A15" i="5" a="1"/>
  <c r="G9" i="8" a="1"/>
  <c r="U29" i="8" a="1"/>
  <c r="A15" i="8" a="1"/>
  <c r="C15" i="8" a="1"/>
  <c r="C14" i="2" a="1"/>
  <c r="B14" i="2" a="1"/>
  <c r="O29" i="8" a="1"/>
  <c r="T29" i="8" a="1"/>
  <c r="I9" i="8" a="1"/>
  <c r="B16" i="8" a="1"/>
  <c r="H10" i="8" a="1"/>
  <c r="D16" i="8" l="1"/>
  <c r="U29" i="8"/>
  <c r="T29" i="8"/>
  <c r="S29" i="8"/>
  <c r="N30" i="8"/>
  <c r="B16" i="8"/>
  <c r="N7" i="8"/>
  <c r="H10" i="8"/>
  <c r="I9" i="8"/>
  <c r="M29" i="8"/>
  <c r="G9" i="8"/>
  <c r="O29" i="8"/>
  <c r="O6" i="8"/>
  <c r="M6" i="8"/>
  <c r="C15" i="8"/>
  <c r="A15" i="8"/>
  <c r="E17" i="8"/>
  <c r="A14" i="2"/>
  <c r="B14" i="2"/>
  <c r="C14" i="2"/>
  <c r="D15" i="2"/>
  <c r="A15" i="5"/>
  <c r="M7" i="8" a="1"/>
  <c r="A15" i="2" a="1"/>
  <c r="T30" i="8" a="1"/>
  <c r="C16" i="8" a="1"/>
  <c r="A16" i="8" a="1"/>
  <c r="N8" i="8" a="1"/>
  <c r="I10" i="8" a="1"/>
  <c r="A16" i="5" a="1"/>
  <c r="G10" i="8" a="1"/>
  <c r="U30" i="8" a="1"/>
  <c r="N31" i="8" a="1"/>
  <c r="B17" i="8" a="1"/>
  <c r="H11" i="8" a="1"/>
  <c r="D17" i="8" a="1"/>
  <c r="O7" i="8" a="1"/>
  <c r="S30" i="8" a="1"/>
  <c r="O30" i="8" a="1"/>
  <c r="M30" i="8" a="1"/>
  <c r="C15" i="2" a="1"/>
  <c r="B15" i="2" a="1"/>
  <c r="D17" i="8" l="1"/>
  <c r="E23" i="4"/>
  <c r="U30" i="8"/>
  <c r="T30" i="8"/>
  <c r="S30" i="8"/>
  <c r="N31" i="8"/>
  <c r="B17" i="8"/>
  <c r="N8" i="8"/>
  <c r="H11" i="8"/>
  <c r="M30" i="8"/>
  <c r="O30" i="8"/>
  <c r="G10" i="8"/>
  <c r="O7" i="8"/>
  <c r="I10" i="8"/>
  <c r="M7" i="8"/>
  <c r="A16" i="8"/>
  <c r="C16" i="8"/>
  <c r="E18" i="8"/>
  <c r="A15" i="2"/>
  <c r="B15" i="2"/>
  <c r="C15" i="2"/>
  <c r="E24" i="4" s="1"/>
  <c r="D16" i="2"/>
  <c r="A16" i="5"/>
  <c r="H12" i="8" a="1"/>
  <c r="B16" i="2" a="1"/>
  <c r="G11" i="8" a="1"/>
  <c r="A16" i="2" a="1"/>
  <c r="A17" i="5" a="1"/>
  <c r="D18" i="8" a="1"/>
  <c r="I11" i="8" a="1"/>
  <c r="C17" i="8" a="1"/>
  <c r="A17" i="8" a="1"/>
  <c r="S31" i="8" a="1"/>
  <c r="M8" i="8" a="1"/>
  <c r="U31" i="8" a="1"/>
  <c r="O31" i="8" a="1"/>
  <c r="T31" i="8" a="1"/>
  <c r="T2" i="8" a="1"/>
  <c r="B18" i="8" a="1"/>
  <c r="N9" i="8" a="1"/>
  <c r="C16" i="2" a="1"/>
  <c r="M31" i="8" a="1"/>
  <c r="O8" i="8" a="1"/>
  <c r="D18" i="8" l="1"/>
  <c r="T31" i="8"/>
  <c r="U31" i="8"/>
  <c r="S31" i="8"/>
  <c r="T2" i="8"/>
  <c r="B18" i="8"/>
  <c r="N9" i="8"/>
  <c r="H12" i="8"/>
  <c r="O8" i="8"/>
  <c r="O31" i="8"/>
  <c r="M8" i="8"/>
  <c r="I11" i="8"/>
  <c r="M31" i="8"/>
  <c r="G11" i="8"/>
  <c r="A17" i="8"/>
  <c r="C17" i="8"/>
  <c r="E19" i="8"/>
  <c r="A16" i="2"/>
  <c r="B16" i="2"/>
  <c r="C16" i="2"/>
  <c r="E25" i="4" s="1"/>
  <c r="D17" i="2"/>
  <c r="A17" i="5"/>
  <c r="M9" i="8" a="1"/>
  <c r="G12" i="8" a="1"/>
  <c r="D19" i="8" a="1"/>
  <c r="O9" i="8" a="1"/>
  <c r="T3" i="8" a="1"/>
  <c r="B19" i="8" a="1"/>
  <c r="N10" i="8" a="1"/>
  <c r="H13" i="8" a="1"/>
  <c r="U2" i="8" a="1"/>
  <c r="I12" i="8" a="1"/>
  <c r="C18" i="8" a="1"/>
  <c r="C17" i="2" a="1"/>
  <c r="S2" i="8" a="1"/>
  <c r="A18" i="8" a="1"/>
  <c r="B17" i="2" a="1"/>
  <c r="A17" i="2" a="1"/>
  <c r="A18" i="5" a="1"/>
  <c r="D19" i="8" l="1"/>
  <c r="T3" i="8"/>
  <c r="B19" i="8"/>
  <c r="N10" i="8"/>
  <c r="H13" i="8"/>
  <c r="O9" i="8"/>
  <c r="G12" i="8"/>
  <c r="M9" i="8"/>
  <c r="I12" i="8"/>
  <c r="U2" i="8"/>
  <c r="S2" i="8"/>
  <c r="A18" i="8"/>
  <c r="C18" i="8"/>
  <c r="A17" i="2"/>
  <c r="B17" i="2"/>
  <c r="C17" i="2"/>
  <c r="E26" i="4" s="1"/>
  <c r="D18" i="2"/>
  <c r="A18" i="5"/>
  <c r="N11" i="8" a="1"/>
  <c r="C18" i="2" a="1"/>
  <c r="B18" i="2" a="1"/>
  <c r="O10" i="8" a="1"/>
  <c r="G13" i="8" a="1"/>
  <c r="T4" i="8" a="1"/>
  <c r="B20" i="8" a="1"/>
  <c r="H14" i="8" a="1"/>
  <c r="A18" i="2" a="1"/>
  <c r="A19" i="5" a="1"/>
  <c r="S3" i="8" a="1"/>
  <c r="M10" i="8" a="1"/>
  <c r="U3" i="8" a="1"/>
  <c r="I13" i="8" a="1"/>
  <c r="C19" i="8" a="1"/>
  <c r="A19" i="8" a="1"/>
  <c r="T4" i="8" l="1"/>
  <c r="B20" i="8"/>
  <c r="N11" i="8"/>
  <c r="H14" i="8"/>
  <c r="I13" i="8"/>
  <c r="U3" i="8"/>
  <c r="M10" i="8"/>
  <c r="S3" i="8"/>
  <c r="G13" i="8"/>
  <c r="O10" i="8"/>
  <c r="A19" i="8"/>
  <c r="C19" i="8"/>
  <c r="E21" i="8"/>
  <c r="A18" i="2"/>
  <c r="B18" i="2"/>
  <c r="C18" i="2"/>
  <c r="E27" i="4" s="1"/>
  <c r="D19" i="2"/>
  <c r="A19" i="5"/>
  <c r="B21" i="8" a="1"/>
  <c r="C20" i="8" a="1"/>
  <c r="C19" i="2" a="1"/>
  <c r="N12" i="8" a="1"/>
  <c r="H15" i="8" a="1"/>
  <c r="O11" i="8" a="1"/>
  <c r="A19" i="2" a="1"/>
  <c r="M11" i="8" a="1"/>
  <c r="A20" i="5" a="1"/>
  <c r="S4" i="8" a="1"/>
  <c r="U4" i="8" a="1"/>
  <c r="D21" i="8" a="1"/>
  <c r="T5" i="8" a="1"/>
  <c r="B19" i="2" a="1"/>
  <c r="I14" i="8" a="1"/>
  <c r="G14" i="8" a="1"/>
  <c r="A20" i="8" a="1"/>
  <c r="D21" i="8" l="1"/>
  <c r="T5" i="8"/>
  <c r="B21" i="8"/>
  <c r="N12" i="8"/>
  <c r="H15" i="8"/>
  <c r="G14" i="8"/>
  <c r="I14" i="8"/>
  <c r="U4" i="8"/>
  <c r="S4" i="8"/>
  <c r="M11" i="8"/>
  <c r="O11" i="8"/>
  <c r="C20" i="8"/>
  <c r="A20" i="8"/>
  <c r="E22" i="8"/>
  <c r="A19" i="2"/>
  <c r="B19" i="2"/>
  <c r="C19" i="2"/>
  <c r="E28" i="4" s="1"/>
  <c r="D20" i="2"/>
  <c r="A20" i="5"/>
  <c r="T6" i="8" a="1"/>
  <c r="C21" i="8" a="1"/>
  <c r="H16" i="8" a="1"/>
  <c r="M12" i="8" a="1"/>
  <c r="S5" i="8" a="1"/>
  <c r="U5" i="8" a="1"/>
  <c r="B22" i="8" a="1"/>
  <c r="A21" i="8" a="1"/>
  <c r="C20" i="2" a="1"/>
  <c r="G15" i="8" a="1"/>
  <c r="A21" i="5" a="1"/>
  <c r="D22" i="8" a="1"/>
  <c r="N13" i="8" a="1"/>
  <c r="B20" i="2" a="1"/>
  <c r="A20" i="2" a="1"/>
  <c r="I15" i="8" a="1"/>
  <c r="O12" i="8" a="1"/>
  <c r="D22" i="8" l="1"/>
  <c r="T6" i="8"/>
  <c r="B22" i="8"/>
  <c r="N13" i="8"/>
  <c r="H16" i="8"/>
  <c r="U5" i="8"/>
  <c r="O12" i="8"/>
  <c r="S5" i="8"/>
  <c r="M12" i="8"/>
  <c r="I15" i="8"/>
  <c r="G15" i="8"/>
  <c r="A21" i="8"/>
  <c r="C21" i="8"/>
  <c r="E23" i="8"/>
  <c r="A20" i="2"/>
  <c r="B20" i="2"/>
  <c r="C20" i="2"/>
  <c r="F23" i="4" s="1"/>
  <c r="D21" i="2"/>
  <c r="A21" i="5"/>
  <c r="T7" i="8" a="1"/>
  <c r="A22" i="8" a="1"/>
  <c r="C21" i="2" a="1"/>
  <c r="A21" i="2" a="1"/>
  <c r="A22" i="5" a="1"/>
  <c r="C22" i="8" a="1"/>
  <c r="B23" i="8" a="1"/>
  <c r="H17" i="8" a="1"/>
  <c r="B21" i="2" a="1"/>
  <c r="I16" i="8" a="1"/>
  <c r="S6" i="8" a="1"/>
  <c r="U6" i="8" a="1"/>
  <c r="O13" i="8" a="1"/>
  <c r="G16" i="8" a="1"/>
  <c r="M13" i="8" a="1"/>
  <c r="D23" i="8" a="1"/>
  <c r="D23" i="8" l="1"/>
  <c r="T7" i="8"/>
  <c r="B23" i="8"/>
  <c r="H17" i="8"/>
  <c r="M13" i="8"/>
  <c r="G16" i="8"/>
  <c r="O13" i="8"/>
  <c r="U6" i="8"/>
  <c r="S6" i="8"/>
  <c r="I16" i="8"/>
  <c r="A22" i="8"/>
  <c r="C22" i="8"/>
  <c r="E24" i="8"/>
  <c r="A21" i="2"/>
  <c r="B21" i="2"/>
  <c r="C21" i="2"/>
  <c r="F24" i="4" s="1"/>
  <c r="D22" i="2"/>
  <c r="A22" i="5"/>
  <c r="H18" i="8" a="1"/>
  <c r="A23" i="5" a="1"/>
  <c r="S7" i="8" a="1"/>
  <c r="C23" i="8" a="1"/>
  <c r="B24" i="8" a="1"/>
  <c r="U7" i="8" a="1"/>
  <c r="G17" i="8" a="1"/>
  <c r="I17" i="8" a="1"/>
  <c r="C22" i="2" a="1"/>
  <c r="A23" i="8" a="1"/>
  <c r="D24" i="8" a="1"/>
  <c r="B22" i="2" a="1"/>
  <c r="A22" i="2" a="1"/>
  <c r="D24" i="8" l="1"/>
  <c r="B24" i="8"/>
  <c r="H18" i="8"/>
  <c r="S7" i="8"/>
  <c r="I17" i="8"/>
  <c r="G17" i="8"/>
  <c r="U7" i="8"/>
  <c r="C23" i="8"/>
  <c r="A23" i="8"/>
  <c r="E25" i="8"/>
  <c r="A22" i="2"/>
  <c r="B22" i="2"/>
  <c r="C22" i="2"/>
  <c r="F25" i="4" s="1"/>
  <c r="D23" i="2"/>
  <c r="A23" i="5"/>
  <c r="C24" i="8" a="1"/>
  <c r="C23" i="2" a="1"/>
  <c r="A23" i="2" a="1"/>
  <c r="A24" i="8" a="1"/>
  <c r="B23" i="2" a="1"/>
  <c r="D25" i="8" a="1"/>
  <c r="A24" i="5" a="1"/>
  <c r="B25" i="8" a="1"/>
  <c r="H19" i="8" a="1"/>
  <c r="I18" i="8" a="1"/>
  <c r="G18" i="8" a="1"/>
  <c r="D25" i="8" l="1"/>
  <c r="B25" i="8"/>
  <c r="H19" i="8"/>
  <c r="G18" i="8"/>
  <c r="I18" i="8"/>
  <c r="A24" i="8"/>
  <c r="C24" i="8"/>
  <c r="A23" i="2"/>
  <c r="B23" i="2"/>
  <c r="C23" i="2"/>
  <c r="F26" i="4" s="1"/>
  <c r="D24" i="2"/>
  <c r="A24" i="5"/>
  <c r="G19" i="8" a="1"/>
  <c r="C24" i="2" a="1"/>
  <c r="A24" i="2" a="1"/>
  <c r="A25" i="5" a="1"/>
  <c r="I19" i="8" a="1"/>
  <c r="A25" i="8" a="1"/>
  <c r="C25" i="8" a="1"/>
  <c r="B24" i="2" a="1"/>
  <c r="I19" i="8" l="1"/>
  <c r="G19" i="8"/>
  <c r="C25" i="8"/>
  <c r="A25" i="8"/>
  <c r="A24" i="2"/>
  <c r="B24" i="2"/>
  <c r="C24" i="2"/>
  <c r="F27" i="4" s="1"/>
  <c r="D25" i="2"/>
  <c r="A25" i="5"/>
  <c r="B25" i="2" a="1"/>
  <c r="A25" i="2" a="1"/>
  <c r="C25" i="2" a="1"/>
  <c r="A25" i="2" l="1"/>
  <c r="B25" i="2"/>
  <c r="C25" i="2"/>
  <c r="F28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<sst xmlns="http://schemas.openxmlformats.org/spreadsheetml/2006/main" count="374" uniqueCount="79">
  <si>
    <t>protocol</t>
  </si>
  <si>
    <t>payload_bytes</t>
  </si>
  <si>
    <t>updates_per_second</t>
  </si>
  <si>
    <t>total_updates</t>
  </si>
  <si>
    <t>drops</t>
  </si>
  <si>
    <t>errors</t>
  </si>
  <si>
    <t>duration_seconds</t>
  </si>
  <si>
    <t>CA</t>
  </si>
  <si>
    <t>PVA</t>
  </si>
  <si>
    <t>SPVA</t>
  </si>
  <si>
    <t>SPVA_CERTMON</t>
  </si>
  <si>
    <t>cat /tmp/pvxperf-full-results.csv</t>
  </si>
  <si>
    <t>Sequential Mode (1 subscription)</t>
  </si>
  <si>
    <t>Payload</t>
  </si>
  <si>
    <t>1B</t>
  </si>
  <si>
    <t>10B</t>
  </si>
  <si>
    <t>100B</t>
  </si>
  <si>
    <t>1KB</t>
  </si>
  <si>
    <t>10KB</t>
  </si>
  <si>
    <t>100KB</t>
  </si>
  <si>
    <t>Parallel Mode (1000 subscriptions)</t>
  </si>
  <si>
    <t>Key Observations</t>
  </si>
  <si>
    <t>row to choose</t>
  </si>
  <si>
    <t>payload_mode</t>
  </si>
  <si>
    <t>subscribers</t>
  </si>
  <si>
    <t>raw</t>
  </si>
  <si>
    <t>per_sub_updates_per_second</t>
  </si>
  <si>
    <t>PASTE CSV HERE</t>
  </si>
  <si>
    <t>Row Labels</t>
  </si>
  <si>
    <t>Grand Total</t>
  </si>
  <si>
    <t>Column Labels</t>
  </si>
  <si>
    <t>Per Sub Uodates</t>
  </si>
  <si>
    <t>Payload Size</t>
  </si>
  <si>
    <t>Subscribers</t>
  </si>
  <si>
    <t>Protocol</t>
  </si>
  <si>
    <t>Max. of Per Sub Uodates</t>
  </si>
  <si>
    <t>Summary</t>
  </si>
  <si>
    <t>Platform</t>
  </si>
  <si>
    <t>macOS darwin-aarch64 (Apple Silicon)</t>
  </si>
  <si>
    <t>EPICS Base</t>
  </si>
  <si>
    <t>R7.0.10</t>
  </si>
  <si>
    <t>PVXS</t>
  </si>
  <si>
    <t>1.5.0</t>
  </si>
  <si>
    <t>OpenSSL</t>
  </si>
  <si>
    <t>3.6.1</t>
  </si>
  <si>
    <t>1000 parallel subscriptions</t>
  </si>
  <si>
    <t>5s measurement per data point</t>
  </si>
  <si>
    <t>100 warm-up updates</t>
  </si>
  <si>
    <t>loopback (127.0.0.1)</t>
  </si>
  <si>
    <t>isolated server ↔ client in same process</t>
  </si>
  <si>
    <t>Transport</t>
  </si>
  <si>
    <t>Results</t>
  </si>
  <si>
    <t>Environment</t>
  </si>
  <si>
    <t>Benchmark Config</t>
  </si>
  <si>
    <t>All values are updates/second (application-layer throughput).</t>
  </si>
  <si>
    <t>Drops are expected — they reflect squashed updates under load, not errors.</t>
  </si>
  <si>
    <t>PVA vs SPVA vs SPVA_CERTMON</t>
  </si>
  <si>
    <t>Virtually identical throughput</t>
  </si>
  <si>
    <t>TLS encryption and certificate monitoring add no measurable overhead.</t>
  </si>
  <si>
    <t>100KB payloads are the equalizer</t>
  </si>
  <si>
    <t>indicating the bottleneck shifts to memory/serialization.</t>
  </si>
  <si>
    <t>all protocols converge to ~15K/s</t>
  </si>
  <si>
    <t>PVA/SPVA vs CA</t>
  </si>
  <si>
    <t>outperform CA by ~3-4x in parallel mode for small-to-medium payloads</t>
  </si>
  <si>
    <t>parallel scales ~4-7x over sequential for small payloads (1B–100B)</t>
  </si>
  <si>
    <t>PVA/SPVA</t>
  </si>
  <si>
    <t>tapering at larger sizes.</t>
  </si>
  <si>
    <t>parallel scales ~2-3x over sequential for small payloads</t>
  </si>
  <si>
    <t>degrades faster with payload size</t>
  </si>
  <si>
    <t>How to run</t>
  </si>
  <si>
    <t>PVXS_LOG="pvxs.perf=INFO" ./bin/darwin-aarch64/pvxperf \</t>
  </si>
  <si>
    <t>--setup-cms \</t>
  </si>
  <si>
    <t>--keychain test/O.darwin-aarch64/server1.p12 \</t>
  </si>
  <si>
    <t>--duration 5 \</t>
  </si>
  <si>
    <t>--output /tmp/pvxperf-full-results.csv 2&gt;&amp;1</t>
  </si>
  <si>
    <t>* paste csv contents in last tab to see graphs</t>
  </si>
  <si>
    <t>CA perf tails off quickly with load</t>
  </si>
  <si>
    <t>PVA perf stays higher longer</t>
  </si>
  <si>
    <t>SPVA and SPVA with cert monitoring perform equal to PVA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</si>
</sst>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9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Meslo LG L DZ Regular for Powe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3" fontId="0" fillId="0" borderId="0" xfId="0" applyNumberFormat="1"/>
    <xf numFmtId="43" fontId="0" fillId="0" borderId="0" xfId="1" applyFont="1"/>
    <xf numFmtId="164" fontId="0" fillId="0" borderId="0" xfId="1" applyNumberFormat="1" applyFont="1"/>
    <xf numFmtId="0" fontId="13" fillId="33" borderId="10" xfId="0" applyFont="1" applyFill="1" applyBorder="1"/>
    <xf numFmtId="0" fontId="13" fillId="33" borderId="11" xfId="0" applyFont="1" applyFill="1" applyBorder="1"/>
    <xf numFmtId="0" fontId="0" fillId="34" borderId="10" xfId="0" applyFont="1" applyFill="1" applyBorder="1"/>
    <xf numFmtId="0" fontId="0" fillId="0" borderId="10" xfId="0" applyFont="1" applyBorder="1"/>
    <xf numFmtId="0" fontId="13" fillId="33" borderId="12" xfId="0" applyFont="1" applyFill="1" applyBorder="1"/>
    <xf numFmtId="0" fontId="3" fillId="0" borderId="1" xfId="3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4" fillId="0" borderId="2" xfId="4"/>
    <xf numFmtId="0" fontId="18" fillId="0" borderId="0" xfId="0" applyFont="1"/>
    <xf numFmtId="0" fontId="5" fillId="0" borderId="3" xfId="5"/>
    <xf numFmtId="0" fontId="5" fillId="0" borderId="0" xfId="6"/>
    <xf numFmtId="0" fontId="1" fillId="23" borderId="0" xfId="33"/>
    <xf numFmtId="3" fontId="1" fillId="23" borderId="0" xfId="33" applyNumberFormat="1"/>
    <xf numFmtId="0" fontId="1" fillId="22" borderId="0" xfId="32"/>
    <xf numFmtId="0" fontId="15" fillId="0" borderId="0" xfId="17"/>
    <xf numFmtId="0" fontId="6" fillId="2" borderId="0" xfId="7"/>
    <xf numFmtId="0" fontId="8" fillId="4" borderId="0" xfId="9"/>
    <xf numFmtId="0" fontId="7" fillId="3" borderId="0" xfId="8"/>
    <xf numFmtId="0" fontId="18" fillId="0" borderId="0" xfId="0" quotePrefix="1" applyFont="1"/>
    <xf numFmtId="3" fontId="0" fillId="22" borderId="0" xfId="32" applyNumberFormat="1" applyFont="1"/>
    <xf numFmtId="164" fontId="0" fillId="34" borderId="11" xfId="0" applyNumberFormat="1" applyFont="1" applyFill="1" applyBorder="1"/>
    <xf numFmtId="164" fontId="0" fillId="34" borderId="11" xfId="1" applyNumberFormat="1" applyFont="1" applyFill="1" applyBorder="1"/>
    <xf numFmtId="43" fontId="0" fillId="34" borderId="12" xfId="1" applyNumberFormat="1" applyFont="1" applyFill="1" applyBorder="1"/>
    <xf numFmtId="164" fontId="0" fillId="0" borderId="11" xfId="0" applyNumberFormat="1" applyFont="1" applyBorder="1"/>
    <xf numFmtId="164" fontId="0" fillId="0" borderId="11" xfId="1" applyNumberFormat="1" applyFont="1" applyBorder="1"/>
    <xf numFmtId="43" fontId="0" fillId="0" borderId="12" xfId="1" applyNumberFormat="1" applyFont="1" applyBorder="1"/>
    <xf numFmtId="43" fontId="0" fillId="34" borderId="11" xfId="1" applyNumberFormat="1" applyFont="1" applyFill="1" applyBorder="1"/>
    <xf numFmtId="43" fontId="0" fillId="0" borderId="11" xfId="1" applyNumberFormat="1" applyFont="1" applyBorder="1"/>
    <xf numFmtId="0" fontId="13" fillId="33" borderId="0" xfId="0" applyFont="1" applyFill="1" applyBorder="1"/>
    <xf numFmtId="164" fontId="0" fillId="34" borderId="12" xfId="1" applyNumberFormat="1" applyFont="1" applyFill="1" applyBorder="1"/>
    <xf numFmtId="164" fontId="0" fillId="0" borderId="12" xfId="1" applyNumberFormat="1" applyFont="1" applyBorder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_(* #,##0_);_(* \(#,##0\);_(* &quot;-&quot;??_);_(@_)"/>
    </dxf>
    <dxf>
      <numFmt numFmtId="164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Max Data Throughput: 1,000 Parallel Subscriptions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par!$A$2</c:f>
              <c:strCache>
                <c:ptCount val="1"/>
                <c:pt idx="0">
                  <c:v>CA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par!$B$2:$B$7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par!$C$2:$C$7</c:f>
              <c:numCache>
                <c:formatCode>_(* #,##0.00_);_(* \(#,##0.00\);_(* "-"??_);_(@_)</c:formatCode>
                <c:ptCount val="6"/>
                <c:pt idx="0">
                  <c:v>59490.2</c:v>
                </c:pt>
                <c:pt idx="1">
                  <c:v>55886.3</c:v>
                </c:pt>
                <c:pt idx="2">
                  <c:v>55580.800000000003</c:v>
                </c:pt>
                <c:pt idx="3">
                  <c:v>53761.2</c:v>
                </c:pt>
                <c:pt idx="4">
                  <c:v>28888.9</c:v>
                </c:pt>
                <c:pt idx="5">
                  <c:v>7871.95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5C-E74A-9ACB-83576166ED79}"/>
            </c:ext>
          </c:extLst>
        </c:ser>
        <c:ser>
          <c:idx val="1"/>
          <c:order val="1"/>
          <c:tx>
            <c:strRef>
              <c:f>par!$A$8</c:f>
              <c:strCache>
                <c:ptCount val="1"/>
                <c:pt idx="0">
                  <c:v>PVA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par!$B$2:$B$7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par!$C$8:$C$13</c:f>
              <c:numCache>
                <c:formatCode>_(* #,##0.00_);_(* \(#,##0.00\);_(* "-"??_);_(@_)</c:formatCode>
                <c:ptCount val="6"/>
                <c:pt idx="0">
                  <c:v>238695</c:v>
                </c:pt>
                <c:pt idx="1">
                  <c:v>227079</c:v>
                </c:pt>
                <c:pt idx="2">
                  <c:v>241768</c:v>
                </c:pt>
                <c:pt idx="3">
                  <c:v>119858</c:v>
                </c:pt>
                <c:pt idx="4">
                  <c:v>62567.3</c:v>
                </c:pt>
                <c:pt idx="5">
                  <c:v>15254.8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5C-E74A-9ACB-83576166ED79}"/>
            </c:ext>
          </c:extLst>
        </c:ser>
        <c:ser>
          <c:idx val="2"/>
          <c:order val="2"/>
          <c:tx>
            <c:strRef>
              <c:f>par!$A$14</c:f>
              <c:strCache>
                <c:ptCount val="1"/>
                <c:pt idx="0">
                  <c:v>SPVA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par!$B$2:$B$7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par!$C$14:$C$19</c:f>
              <c:numCache>
                <c:formatCode>_(* #,##0.00_);_(* \(#,##0.00\);_(* "-"??_);_(@_)</c:formatCode>
                <c:ptCount val="6"/>
                <c:pt idx="0">
                  <c:v>218564</c:v>
                </c:pt>
                <c:pt idx="1">
                  <c:v>220478</c:v>
                </c:pt>
                <c:pt idx="2">
                  <c:v>241597</c:v>
                </c:pt>
                <c:pt idx="3">
                  <c:v>126791</c:v>
                </c:pt>
                <c:pt idx="4">
                  <c:v>62595</c:v>
                </c:pt>
                <c:pt idx="5">
                  <c:v>15668.6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5C-E74A-9ACB-83576166ED79}"/>
            </c:ext>
          </c:extLst>
        </c:ser>
        <c:ser>
          <c:idx val="3"/>
          <c:order val="3"/>
          <c:tx>
            <c:strRef>
              <c:f>par!$A$20</c:f>
              <c:strCache>
                <c:ptCount val="1"/>
                <c:pt idx="0">
                  <c:v>SPVA_CERTMON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par!$B$2:$B$7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par!$C$20:$C$25</c:f>
              <c:numCache>
                <c:formatCode>_(* #,##0.00_);_(* \(#,##0.00\);_(* "-"??_);_(@_)</c:formatCode>
                <c:ptCount val="6"/>
                <c:pt idx="0">
                  <c:v>227609</c:v>
                </c:pt>
                <c:pt idx="1">
                  <c:v>224105</c:v>
                </c:pt>
                <c:pt idx="2">
                  <c:v>227917</c:v>
                </c:pt>
                <c:pt idx="3">
                  <c:v>122703</c:v>
                </c:pt>
                <c:pt idx="4">
                  <c:v>64543.4</c:v>
                </c:pt>
                <c:pt idx="5">
                  <c:v>16025.3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E5C-E74A-9ACB-83576166ED7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951345472"/>
        <c:axId val="951348608"/>
      </c:lineChart>
      <c:catAx>
        <c:axId val="951345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Payload Size (Bytes)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348608"/>
        <c:crosses val="autoZero"/>
        <c:auto val="1"/>
        <c:lblAlgn val="ctr"/>
        <c:lblOffset val="100"/>
        <c:noMultiLvlLbl val="0"/>
      </c:catAx>
      <c:valAx>
        <c:axId val="951348608"/>
        <c:scaling>
          <c:logBase val="10"/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Max Updates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345472"/>
        <c:crosses val="autoZero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Max Data Throughput: Single Subscriber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seq!$A$2</c:f>
              <c:strCache>
                <c:ptCount val="1"/>
                <c:pt idx="0">
                  <c:v>CA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seq!$B$2:$B$7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seq!$C$2:$C$7</c:f>
              <c:numCache>
                <c:formatCode>_(* #,##0.00_);_(* \(#,##0.00\);_(* "-"??_);_(@_)</c:formatCode>
                <c:ptCount val="6"/>
                <c:pt idx="0">
                  <c:v>36247.699999999997</c:v>
                </c:pt>
                <c:pt idx="1">
                  <c:v>26478.5</c:v>
                </c:pt>
                <c:pt idx="2">
                  <c:v>26566.7</c:v>
                </c:pt>
                <c:pt idx="3">
                  <c:v>61700.7</c:v>
                </c:pt>
                <c:pt idx="4">
                  <c:v>38166.9</c:v>
                </c:pt>
                <c:pt idx="5">
                  <c:v>23920.7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20-FF4F-83B1-9E3B55E3FC08}"/>
            </c:ext>
          </c:extLst>
        </c:ser>
        <c:ser>
          <c:idx val="1"/>
          <c:order val="1"/>
          <c:tx>
            <c:strRef>
              <c:f>seq!$A$8</c:f>
              <c:strCache>
                <c:ptCount val="1"/>
                <c:pt idx="0">
                  <c:v>PVA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seq!$B$2:$B$7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seq!$C$8:$C$13</c:f>
              <c:numCache>
                <c:formatCode>_(* #,##0.00_);_(* \(#,##0.00\);_(* "-"??_);_(@_)</c:formatCode>
                <c:ptCount val="6"/>
                <c:pt idx="0">
                  <c:v>39773.1</c:v>
                </c:pt>
                <c:pt idx="1">
                  <c:v>38820.400000000001</c:v>
                </c:pt>
                <c:pt idx="2">
                  <c:v>39690.5</c:v>
                </c:pt>
                <c:pt idx="3">
                  <c:v>38470.1</c:v>
                </c:pt>
                <c:pt idx="4">
                  <c:v>38071.699999999997</c:v>
                </c:pt>
                <c:pt idx="5">
                  <c:v>15791.7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20-FF4F-83B1-9E3B55E3FC08}"/>
            </c:ext>
          </c:extLst>
        </c:ser>
        <c:ser>
          <c:idx val="2"/>
          <c:order val="2"/>
          <c:tx>
            <c:strRef>
              <c:f>seq!$A$14</c:f>
              <c:strCache>
                <c:ptCount val="1"/>
                <c:pt idx="0">
                  <c:v>SPVA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seq!$B$2:$B$7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seq!$C$14:$C$19</c:f>
              <c:numCache>
                <c:formatCode>_(* #,##0.00_);_(* \(#,##0.00\);_(* "-"??_);_(@_)</c:formatCode>
                <c:ptCount val="6"/>
                <c:pt idx="0">
                  <c:v>38317.300000000003</c:v>
                </c:pt>
                <c:pt idx="1">
                  <c:v>37435</c:v>
                </c:pt>
                <c:pt idx="2">
                  <c:v>39228.9</c:v>
                </c:pt>
                <c:pt idx="3">
                  <c:v>35499.599999999999</c:v>
                </c:pt>
                <c:pt idx="4">
                  <c:v>36015.800000000003</c:v>
                </c:pt>
                <c:pt idx="5">
                  <c:v>15472.7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20-FF4F-83B1-9E3B55E3FC08}"/>
            </c:ext>
          </c:extLst>
        </c:ser>
        <c:ser>
          <c:idx val="3"/>
          <c:order val="3"/>
          <c:tx>
            <c:strRef>
              <c:f>seq!$A$20</c:f>
              <c:strCache>
                <c:ptCount val="1"/>
                <c:pt idx="0">
                  <c:v>SPVA_CERTMON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seq!$B$2:$B$7</c:f>
              <c:numCache>
                <c:formatCode>_(* #,##0_);_(* \(#,##0\);_(* "-"??_);_(@_)</c:formatCode>
                <c:ptCount val="6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1000</c:v>
                </c:pt>
                <c:pt idx="4">
                  <c:v>10000</c:v>
                </c:pt>
                <c:pt idx="5">
                  <c:v>100000</c:v>
                </c:pt>
              </c:numCache>
            </c:numRef>
          </c:cat>
          <c:val>
            <c:numRef>
              <c:f>seq!$C$20:$C$25</c:f>
              <c:numCache>
                <c:formatCode>_(* #,##0.00_);_(* \(#,##0.00\);_(* "-"??_);_(@_)</c:formatCode>
                <c:ptCount val="6"/>
                <c:pt idx="0">
                  <c:v>39402.800000000003</c:v>
                </c:pt>
                <c:pt idx="1">
                  <c:v>39213.599999999999</c:v>
                </c:pt>
                <c:pt idx="2">
                  <c:v>38251.5</c:v>
                </c:pt>
                <c:pt idx="3">
                  <c:v>38280.199999999997</c:v>
                </c:pt>
                <c:pt idx="4">
                  <c:v>38698.9</c:v>
                </c:pt>
                <c:pt idx="5">
                  <c:v>15865.5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20-FF4F-83B1-9E3B55E3FC0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951345472"/>
        <c:axId val="951348608"/>
      </c:lineChart>
      <c:catAx>
        <c:axId val="951345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Payload Size (Bytes)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348608"/>
        <c:crosses val="autoZero"/>
        <c:auto val="1"/>
        <c:lblAlgn val="ctr"/>
        <c:lblOffset val="100"/>
        <c:noMultiLvlLbl val="0"/>
      </c:catAx>
      <c:valAx>
        <c:axId val="951348608"/>
        <c:scaling>
          <c:logBase val="10"/>
          <c:orientation val="minMax"/>
          <c:max val="10000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Max Updates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345472"/>
        <c:crosses val="autoZero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[pvxperf-full-results.xlsx]pivot!PivotTable2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4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6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/>
          <a:effectLst/>
          <a:sp3d/>
        </c:spPr>
      </c:pivotFmt>
      <c:pivotFmt>
        <c:idx val="7"/>
        <c:spPr>
          <a:solidFill>
            <a:schemeClr val="accent2"/>
          </a:solidFill>
          <a:ln/>
          <a:effectLst/>
          <a:sp3d/>
        </c:spPr>
      </c:pivotFmt>
      <c:pivotFmt>
        <c:idx val="8"/>
        <c:spPr>
          <a:solidFill>
            <a:schemeClr val="accent3"/>
          </a:solidFill>
          <a:ln/>
          <a:effectLst/>
          <a:sp3d/>
        </c:spPr>
      </c:pivotFmt>
      <c:pivotFmt>
        <c:idx val="9"/>
        <c:spPr>
          <a:solidFill>
            <a:schemeClr val="accent4"/>
          </a:solidFill>
          <a:ln/>
          <a:effectLst/>
          <a:sp3d/>
        </c:spPr>
      </c:pivotFmt>
      <c:pivotFmt>
        <c:idx val="10"/>
        <c:spPr>
          <a:solidFill>
            <a:schemeClr val="accent5"/>
          </a:solidFill>
          <a:ln/>
          <a:effectLst/>
          <a:sp3d/>
        </c:spPr>
      </c:pivotFmt>
    </c:pivotFmts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0"/>
          <c:order val="0"/>
          <c:tx>
            <c:strRef>
              <c:f>pivot!$B$3:$B$4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/>
            <a:effectLst/>
            <a:sp3d/>
          </c:spPr>
          <c:cat>
            <c:strRef>
              <c:f>pivot!$A$5:$A$10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pivot!$B$5:$B$10</c:f>
              <c:numCache>
                <c:formatCode>General</c:formatCode>
                <c:ptCount val="5"/>
                <c:pt idx="0">
                  <c:v>36247.699999999997</c:v>
                </c:pt>
                <c:pt idx="1">
                  <c:v>16844.099999999999</c:v>
                </c:pt>
                <c:pt idx="2">
                  <c:v>166.54599999999999</c:v>
                </c:pt>
                <c:pt idx="3">
                  <c:v>123.586</c:v>
                </c:pt>
                <c:pt idx="4">
                  <c:v>59.490200000000002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4D-3442-A425-A1CC2B20502B}"/>
            </c:ext>
          </c:extLst>
        </c:ser>
        <c:ser>
          <c:idx val="1"/>
          <c:order val="1"/>
          <c:tx>
            <c:strRef>
              <c:f>pivot!$C$3:$C$4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2"/>
            </a:solidFill>
            <a:ln/>
            <a:effectLst/>
            <a:sp3d/>
          </c:spPr>
          <c:cat>
            <c:strRef>
              <c:f>pivot!$A$5:$A$10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pivot!$C$5:$C$10</c:f>
              <c:numCache>
                <c:formatCode>General</c:formatCode>
                <c:ptCount val="5"/>
                <c:pt idx="0">
                  <c:v>26478.5</c:v>
                </c:pt>
                <c:pt idx="1">
                  <c:v>22123.5</c:v>
                </c:pt>
                <c:pt idx="2">
                  <c:v>156.28899999999999</c:v>
                </c:pt>
                <c:pt idx="3">
                  <c:v>121.247</c:v>
                </c:pt>
                <c:pt idx="4">
                  <c:v>55.886299999999999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4D-3442-A425-A1CC2B20502B}"/>
            </c:ext>
          </c:extLst>
        </c:ser>
        <c:ser>
          <c:idx val="2"/>
          <c:order val="2"/>
          <c:tx>
            <c:strRef>
              <c:f>pivot!$D$3:$D$4</c:f>
              <c:strCache>
                <c:ptCount val="1"/>
                <c:pt idx="0">
                  <c:v>100</c:v>
                </c:pt>
              </c:strCache>
            </c:strRef>
          </c:tx>
          <c:spPr>
            <a:solidFill>
              <a:schemeClr val="accent3"/>
            </a:solidFill>
            <a:ln/>
            <a:effectLst/>
            <a:sp3d/>
          </c:spPr>
          <c:cat>
            <c:strRef>
              <c:f>pivot!$A$5:$A$10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pivot!$D$5:$D$10</c:f>
              <c:numCache>
                <c:formatCode>General</c:formatCode>
                <c:ptCount val="5"/>
                <c:pt idx="0">
                  <c:v>26566.7</c:v>
                </c:pt>
                <c:pt idx="1">
                  <c:v>15587.7</c:v>
                </c:pt>
                <c:pt idx="2">
                  <c:v>161.88999999999999</c:v>
                </c:pt>
                <c:pt idx="3">
                  <c:v>125.315</c:v>
                </c:pt>
                <c:pt idx="4">
                  <c:v>55.580800000000004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4D-3442-A425-A1CC2B20502B}"/>
            </c:ext>
          </c:extLst>
        </c:ser>
        <c:ser>
          <c:idx val="3"/>
          <c:order val="3"/>
          <c:tx>
            <c:strRef>
              <c:f>pivot!$E$3:$E$4</c:f>
              <c:strCache>
                <c:ptCount val="1"/>
                <c:pt idx="0">
                  <c:v>1000</c:v>
                </c:pt>
              </c:strCache>
            </c:strRef>
          </c:tx>
          <c:spPr>
            <a:solidFill>
              <a:schemeClr val="accent4"/>
            </a:solidFill>
            <a:ln/>
            <a:effectLst/>
            <a:sp3d/>
          </c:spPr>
          <c:cat>
            <c:strRef>
              <c:f>pivot!$A$5:$A$10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pivot!$E$5:$E$10</c:f>
              <c:numCache>
                <c:formatCode>General</c:formatCode>
                <c:ptCount val="5"/>
                <c:pt idx="0">
                  <c:v>61700.7</c:v>
                </c:pt>
                <c:pt idx="1">
                  <c:v>29007.1</c:v>
                </c:pt>
                <c:pt idx="2">
                  <c:v>126.063</c:v>
                </c:pt>
                <c:pt idx="3">
                  <c:v>121.131</c:v>
                </c:pt>
                <c:pt idx="4">
                  <c:v>53.761200000000002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4D-3442-A425-A1CC2B20502B}"/>
            </c:ext>
          </c:extLst>
        </c:ser>
        <c:ser>
          <c:idx val="4"/>
          <c:order val="4"/>
          <c:tx>
            <c:strRef>
              <c:f>pivot!$F$3:$F$4</c:f>
              <c:strCache>
                <c:ptCount val="1"/>
                <c:pt idx="0">
                  <c:v>10000</c:v>
                </c:pt>
              </c:strCache>
            </c:strRef>
          </c:tx>
          <c:spPr>
            <a:solidFill>
              <a:schemeClr val="accent5"/>
            </a:solidFill>
            <a:ln/>
            <a:effectLst/>
            <a:sp3d/>
          </c:spPr>
          <c:cat>
            <c:strRef>
              <c:f>pivot!$A$5:$A$10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pivot!$F$5:$F$10</c:f>
              <c:numCache>
                <c:formatCode>General</c:formatCode>
                <c:ptCount val="5"/>
                <c:pt idx="0">
                  <c:v>38166.9</c:v>
                </c:pt>
                <c:pt idx="1">
                  <c:v>21877.4</c:v>
                </c:pt>
                <c:pt idx="2">
                  <c:v>238.33500000000001</c:v>
                </c:pt>
                <c:pt idx="3">
                  <c:v>102.586</c:v>
                </c:pt>
                <c:pt idx="4">
                  <c:v>28.8889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4D-3442-A425-A1CC2B20502B}"/>
            </c:ext>
          </c:extLst>
        </c:ser>
        <c:ser>
          <c:idx val="5"/>
          <c:order val="5"/>
          <c:tx>
            <c:strRef>
              <c:f>pivot!$G$3:$G$4</c:f>
              <c:strCache>
                <c:ptCount val="1"/>
                <c:pt idx="0">
                  <c:v>100000</c:v>
                </c:pt>
              </c:strCache>
            </c:strRef>
          </c:tx>
          <c:spPr>
            <a:solidFill>
              <a:schemeClr val="accent6"/>
            </a:solidFill>
            <a:ln/>
            <a:effectLst/>
            <a:sp3d/>
          </c:spPr>
          <c:cat>
            <c:strRef>
              <c:f>pivot!$A$5:$A$10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pivot!$G$5:$G$10</c:f>
              <c:numCache>
                <c:formatCode>General</c:formatCode>
                <c:ptCount val="5"/>
                <c:pt idx="0">
                  <c:v>23920.7</c:v>
                </c:pt>
                <c:pt idx="1">
                  <c:v>15016.2</c:v>
                </c:pt>
                <c:pt idx="2">
                  <c:v>2497.91</c:v>
                </c:pt>
                <c:pt idx="3">
                  <c:v>365.81799999999998</c:v>
                </c:pt>
                <c:pt idx="4">
                  <c:v>7.87195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4D-3442-A425-A1CC2B20502B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</c:bandFmts>
        <c:axId val="917154752"/>
        <c:axId val="917149824"/>
        <c:axId val="1282607104"/>
      </c:surface3DChart>
      <c:catAx>
        <c:axId val="9171547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Subscriptions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7149824"/>
        <c:crosses val="autoZero"/>
        <c:auto val="1"/>
        <c:lblAlgn val="ctr"/>
        <c:lblOffset val="100"/>
        <c:noMultiLvlLbl val="0"/>
      </c:catAx>
      <c:valAx>
        <c:axId val="917149824"/>
        <c:scaling>
          <c:logBase val="10"/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Throughput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7154752"/>
        <c:crosses val="autoZero"/>
        <c:crossBetween val="midCat"/>
      </c:valAx>
      <c:serAx>
        <c:axId val="1282607104"/>
        <c:scaling>
          <c:orientation val="minMax"/>
        </c:scaling>
        <c:delete val="0"/>
        <c:axPos val="b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Payload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7149824"/>
        <c:crosses val="autoZero"/>
      </c:ser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[pvxperf-full-results.xlsx]pivot!PivotTable3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/>
          <a:effectLst/>
          <a:sp3d/>
        </c:spPr>
      </c:pivotFmt>
      <c:pivotFmt>
        <c:idx val="8"/>
        <c:spPr>
          <a:solidFill>
            <a:schemeClr val="accent2"/>
          </a:solidFill>
          <a:ln/>
          <a:effectLst/>
          <a:sp3d/>
        </c:spPr>
      </c:pivotFmt>
      <c:pivotFmt>
        <c:idx val="9"/>
        <c:spPr>
          <a:solidFill>
            <a:schemeClr val="accent3"/>
          </a:solidFill>
          <a:ln/>
          <a:effectLst/>
          <a:sp3d/>
        </c:spPr>
      </c:pivotFmt>
      <c:pivotFmt>
        <c:idx val="10"/>
        <c:spPr>
          <a:solidFill>
            <a:schemeClr val="accent4"/>
          </a:solidFill>
          <a:ln/>
          <a:effectLst/>
          <a:sp3d/>
        </c:spPr>
      </c:pivotFmt>
      <c:pivotFmt>
        <c:idx val="11"/>
        <c:spPr>
          <a:solidFill>
            <a:schemeClr val="accent5"/>
          </a:solidFill>
          <a:ln/>
          <a:effectLst/>
          <a:sp3d/>
        </c:spPr>
      </c:pivotFmt>
      <c:pivotFmt>
        <c:idx val="12"/>
        <c:spPr>
          <a:solidFill>
            <a:schemeClr val="accent2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3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5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6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/>
          <a:effectLst/>
          <a:sp3d/>
        </c:spPr>
      </c:pivotFmt>
      <c:pivotFmt>
        <c:idx val="19"/>
        <c:spPr>
          <a:solidFill>
            <a:schemeClr val="accent2"/>
          </a:solidFill>
          <a:ln/>
          <a:effectLst/>
          <a:sp3d/>
        </c:spPr>
      </c:pivotFmt>
      <c:pivotFmt>
        <c:idx val="20"/>
        <c:spPr>
          <a:solidFill>
            <a:schemeClr val="accent3"/>
          </a:solidFill>
          <a:ln/>
          <a:effectLst/>
          <a:sp3d/>
        </c:spPr>
      </c:pivotFmt>
      <c:pivotFmt>
        <c:idx val="21"/>
        <c:spPr>
          <a:solidFill>
            <a:schemeClr val="accent4"/>
          </a:solidFill>
          <a:ln/>
          <a:effectLst/>
          <a:sp3d/>
        </c:spPr>
      </c:pivotFmt>
      <c:pivotFmt>
        <c:idx val="22"/>
        <c:spPr>
          <a:solidFill>
            <a:schemeClr val="accent5"/>
          </a:solidFill>
          <a:ln/>
          <a:effectLst/>
          <a:sp3d/>
        </c:spPr>
      </c:pivotFmt>
      <c:pivotFmt>
        <c:idx val="23"/>
        <c:spPr>
          <a:solidFill>
            <a:schemeClr val="accent2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/>
          <a:effectLst/>
          <a:sp3d/>
        </c:spPr>
      </c:pivotFmt>
      <c:pivotFmt>
        <c:idx val="30"/>
        <c:spPr>
          <a:solidFill>
            <a:schemeClr val="accent2"/>
          </a:solidFill>
          <a:ln/>
          <a:effectLst/>
          <a:sp3d/>
        </c:spPr>
      </c:pivotFmt>
      <c:pivotFmt>
        <c:idx val="31"/>
        <c:spPr>
          <a:solidFill>
            <a:schemeClr val="accent3"/>
          </a:solidFill>
          <a:ln/>
          <a:effectLst/>
          <a:sp3d/>
        </c:spPr>
      </c:pivotFmt>
      <c:pivotFmt>
        <c:idx val="32"/>
        <c:spPr>
          <a:solidFill>
            <a:schemeClr val="accent4"/>
          </a:solidFill>
          <a:ln/>
          <a:effectLst/>
          <a:sp3d/>
        </c:spPr>
      </c:pivotFmt>
      <c:pivotFmt>
        <c:idx val="33"/>
        <c:spPr>
          <a:solidFill>
            <a:schemeClr val="accent5"/>
          </a:solidFill>
          <a:ln/>
          <a:effectLst/>
          <a:sp3d/>
        </c:spPr>
      </c:pivotFmt>
      <c:pivotFmt>
        <c:idx val="34"/>
        <c:spPr>
          <a:solidFill>
            <a:schemeClr val="accent2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3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4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5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6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0"/>
          <c:order val="0"/>
          <c:tx>
            <c:strRef>
              <c:f>pivot!$L$3:$L$4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/>
            <a:effectLst/>
            <a:sp3d/>
          </c:spPr>
          <c:cat>
            <c:strRef>
              <c:f>pivot!$K$5:$K$10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pivot!$L$5:$L$10</c:f>
              <c:numCache>
                <c:formatCode>General</c:formatCode>
                <c:ptCount val="5"/>
                <c:pt idx="0">
                  <c:v>39773.1</c:v>
                </c:pt>
                <c:pt idx="1">
                  <c:v>14475.1</c:v>
                </c:pt>
                <c:pt idx="2">
                  <c:v>1795.09</c:v>
                </c:pt>
                <c:pt idx="3">
                  <c:v>459.97800000000001</c:v>
                </c:pt>
                <c:pt idx="4">
                  <c:v>238.69499999999999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749-224B-A634-D68148415816}"/>
            </c:ext>
          </c:extLst>
        </c:ser>
        <c:ser>
          <c:idx val="1"/>
          <c:order val="1"/>
          <c:tx>
            <c:strRef>
              <c:f>pivot!$M$3:$M$4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2"/>
            </a:solidFill>
            <a:ln/>
            <a:effectLst/>
            <a:sp3d/>
          </c:spPr>
          <c:cat>
            <c:strRef>
              <c:f>pivot!$K$5:$K$10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pivot!$M$5:$M$10</c:f>
              <c:numCache>
                <c:formatCode>General</c:formatCode>
                <c:ptCount val="5"/>
                <c:pt idx="0">
                  <c:v>38820.400000000001</c:v>
                </c:pt>
                <c:pt idx="1">
                  <c:v>14662.4</c:v>
                </c:pt>
                <c:pt idx="2">
                  <c:v>1807.36</c:v>
                </c:pt>
                <c:pt idx="3">
                  <c:v>468.68799999999999</c:v>
                </c:pt>
                <c:pt idx="4">
                  <c:v>227.07900000000001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749-224B-A634-D68148415816}"/>
            </c:ext>
          </c:extLst>
        </c:ser>
        <c:ser>
          <c:idx val="2"/>
          <c:order val="2"/>
          <c:tx>
            <c:strRef>
              <c:f>pivot!$N$3:$N$4</c:f>
              <c:strCache>
                <c:ptCount val="1"/>
                <c:pt idx="0">
                  <c:v>100</c:v>
                </c:pt>
              </c:strCache>
            </c:strRef>
          </c:tx>
          <c:spPr>
            <a:solidFill>
              <a:schemeClr val="accent3"/>
            </a:solidFill>
            <a:ln/>
            <a:effectLst/>
            <a:sp3d/>
          </c:spPr>
          <c:cat>
            <c:strRef>
              <c:f>pivot!$K$5:$K$10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pivot!$N$5:$N$10</c:f>
              <c:numCache>
                <c:formatCode>General</c:formatCode>
                <c:ptCount val="5"/>
                <c:pt idx="0">
                  <c:v>39690.5</c:v>
                </c:pt>
                <c:pt idx="1">
                  <c:v>14600.4</c:v>
                </c:pt>
                <c:pt idx="2">
                  <c:v>2187.62</c:v>
                </c:pt>
                <c:pt idx="3">
                  <c:v>500.90300000000002</c:v>
                </c:pt>
                <c:pt idx="4">
                  <c:v>241.768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749-224B-A634-D68148415816}"/>
            </c:ext>
          </c:extLst>
        </c:ser>
        <c:ser>
          <c:idx val="3"/>
          <c:order val="3"/>
          <c:tx>
            <c:strRef>
              <c:f>pivot!$O$3:$O$4</c:f>
              <c:strCache>
                <c:ptCount val="1"/>
                <c:pt idx="0">
                  <c:v>1000</c:v>
                </c:pt>
              </c:strCache>
            </c:strRef>
          </c:tx>
          <c:spPr>
            <a:solidFill>
              <a:schemeClr val="accent4"/>
            </a:solidFill>
            <a:ln/>
            <a:effectLst/>
            <a:sp3d/>
          </c:spPr>
          <c:cat>
            <c:strRef>
              <c:f>pivot!$K$5:$K$10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pivot!$O$5:$O$10</c:f>
              <c:numCache>
                <c:formatCode>General</c:formatCode>
                <c:ptCount val="5"/>
                <c:pt idx="0">
                  <c:v>38470.1</c:v>
                </c:pt>
                <c:pt idx="1">
                  <c:v>13581.7</c:v>
                </c:pt>
                <c:pt idx="2">
                  <c:v>1710.89</c:v>
                </c:pt>
                <c:pt idx="3">
                  <c:v>346.79899999999998</c:v>
                </c:pt>
                <c:pt idx="4">
                  <c:v>119.858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749-224B-A634-D68148415816}"/>
            </c:ext>
          </c:extLst>
        </c:ser>
        <c:ser>
          <c:idx val="4"/>
          <c:order val="4"/>
          <c:tx>
            <c:strRef>
              <c:f>pivot!$P$3:$P$4</c:f>
              <c:strCache>
                <c:ptCount val="1"/>
                <c:pt idx="0">
                  <c:v>10000</c:v>
                </c:pt>
              </c:strCache>
            </c:strRef>
          </c:tx>
          <c:spPr>
            <a:solidFill>
              <a:schemeClr val="accent5"/>
            </a:solidFill>
            <a:ln/>
            <a:effectLst/>
            <a:sp3d/>
          </c:spPr>
          <c:cat>
            <c:strRef>
              <c:f>pivot!$K$5:$K$10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pivot!$P$5:$P$10</c:f>
              <c:numCache>
                <c:formatCode>General</c:formatCode>
                <c:ptCount val="5"/>
                <c:pt idx="0">
                  <c:v>38071.699999999997</c:v>
                </c:pt>
                <c:pt idx="1">
                  <c:v>5755.16</c:v>
                </c:pt>
                <c:pt idx="2">
                  <c:v>609.37800000000004</c:v>
                </c:pt>
                <c:pt idx="3">
                  <c:v>123.428</c:v>
                </c:pt>
                <c:pt idx="4">
                  <c:v>62.567300000000003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749-224B-A634-D68148415816}"/>
            </c:ext>
          </c:extLst>
        </c:ser>
        <c:ser>
          <c:idx val="5"/>
          <c:order val="5"/>
          <c:tx>
            <c:strRef>
              <c:f>pivot!$Q$3:$Q$4</c:f>
              <c:strCache>
                <c:ptCount val="1"/>
                <c:pt idx="0">
                  <c:v>100000</c:v>
                </c:pt>
              </c:strCache>
            </c:strRef>
          </c:tx>
          <c:spPr>
            <a:solidFill>
              <a:schemeClr val="accent6"/>
            </a:solidFill>
            <a:ln/>
            <a:effectLst/>
            <a:sp3d/>
          </c:spPr>
          <c:cat>
            <c:strRef>
              <c:f>pivot!$K$5:$K$10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pivot!$Q$5:$Q$10</c:f>
              <c:numCache>
                <c:formatCode>General</c:formatCode>
                <c:ptCount val="5"/>
                <c:pt idx="0">
                  <c:v>15791.7</c:v>
                </c:pt>
                <c:pt idx="1">
                  <c:v>1380.16</c:v>
                </c:pt>
                <c:pt idx="2">
                  <c:v>136.626</c:v>
                </c:pt>
                <c:pt idx="3">
                  <c:v>29.1279</c:v>
                </c:pt>
                <c:pt idx="4">
                  <c:v>15.254799999999999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5749-224B-A634-D68148415816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</c:bandFmts>
        <c:axId val="917154752"/>
        <c:axId val="917149824"/>
        <c:axId val="1282607104"/>
      </c:surface3DChart>
      <c:catAx>
        <c:axId val="9171547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Subscriptions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7149824"/>
        <c:crosses val="autoZero"/>
        <c:auto val="1"/>
        <c:lblAlgn val="ctr"/>
        <c:lblOffset val="100"/>
        <c:noMultiLvlLbl val="0"/>
      </c:catAx>
      <c:valAx>
        <c:axId val="917149824"/>
        <c:scaling>
          <c:logBase val="10"/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Throughput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7154752"/>
        <c:crosses val="autoZero"/>
        <c:crossBetween val="midCat"/>
      </c:valAx>
      <c:serAx>
        <c:axId val="1282607104"/>
        <c:scaling>
          <c:orientation val="minMax"/>
        </c:scaling>
        <c:delete val="0"/>
        <c:axPos val="b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Payload Size</a:t>
                </a:r>
              </a:p>
            </c:rich>
          </c:tx>
          <c:overlay val="0"/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7149824"/>
        <c:crosses val="autoZero"/>
      </c:ser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[pvxperf-full-results.xlsx]pivot!PivotTable4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/>
          <a:effectLst/>
          <a:sp3d/>
        </c:spPr>
      </c:pivotFmt>
      <c:pivotFmt>
        <c:idx val="8"/>
        <c:spPr>
          <a:solidFill>
            <a:schemeClr val="accent2"/>
          </a:solidFill>
          <a:ln/>
          <a:effectLst/>
          <a:sp3d/>
        </c:spPr>
      </c:pivotFmt>
      <c:pivotFmt>
        <c:idx val="9"/>
        <c:spPr>
          <a:solidFill>
            <a:schemeClr val="accent3"/>
          </a:solidFill>
          <a:ln/>
          <a:effectLst/>
          <a:sp3d/>
        </c:spPr>
      </c:pivotFmt>
      <c:pivotFmt>
        <c:idx val="10"/>
        <c:spPr>
          <a:solidFill>
            <a:schemeClr val="accent4"/>
          </a:solidFill>
          <a:ln/>
          <a:effectLst/>
          <a:sp3d/>
        </c:spPr>
      </c:pivotFmt>
      <c:pivotFmt>
        <c:idx val="11"/>
        <c:spPr>
          <a:solidFill>
            <a:schemeClr val="accent5"/>
          </a:solidFill>
          <a:ln/>
          <a:effectLst/>
          <a:sp3d/>
        </c:spPr>
      </c:pivotFmt>
      <c:pivotFmt>
        <c:idx val="12"/>
        <c:spPr>
          <a:solidFill>
            <a:schemeClr val="accent2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3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5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6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/>
          <a:effectLst/>
          <a:sp3d/>
        </c:spPr>
      </c:pivotFmt>
      <c:pivotFmt>
        <c:idx val="19"/>
        <c:spPr>
          <a:solidFill>
            <a:schemeClr val="accent2"/>
          </a:solidFill>
          <a:ln/>
          <a:effectLst/>
          <a:sp3d/>
        </c:spPr>
      </c:pivotFmt>
      <c:pivotFmt>
        <c:idx val="20"/>
        <c:spPr>
          <a:solidFill>
            <a:schemeClr val="accent3"/>
          </a:solidFill>
          <a:ln/>
          <a:effectLst/>
          <a:sp3d/>
        </c:spPr>
      </c:pivotFmt>
      <c:pivotFmt>
        <c:idx val="21"/>
        <c:spPr>
          <a:solidFill>
            <a:schemeClr val="accent4"/>
          </a:solidFill>
          <a:ln/>
          <a:effectLst/>
          <a:sp3d/>
        </c:spPr>
      </c:pivotFmt>
      <c:pivotFmt>
        <c:idx val="22"/>
        <c:spPr>
          <a:solidFill>
            <a:schemeClr val="accent5"/>
          </a:solidFill>
          <a:ln/>
          <a:effectLst/>
          <a:sp3d/>
        </c:spPr>
      </c:pivotFmt>
      <c:pivotFmt>
        <c:idx val="23"/>
        <c:spPr>
          <a:solidFill>
            <a:schemeClr val="accent2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/>
          <a:effectLst/>
          <a:sp3d/>
        </c:spPr>
      </c:pivotFmt>
      <c:pivotFmt>
        <c:idx val="30"/>
        <c:spPr>
          <a:solidFill>
            <a:schemeClr val="accent2"/>
          </a:solidFill>
          <a:ln/>
          <a:effectLst/>
          <a:sp3d/>
        </c:spPr>
      </c:pivotFmt>
      <c:pivotFmt>
        <c:idx val="31"/>
        <c:spPr>
          <a:solidFill>
            <a:schemeClr val="accent3"/>
          </a:solidFill>
          <a:ln/>
          <a:effectLst/>
          <a:sp3d/>
        </c:spPr>
      </c:pivotFmt>
      <c:pivotFmt>
        <c:idx val="32"/>
        <c:spPr>
          <a:solidFill>
            <a:schemeClr val="accent4"/>
          </a:solidFill>
          <a:ln/>
          <a:effectLst/>
          <a:sp3d/>
        </c:spPr>
      </c:pivotFmt>
      <c:pivotFmt>
        <c:idx val="33"/>
        <c:spPr>
          <a:solidFill>
            <a:schemeClr val="accent5"/>
          </a:solidFill>
          <a:ln/>
          <a:effectLst/>
          <a:sp3d/>
        </c:spPr>
      </c:pivotFmt>
      <c:pivotFmt>
        <c:idx val="34"/>
        <c:spPr>
          <a:solidFill>
            <a:schemeClr val="accent2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3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4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5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6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0"/>
          <c:order val="0"/>
          <c:tx>
            <c:strRef>
              <c:f>pivot!$V$3:$V$4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/>
            <a:effectLst/>
            <a:sp3d/>
          </c:spPr>
          <c:cat>
            <c:strRef>
              <c:f>pivot!$U$5:$U$10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pivot!$V$5:$V$10</c:f>
              <c:numCache>
                <c:formatCode>General</c:formatCode>
                <c:ptCount val="5"/>
                <c:pt idx="0">
                  <c:v>38317.300000000003</c:v>
                </c:pt>
                <c:pt idx="1">
                  <c:v>13687.5</c:v>
                </c:pt>
                <c:pt idx="2">
                  <c:v>1802.95</c:v>
                </c:pt>
                <c:pt idx="3">
                  <c:v>468.435</c:v>
                </c:pt>
                <c:pt idx="4">
                  <c:v>218.56399999999999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737-814F-9F85-8DBD4542F8A2}"/>
            </c:ext>
          </c:extLst>
        </c:ser>
        <c:ser>
          <c:idx val="1"/>
          <c:order val="1"/>
          <c:tx>
            <c:strRef>
              <c:f>pivot!$W$3:$W$4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2"/>
            </a:solidFill>
            <a:ln/>
            <a:effectLst/>
            <a:sp3d/>
          </c:spPr>
          <c:cat>
            <c:strRef>
              <c:f>pivot!$U$5:$U$10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pivot!$W$5:$W$10</c:f>
              <c:numCache>
                <c:formatCode>General</c:formatCode>
                <c:ptCount val="5"/>
                <c:pt idx="0">
                  <c:v>37435</c:v>
                </c:pt>
                <c:pt idx="1">
                  <c:v>15008.6</c:v>
                </c:pt>
                <c:pt idx="2">
                  <c:v>1568.74</c:v>
                </c:pt>
                <c:pt idx="3">
                  <c:v>468.32600000000002</c:v>
                </c:pt>
                <c:pt idx="4">
                  <c:v>220.47800000000001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737-814F-9F85-8DBD4542F8A2}"/>
            </c:ext>
          </c:extLst>
        </c:ser>
        <c:ser>
          <c:idx val="2"/>
          <c:order val="2"/>
          <c:tx>
            <c:strRef>
              <c:f>pivot!$X$3:$X$4</c:f>
              <c:strCache>
                <c:ptCount val="1"/>
                <c:pt idx="0">
                  <c:v>100</c:v>
                </c:pt>
              </c:strCache>
            </c:strRef>
          </c:tx>
          <c:spPr>
            <a:solidFill>
              <a:schemeClr val="accent3"/>
            </a:solidFill>
            <a:ln/>
            <a:effectLst/>
            <a:sp3d/>
          </c:spPr>
          <c:cat>
            <c:strRef>
              <c:f>pivot!$U$5:$U$10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pivot!$X$5:$X$10</c:f>
              <c:numCache>
                <c:formatCode>General</c:formatCode>
                <c:ptCount val="5"/>
                <c:pt idx="0">
                  <c:v>39228.9</c:v>
                </c:pt>
                <c:pt idx="1">
                  <c:v>14627.9</c:v>
                </c:pt>
                <c:pt idx="2">
                  <c:v>2227.0100000000002</c:v>
                </c:pt>
                <c:pt idx="3">
                  <c:v>443.07499999999999</c:v>
                </c:pt>
                <c:pt idx="4">
                  <c:v>241.59700000000001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737-814F-9F85-8DBD4542F8A2}"/>
            </c:ext>
          </c:extLst>
        </c:ser>
        <c:ser>
          <c:idx val="3"/>
          <c:order val="3"/>
          <c:tx>
            <c:strRef>
              <c:f>pivot!$Y$3:$Y$4</c:f>
              <c:strCache>
                <c:ptCount val="1"/>
                <c:pt idx="0">
                  <c:v>1000</c:v>
                </c:pt>
              </c:strCache>
            </c:strRef>
          </c:tx>
          <c:spPr>
            <a:solidFill>
              <a:schemeClr val="accent4"/>
            </a:solidFill>
            <a:ln/>
            <a:effectLst/>
            <a:sp3d/>
          </c:spPr>
          <c:cat>
            <c:strRef>
              <c:f>pivot!$U$5:$U$10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pivot!$Y$5:$Y$10</c:f>
              <c:numCache>
                <c:formatCode>General</c:formatCode>
                <c:ptCount val="5"/>
                <c:pt idx="0">
                  <c:v>35499.599999999999</c:v>
                </c:pt>
                <c:pt idx="1">
                  <c:v>13099.9</c:v>
                </c:pt>
                <c:pt idx="2">
                  <c:v>1570.93</c:v>
                </c:pt>
                <c:pt idx="3">
                  <c:v>355.60300000000001</c:v>
                </c:pt>
                <c:pt idx="4">
                  <c:v>126.791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737-814F-9F85-8DBD4542F8A2}"/>
            </c:ext>
          </c:extLst>
        </c:ser>
        <c:ser>
          <c:idx val="4"/>
          <c:order val="4"/>
          <c:tx>
            <c:strRef>
              <c:f>pivot!$Z$3:$Z$4</c:f>
              <c:strCache>
                <c:ptCount val="1"/>
                <c:pt idx="0">
                  <c:v>10000</c:v>
                </c:pt>
              </c:strCache>
            </c:strRef>
          </c:tx>
          <c:spPr>
            <a:solidFill>
              <a:schemeClr val="accent5"/>
            </a:solidFill>
            <a:ln/>
            <a:effectLst/>
            <a:sp3d/>
          </c:spPr>
          <c:cat>
            <c:strRef>
              <c:f>pivot!$U$5:$U$10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pivot!$Z$5:$Z$10</c:f>
              <c:numCache>
                <c:formatCode>General</c:formatCode>
                <c:ptCount val="5"/>
                <c:pt idx="0">
                  <c:v>36015.800000000003</c:v>
                </c:pt>
                <c:pt idx="1">
                  <c:v>5692.26</c:v>
                </c:pt>
                <c:pt idx="2">
                  <c:v>652.21600000000001</c:v>
                </c:pt>
                <c:pt idx="3">
                  <c:v>117.947</c:v>
                </c:pt>
                <c:pt idx="4">
                  <c:v>62.594999999999999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737-814F-9F85-8DBD4542F8A2}"/>
            </c:ext>
          </c:extLst>
        </c:ser>
        <c:ser>
          <c:idx val="5"/>
          <c:order val="5"/>
          <c:tx>
            <c:strRef>
              <c:f>pivot!$AA$3:$AA$4</c:f>
              <c:strCache>
                <c:ptCount val="1"/>
                <c:pt idx="0">
                  <c:v>100000</c:v>
                </c:pt>
              </c:strCache>
            </c:strRef>
          </c:tx>
          <c:spPr>
            <a:solidFill>
              <a:schemeClr val="accent6"/>
            </a:solidFill>
            <a:ln/>
            <a:effectLst/>
            <a:sp3d/>
          </c:spPr>
          <c:cat>
            <c:strRef>
              <c:f>pivot!$U$5:$U$10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pivot!$AA$5:$AA$10</c:f>
              <c:numCache>
                <c:formatCode>General</c:formatCode>
                <c:ptCount val="5"/>
                <c:pt idx="0">
                  <c:v>15472.7</c:v>
                </c:pt>
                <c:pt idx="1">
                  <c:v>1420.89</c:v>
                </c:pt>
                <c:pt idx="2">
                  <c:v>141.874</c:v>
                </c:pt>
                <c:pt idx="3">
                  <c:v>30.9726</c:v>
                </c:pt>
                <c:pt idx="4">
                  <c:v>15.6686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2737-814F-9F85-8DBD4542F8A2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</c:bandFmts>
        <c:axId val="917154752"/>
        <c:axId val="917149824"/>
        <c:axId val="1282607104"/>
      </c:surface3DChart>
      <c:catAx>
        <c:axId val="9171547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Subscriptions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7149824"/>
        <c:crosses val="autoZero"/>
        <c:auto val="1"/>
        <c:lblAlgn val="ctr"/>
        <c:lblOffset val="100"/>
        <c:noMultiLvlLbl val="0"/>
      </c:catAx>
      <c:valAx>
        <c:axId val="917149824"/>
        <c:scaling>
          <c:logBase val="10"/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Throughput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7154752"/>
        <c:crosses val="autoZero"/>
        <c:crossBetween val="midCat"/>
      </c:valAx>
      <c:serAx>
        <c:axId val="1282607104"/>
        <c:scaling>
          <c:orientation val="minMax"/>
        </c:scaling>
        <c:delete val="0"/>
        <c:axPos val="b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Payload Size</a:t>
                </a:r>
              </a:p>
            </c:rich>
          </c:tx>
          <c:overlay val="0"/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7149824"/>
        <c:crosses val="autoZero"/>
      </c:ser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[pvxperf-full-results.xlsx]pivot!PivotTable5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/>
          <a:effectLst/>
          <a:sp3d/>
        </c:spPr>
      </c:pivotFmt>
      <c:pivotFmt>
        <c:idx val="8"/>
        <c:spPr>
          <a:solidFill>
            <a:schemeClr val="accent2"/>
          </a:solidFill>
          <a:ln/>
          <a:effectLst/>
          <a:sp3d/>
        </c:spPr>
      </c:pivotFmt>
      <c:pivotFmt>
        <c:idx val="9"/>
        <c:spPr>
          <a:solidFill>
            <a:schemeClr val="accent3"/>
          </a:solidFill>
          <a:ln/>
          <a:effectLst/>
          <a:sp3d/>
        </c:spPr>
      </c:pivotFmt>
      <c:pivotFmt>
        <c:idx val="10"/>
        <c:spPr>
          <a:solidFill>
            <a:schemeClr val="accent4"/>
          </a:solidFill>
          <a:ln/>
          <a:effectLst/>
          <a:sp3d/>
        </c:spPr>
      </c:pivotFmt>
      <c:pivotFmt>
        <c:idx val="11"/>
        <c:spPr>
          <a:solidFill>
            <a:schemeClr val="accent5"/>
          </a:solidFill>
          <a:ln/>
          <a:effectLst/>
          <a:sp3d/>
        </c:spPr>
      </c:pivotFmt>
      <c:pivotFmt>
        <c:idx val="12"/>
        <c:spPr>
          <a:solidFill>
            <a:schemeClr val="accent2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3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5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6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/>
          <a:effectLst/>
          <a:sp3d/>
        </c:spPr>
      </c:pivotFmt>
      <c:pivotFmt>
        <c:idx val="19"/>
        <c:spPr>
          <a:solidFill>
            <a:schemeClr val="accent2"/>
          </a:solidFill>
          <a:ln/>
          <a:effectLst/>
          <a:sp3d/>
        </c:spPr>
      </c:pivotFmt>
      <c:pivotFmt>
        <c:idx val="20"/>
        <c:spPr>
          <a:solidFill>
            <a:schemeClr val="accent3"/>
          </a:solidFill>
          <a:ln/>
          <a:effectLst/>
          <a:sp3d/>
        </c:spPr>
      </c:pivotFmt>
      <c:pivotFmt>
        <c:idx val="21"/>
        <c:spPr>
          <a:solidFill>
            <a:schemeClr val="accent4"/>
          </a:solidFill>
          <a:ln/>
          <a:effectLst/>
          <a:sp3d/>
        </c:spPr>
      </c:pivotFmt>
      <c:pivotFmt>
        <c:idx val="22"/>
        <c:spPr>
          <a:solidFill>
            <a:schemeClr val="accent5"/>
          </a:solidFill>
          <a:ln/>
          <a:effectLst/>
          <a:sp3d/>
        </c:spPr>
      </c:pivotFmt>
      <c:pivotFmt>
        <c:idx val="23"/>
        <c:spPr>
          <a:solidFill>
            <a:schemeClr val="accent2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/>
          <a:effectLst/>
          <a:sp3d/>
        </c:spPr>
      </c:pivotFmt>
      <c:pivotFmt>
        <c:idx val="30"/>
        <c:spPr>
          <a:solidFill>
            <a:schemeClr val="accent2"/>
          </a:solidFill>
          <a:ln/>
          <a:effectLst/>
          <a:sp3d/>
        </c:spPr>
      </c:pivotFmt>
      <c:pivotFmt>
        <c:idx val="31"/>
        <c:spPr>
          <a:solidFill>
            <a:schemeClr val="accent3"/>
          </a:solidFill>
          <a:ln/>
          <a:effectLst/>
          <a:sp3d/>
        </c:spPr>
      </c:pivotFmt>
      <c:pivotFmt>
        <c:idx val="32"/>
        <c:spPr>
          <a:solidFill>
            <a:schemeClr val="accent4"/>
          </a:solidFill>
          <a:ln/>
          <a:effectLst/>
          <a:sp3d/>
        </c:spPr>
      </c:pivotFmt>
      <c:pivotFmt>
        <c:idx val="33"/>
        <c:spPr>
          <a:solidFill>
            <a:schemeClr val="accent5"/>
          </a:solidFill>
          <a:ln/>
          <a:effectLst/>
          <a:sp3d/>
        </c:spPr>
      </c:pivotFmt>
      <c:pivotFmt>
        <c:idx val="34"/>
        <c:spPr>
          <a:solidFill>
            <a:schemeClr val="accent2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3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4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5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6"/>
          </a:solidFill>
          <a:ln/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0"/>
          <c:order val="0"/>
          <c:tx>
            <c:strRef>
              <c:f>pivot!$AF$3:$AF$4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/>
            <a:effectLst/>
            <a:sp3d/>
          </c:spPr>
          <c:cat>
            <c:strRef>
              <c:f>pivot!$AE$5:$AE$10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pivot!$AF$5:$AF$10</c:f>
              <c:numCache>
                <c:formatCode>General</c:formatCode>
                <c:ptCount val="5"/>
                <c:pt idx="0">
                  <c:v>39402.800000000003</c:v>
                </c:pt>
                <c:pt idx="1">
                  <c:v>14061.5</c:v>
                </c:pt>
                <c:pt idx="2">
                  <c:v>1798.73</c:v>
                </c:pt>
                <c:pt idx="3">
                  <c:v>470.39699999999999</c:v>
                </c:pt>
                <c:pt idx="4">
                  <c:v>227.60900000000001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8D5-2C41-8DC3-1C108FEAE8AB}"/>
            </c:ext>
          </c:extLst>
        </c:ser>
        <c:ser>
          <c:idx val="1"/>
          <c:order val="1"/>
          <c:tx>
            <c:strRef>
              <c:f>pivot!$AG$3:$AG$4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2"/>
            </a:solidFill>
            <a:ln/>
            <a:effectLst/>
            <a:sp3d/>
          </c:spPr>
          <c:cat>
            <c:strRef>
              <c:f>pivot!$AE$5:$AE$10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pivot!$AG$5:$AG$10</c:f>
              <c:numCache>
                <c:formatCode>General</c:formatCode>
                <c:ptCount val="5"/>
                <c:pt idx="0">
                  <c:v>39213.599999999999</c:v>
                </c:pt>
                <c:pt idx="1">
                  <c:v>14779.2</c:v>
                </c:pt>
                <c:pt idx="2">
                  <c:v>1771.87</c:v>
                </c:pt>
                <c:pt idx="3">
                  <c:v>463.90800000000002</c:v>
                </c:pt>
                <c:pt idx="4">
                  <c:v>224.10499999999999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8D5-2C41-8DC3-1C108FEAE8AB}"/>
            </c:ext>
          </c:extLst>
        </c:ser>
        <c:ser>
          <c:idx val="2"/>
          <c:order val="2"/>
          <c:tx>
            <c:strRef>
              <c:f>pivot!$AH$3:$AH$4</c:f>
              <c:strCache>
                <c:ptCount val="1"/>
                <c:pt idx="0">
                  <c:v>100</c:v>
                </c:pt>
              </c:strCache>
            </c:strRef>
          </c:tx>
          <c:spPr>
            <a:solidFill>
              <a:schemeClr val="accent3"/>
            </a:solidFill>
            <a:ln/>
            <a:effectLst/>
            <a:sp3d/>
          </c:spPr>
          <c:cat>
            <c:strRef>
              <c:f>pivot!$AE$5:$AE$10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pivot!$AH$5:$AH$10</c:f>
              <c:numCache>
                <c:formatCode>General</c:formatCode>
                <c:ptCount val="5"/>
                <c:pt idx="0">
                  <c:v>38251.5</c:v>
                </c:pt>
                <c:pt idx="1">
                  <c:v>14829.3</c:v>
                </c:pt>
                <c:pt idx="2">
                  <c:v>2215.6799999999998</c:v>
                </c:pt>
                <c:pt idx="3">
                  <c:v>468.20100000000002</c:v>
                </c:pt>
                <c:pt idx="4">
                  <c:v>227.917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8D5-2C41-8DC3-1C108FEAE8AB}"/>
            </c:ext>
          </c:extLst>
        </c:ser>
        <c:ser>
          <c:idx val="3"/>
          <c:order val="3"/>
          <c:tx>
            <c:strRef>
              <c:f>pivot!$AI$3:$AI$4</c:f>
              <c:strCache>
                <c:ptCount val="1"/>
                <c:pt idx="0">
                  <c:v>1000</c:v>
                </c:pt>
              </c:strCache>
            </c:strRef>
          </c:tx>
          <c:spPr>
            <a:solidFill>
              <a:schemeClr val="accent4"/>
            </a:solidFill>
            <a:ln/>
            <a:effectLst/>
            <a:sp3d/>
          </c:spPr>
          <c:cat>
            <c:strRef>
              <c:f>pivot!$AE$5:$AE$10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pivot!$AI$5:$AI$10</c:f>
              <c:numCache>
                <c:formatCode>General</c:formatCode>
                <c:ptCount val="5"/>
                <c:pt idx="0">
                  <c:v>38280.199999999997</c:v>
                </c:pt>
                <c:pt idx="1">
                  <c:v>13728.4</c:v>
                </c:pt>
                <c:pt idx="2">
                  <c:v>1684.4</c:v>
                </c:pt>
                <c:pt idx="3">
                  <c:v>352.73399999999998</c:v>
                </c:pt>
                <c:pt idx="4">
                  <c:v>122.703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8D5-2C41-8DC3-1C108FEAE8AB}"/>
            </c:ext>
          </c:extLst>
        </c:ser>
        <c:ser>
          <c:idx val="4"/>
          <c:order val="4"/>
          <c:tx>
            <c:strRef>
              <c:f>pivot!$AJ$3:$AJ$4</c:f>
              <c:strCache>
                <c:ptCount val="1"/>
                <c:pt idx="0">
                  <c:v>10000</c:v>
                </c:pt>
              </c:strCache>
            </c:strRef>
          </c:tx>
          <c:spPr>
            <a:solidFill>
              <a:schemeClr val="accent5"/>
            </a:solidFill>
            <a:ln/>
            <a:effectLst/>
            <a:sp3d/>
          </c:spPr>
          <c:cat>
            <c:strRef>
              <c:f>pivot!$AE$5:$AE$10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pivot!$AJ$5:$AJ$10</c:f>
              <c:numCache>
                <c:formatCode>General</c:formatCode>
                <c:ptCount val="5"/>
                <c:pt idx="0">
                  <c:v>38698.9</c:v>
                </c:pt>
                <c:pt idx="1">
                  <c:v>6001.99</c:v>
                </c:pt>
                <c:pt idx="2">
                  <c:v>646.98400000000004</c:v>
                </c:pt>
                <c:pt idx="3">
                  <c:v>126.273</c:v>
                </c:pt>
                <c:pt idx="4">
                  <c:v>64.543400000000005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8D5-2C41-8DC3-1C108FEAE8AB}"/>
            </c:ext>
          </c:extLst>
        </c:ser>
        <c:ser>
          <c:idx val="5"/>
          <c:order val="5"/>
          <c:tx>
            <c:strRef>
              <c:f>pivot!$AK$3:$AK$4</c:f>
              <c:strCache>
                <c:ptCount val="1"/>
                <c:pt idx="0">
                  <c:v>100000</c:v>
                </c:pt>
              </c:strCache>
            </c:strRef>
          </c:tx>
          <c:spPr>
            <a:solidFill>
              <a:schemeClr val="accent6"/>
            </a:solidFill>
            <a:ln/>
            <a:effectLst/>
            <a:sp3d/>
          </c:spPr>
          <c:cat>
            <c:strRef>
              <c:f>pivot!$AE$5:$AE$10</c:f>
              <c:strCache>
                <c:ptCount val="5"/>
                <c:pt idx="0">
                  <c:v>1</c:v>
                </c:pt>
                <c:pt idx="1">
                  <c:v>10</c:v>
                </c:pt>
                <c:pt idx="2">
                  <c:v>100</c:v>
                </c:pt>
                <c:pt idx="3">
                  <c:v>500</c:v>
                </c:pt>
                <c:pt idx="4">
                  <c:v>1000</c:v>
                </c:pt>
              </c:strCache>
            </c:strRef>
          </c:cat>
          <c:val>
            <c:numRef>
              <c:f>pivot!$AK$5:$AK$10</c:f>
              <c:numCache>
                <c:formatCode>General</c:formatCode>
                <c:ptCount val="5"/>
                <c:pt idx="0">
                  <c:v>15865.5</c:v>
                </c:pt>
                <c:pt idx="1">
                  <c:v>1456.06</c:v>
                </c:pt>
                <c:pt idx="2">
                  <c:v>138.20400000000001</c:v>
                </c:pt>
                <c:pt idx="3">
                  <c:v>30.996500000000001</c:v>
                </c:pt>
                <c:pt idx="4">
                  <c:v>16.025300000000001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C8D5-2C41-8DC3-1C108FEAE8AB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</c:bandFmts>
        <c:axId val="917154752"/>
        <c:axId val="917149824"/>
        <c:axId val="1282607104"/>
      </c:surface3DChart>
      <c:catAx>
        <c:axId val="9171547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Subscriptions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7149824"/>
        <c:crosses val="autoZero"/>
        <c:auto val="1"/>
        <c:lblAlgn val="ctr"/>
        <c:lblOffset val="100"/>
        <c:noMultiLvlLbl val="0"/>
      </c:catAx>
      <c:valAx>
        <c:axId val="917149824"/>
        <c:scaling>
          <c:logBase val="10"/>
          <c:orientation val="minMax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Throughput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7154752"/>
        <c:crosses val="autoZero"/>
        <c:crossBetween val="midCat"/>
      </c:valAx>
      <c:serAx>
        <c:axId val="1282607104"/>
        <c:scaling>
          <c:orientation val="minMax"/>
        </c:scaling>
        <c:delete val="0"/>
        <c:axPos val="b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Payload Size</a:t>
                </a:r>
              </a:p>
            </c:rich>
          </c:tx>
          <c:overlay val="0"/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7149824"/>
        <c:crosses val="autoZero"/>
      </c:ser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355600</xdr:colOff>
      <xdr:row>3</xdr:row>
      <xdr:rowOff>25400</xdr:rowOff>
    </xdr:from>
    <xdr:to>
      <xdr:col>22</xdr:col>
      <xdr:colOff>736600</xdr:colOff>
      <xdr:row>37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3F384B-E750-9B40-9DF3-3D78FCD308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698500</xdr:colOff>
      <xdr:row>3</xdr:row>
      <xdr:rowOff>25400</xdr:rowOff>
    </xdr:from>
    <xdr:to>
      <xdr:col>12</xdr:col>
      <xdr:colOff>254000</xdr:colOff>
      <xdr:row>37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7D58C6-F4F5-CA49-BCE9-0D5068D41A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184150</xdr:rowOff>
    </xdr:from>
    <xdr:to>
      <xdr:col>10</xdr:col>
      <xdr:colOff>12700</xdr:colOff>
      <xdr:row>40</xdr:row>
      <xdr:rowOff>12700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6CA7AF5-D67B-B2A6-EADB-C201F78CC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10</xdr:row>
      <xdr:rowOff>184150</xdr:rowOff>
    </xdr:from>
    <xdr:to>
      <xdr:col>19</xdr:col>
      <xdr:colOff>812800</xdr:colOff>
      <xdr:row>39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31B3C58-4332-B978-77A4-DBB0753906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812800</xdr:colOff>
      <xdr:row>10</xdr:row>
      <xdr:rowOff>196850</xdr:rowOff>
    </xdr:from>
    <xdr:to>
      <xdr:col>30</xdr:col>
      <xdr:colOff>0</xdr:colOff>
      <xdr:row>39</xdr:row>
      <xdr:rowOff>190500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7766DBE-449A-6EB8-DDB3-E7AB80DA92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12700</xdr:colOff>
      <xdr:row>11</xdr:row>
      <xdr:rowOff>19050</xdr:rowOff>
    </xdr:from>
    <xdr:to>
      <xdr:col>40</xdr:col>
      <xdr:colOff>12700</xdr:colOff>
      <xdr:row>40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DA28B14-300D-8CCE-4DA2-759EDF55A8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eorge McIntyre" refreshedDate="46085.821071412036" createdVersion="8" refreshedVersion="8" minRefreshableVersion="3" recordCount="121" xr:uid="{A720D673-353F-664C-B26F-AD3DA3864FE4}">
  <cacheSource type="worksheet">
    <worksheetSource ref="A1:D1048576" sheet="all"/>
  </cacheSource>
  <cacheFields count="4">
    <cacheField name="Protocol" numFmtId="0">
      <sharedItems containsBlank="1" count="5">
        <s v="CA"/>
        <s v="PVA"/>
        <s v="SPVA"/>
        <s v="SPVA_CERTMON"/>
        <m/>
      </sharedItems>
    </cacheField>
    <cacheField name="Subscribers" numFmtId="0">
      <sharedItems containsString="0" containsBlank="1" containsNumber="1" containsInteger="1" minValue="1" maxValue="1000" count="6">
        <n v="1"/>
        <n v="10"/>
        <n v="100"/>
        <n v="500"/>
        <n v="1000"/>
        <m/>
      </sharedItems>
    </cacheField>
    <cacheField name="Payload Size" numFmtId="0">
      <sharedItems containsString="0" containsBlank="1" containsNumber="1" containsInteger="1" minValue="1" maxValue="100000" count="7">
        <n v="1"/>
        <n v="10"/>
        <n v="100"/>
        <n v="1000"/>
        <n v="10000"/>
        <n v="100000"/>
        <m/>
      </sharedItems>
    </cacheField>
    <cacheField name="Per Sub Uodates" numFmtId="0">
      <sharedItems containsString="0" containsBlank="1" containsNumber="1" minValue="7.87195" maxValue="61700.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">
  <r>
    <x v="0"/>
    <x v="0"/>
    <x v="0"/>
    <n v="36247.699999999997"/>
  </r>
  <r>
    <x v="0"/>
    <x v="0"/>
    <x v="1"/>
    <n v="26478.5"/>
  </r>
  <r>
    <x v="0"/>
    <x v="0"/>
    <x v="2"/>
    <n v="26566.7"/>
  </r>
  <r>
    <x v="0"/>
    <x v="0"/>
    <x v="3"/>
    <n v="61700.7"/>
  </r>
  <r>
    <x v="0"/>
    <x v="0"/>
    <x v="4"/>
    <n v="38166.9"/>
  </r>
  <r>
    <x v="0"/>
    <x v="0"/>
    <x v="5"/>
    <n v="23920.7"/>
  </r>
  <r>
    <x v="0"/>
    <x v="1"/>
    <x v="0"/>
    <n v="16844.099999999999"/>
  </r>
  <r>
    <x v="0"/>
    <x v="1"/>
    <x v="1"/>
    <n v="22123.5"/>
  </r>
  <r>
    <x v="0"/>
    <x v="1"/>
    <x v="2"/>
    <n v="15587.7"/>
  </r>
  <r>
    <x v="0"/>
    <x v="1"/>
    <x v="3"/>
    <n v="29007.1"/>
  </r>
  <r>
    <x v="0"/>
    <x v="1"/>
    <x v="4"/>
    <n v="21877.4"/>
  </r>
  <r>
    <x v="0"/>
    <x v="1"/>
    <x v="5"/>
    <n v="15016.2"/>
  </r>
  <r>
    <x v="0"/>
    <x v="2"/>
    <x v="0"/>
    <n v="166.54599999999999"/>
  </r>
  <r>
    <x v="0"/>
    <x v="2"/>
    <x v="1"/>
    <n v="156.28899999999999"/>
  </r>
  <r>
    <x v="0"/>
    <x v="2"/>
    <x v="2"/>
    <n v="161.88999999999999"/>
  </r>
  <r>
    <x v="0"/>
    <x v="2"/>
    <x v="3"/>
    <n v="126.063"/>
  </r>
  <r>
    <x v="0"/>
    <x v="2"/>
    <x v="4"/>
    <n v="238.33500000000001"/>
  </r>
  <r>
    <x v="0"/>
    <x v="2"/>
    <x v="5"/>
    <n v="2497.91"/>
  </r>
  <r>
    <x v="0"/>
    <x v="3"/>
    <x v="0"/>
    <n v="123.586"/>
  </r>
  <r>
    <x v="0"/>
    <x v="3"/>
    <x v="1"/>
    <n v="121.247"/>
  </r>
  <r>
    <x v="0"/>
    <x v="3"/>
    <x v="2"/>
    <n v="125.315"/>
  </r>
  <r>
    <x v="0"/>
    <x v="3"/>
    <x v="3"/>
    <n v="121.131"/>
  </r>
  <r>
    <x v="0"/>
    <x v="3"/>
    <x v="4"/>
    <n v="102.586"/>
  </r>
  <r>
    <x v="0"/>
    <x v="3"/>
    <x v="5"/>
    <n v="365.81799999999998"/>
  </r>
  <r>
    <x v="0"/>
    <x v="4"/>
    <x v="0"/>
    <n v="59.490200000000002"/>
  </r>
  <r>
    <x v="0"/>
    <x v="4"/>
    <x v="1"/>
    <n v="55.886299999999999"/>
  </r>
  <r>
    <x v="0"/>
    <x v="4"/>
    <x v="2"/>
    <n v="55.580800000000004"/>
  </r>
  <r>
    <x v="0"/>
    <x v="4"/>
    <x v="3"/>
    <n v="53.761200000000002"/>
  </r>
  <r>
    <x v="0"/>
    <x v="4"/>
    <x v="4"/>
    <n v="28.8889"/>
  </r>
  <r>
    <x v="0"/>
    <x v="4"/>
    <x v="5"/>
    <n v="7.87195"/>
  </r>
  <r>
    <x v="1"/>
    <x v="0"/>
    <x v="0"/>
    <n v="39773.1"/>
  </r>
  <r>
    <x v="1"/>
    <x v="0"/>
    <x v="1"/>
    <n v="38820.400000000001"/>
  </r>
  <r>
    <x v="1"/>
    <x v="0"/>
    <x v="2"/>
    <n v="39690.5"/>
  </r>
  <r>
    <x v="1"/>
    <x v="0"/>
    <x v="3"/>
    <n v="38470.1"/>
  </r>
  <r>
    <x v="1"/>
    <x v="0"/>
    <x v="4"/>
    <n v="38071.699999999997"/>
  </r>
  <r>
    <x v="1"/>
    <x v="0"/>
    <x v="5"/>
    <n v="15791.7"/>
  </r>
  <r>
    <x v="1"/>
    <x v="1"/>
    <x v="0"/>
    <n v="14475.1"/>
  </r>
  <r>
    <x v="1"/>
    <x v="1"/>
    <x v="1"/>
    <n v="14662.4"/>
  </r>
  <r>
    <x v="1"/>
    <x v="1"/>
    <x v="2"/>
    <n v="14600.4"/>
  </r>
  <r>
    <x v="1"/>
    <x v="1"/>
    <x v="3"/>
    <n v="13581.7"/>
  </r>
  <r>
    <x v="1"/>
    <x v="1"/>
    <x v="4"/>
    <n v="5755.16"/>
  </r>
  <r>
    <x v="1"/>
    <x v="1"/>
    <x v="5"/>
    <n v="1380.16"/>
  </r>
  <r>
    <x v="1"/>
    <x v="2"/>
    <x v="0"/>
    <n v="1795.09"/>
  </r>
  <r>
    <x v="1"/>
    <x v="2"/>
    <x v="1"/>
    <n v="1807.36"/>
  </r>
  <r>
    <x v="1"/>
    <x v="2"/>
    <x v="2"/>
    <n v="2187.62"/>
  </r>
  <r>
    <x v="1"/>
    <x v="2"/>
    <x v="3"/>
    <n v="1710.89"/>
  </r>
  <r>
    <x v="1"/>
    <x v="2"/>
    <x v="4"/>
    <n v="609.37800000000004"/>
  </r>
  <r>
    <x v="1"/>
    <x v="2"/>
    <x v="5"/>
    <n v="136.626"/>
  </r>
  <r>
    <x v="1"/>
    <x v="3"/>
    <x v="0"/>
    <n v="459.97800000000001"/>
  </r>
  <r>
    <x v="1"/>
    <x v="3"/>
    <x v="1"/>
    <n v="468.68799999999999"/>
  </r>
  <r>
    <x v="1"/>
    <x v="3"/>
    <x v="2"/>
    <n v="500.90300000000002"/>
  </r>
  <r>
    <x v="1"/>
    <x v="3"/>
    <x v="3"/>
    <n v="346.79899999999998"/>
  </r>
  <r>
    <x v="1"/>
    <x v="3"/>
    <x v="4"/>
    <n v="123.428"/>
  </r>
  <r>
    <x v="1"/>
    <x v="3"/>
    <x v="5"/>
    <n v="29.1279"/>
  </r>
  <r>
    <x v="1"/>
    <x v="4"/>
    <x v="0"/>
    <n v="238.69499999999999"/>
  </r>
  <r>
    <x v="1"/>
    <x v="4"/>
    <x v="1"/>
    <n v="227.07900000000001"/>
  </r>
  <r>
    <x v="1"/>
    <x v="4"/>
    <x v="2"/>
    <n v="241.768"/>
  </r>
  <r>
    <x v="1"/>
    <x v="4"/>
    <x v="3"/>
    <n v="119.858"/>
  </r>
  <r>
    <x v="1"/>
    <x v="4"/>
    <x v="4"/>
    <n v="62.567300000000003"/>
  </r>
  <r>
    <x v="1"/>
    <x v="4"/>
    <x v="5"/>
    <n v="15.254799999999999"/>
  </r>
  <r>
    <x v="2"/>
    <x v="0"/>
    <x v="0"/>
    <n v="38317.300000000003"/>
  </r>
  <r>
    <x v="2"/>
    <x v="0"/>
    <x v="1"/>
    <n v="37435"/>
  </r>
  <r>
    <x v="2"/>
    <x v="0"/>
    <x v="2"/>
    <n v="39228.9"/>
  </r>
  <r>
    <x v="2"/>
    <x v="0"/>
    <x v="3"/>
    <n v="35499.599999999999"/>
  </r>
  <r>
    <x v="2"/>
    <x v="0"/>
    <x v="4"/>
    <n v="36015.800000000003"/>
  </r>
  <r>
    <x v="2"/>
    <x v="0"/>
    <x v="5"/>
    <n v="15472.7"/>
  </r>
  <r>
    <x v="2"/>
    <x v="1"/>
    <x v="0"/>
    <n v="13687.5"/>
  </r>
  <r>
    <x v="2"/>
    <x v="1"/>
    <x v="1"/>
    <n v="15008.6"/>
  </r>
  <r>
    <x v="2"/>
    <x v="1"/>
    <x v="2"/>
    <n v="14627.9"/>
  </r>
  <r>
    <x v="2"/>
    <x v="1"/>
    <x v="3"/>
    <n v="13099.9"/>
  </r>
  <r>
    <x v="2"/>
    <x v="1"/>
    <x v="4"/>
    <n v="5692.26"/>
  </r>
  <r>
    <x v="2"/>
    <x v="1"/>
    <x v="5"/>
    <n v="1420.89"/>
  </r>
  <r>
    <x v="2"/>
    <x v="2"/>
    <x v="0"/>
    <n v="1802.95"/>
  </r>
  <r>
    <x v="2"/>
    <x v="2"/>
    <x v="1"/>
    <n v="1568.74"/>
  </r>
  <r>
    <x v="2"/>
    <x v="2"/>
    <x v="2"/>
    <n v="2227.0100000000002"/>
  </r>
  <r>
    <x v="2"/>
    <x v="2"/>
    <x v="3"/>
    <n v="1570.93"/>
  </r>
  <r>
    <x v="2"/>
    <x v="2"/>
    <x v="4"/>
    <n v="652.21600000000001"/>
  </r>
  <r>
    <x v="2"/>
    <x v="2"/>
    <x v="5"/>
    <n v="141.874"/>
  </r>
  <r>
    <x v="2"/>
    <x v="3"/>
    <x v="0"/>
    <n v="468.435"/>
  </r>
  <r>
    <x v="2"/>
    <x v="3"/>
    <x v="1"/>
    <n v="468.32600000000002"/>
  </r>
  <r>
    <x v="2"/>
    <x v="3"/>
    <x v="2"/>
    <n v="443.07499999999999"/>
  </r>
  <r>
    <x v="2"/>
    <x v="3"/>
    <x v="3"/>
    <n v="355.60300000000001"/>
  </r>
  <r>
    <x v="2"/>
    <x v="3"/>
    <x v="4"/>
    <n v="117.947"/>
  </r>
  <r>
    <x v="2"/>
    <x v="3"/>
    <x v="5"/>
    <n v="30.9726"/>
  </r>
  <r>
    <x v="2"/>
    <x v="4"/>
    <x v="0"/>
    <n v="218.56399999999999"/>
  </r>
  <r>
    <x v="2"/>
    <x v="4"/>
    <x v="1"/>
    <n v="220.47800000000001"/>
  </r>
  <r>
    <x v="2"/>
    <x v="4"/>
    <x v="2"/>
    <n v="241.59700000000001"/>
  </r>
  <r>
    <x v="2"/>
    <x v="4"/>
    <x v="3"/>
    <n v="126.791"/>
  </r>
  <r>
    <x v="2"/>
    <x v="4"/>
    <x v="4"/>
    <n v="62.594999999999999"/>
  </r>
  <r>
    <x v="2"/>
    <x v="4"/>
    <x v="5"/>
    <n v="15.6686"/>
  </r>
  <r>
    <x v="3"/>
    <x v="0"/>
    <x v="0"/>
    <n v="39402.800000000003"/>
  </r>
  <r>
    <x v="3"/>
    <x v="0"/>
    <x v="1"/>
    <n v="39213.599999999999"/>
  </r>
  <r>
    <x v="3"/>
    <x v="0"/>
    <x v="2"/>
    <n v="38251.5"/>
  </r>
  <r>
    <x v="3"/>
    <x v="0"/>
    <x v="3"/>
    <n v="38280.199999999997"/>
  </r>
  <r>
    <x v="3"/>
    <x v="0"/>
    <x v="4"/>
    <n v="38698.9"/>
  </r>
  <r>
    <x v="3"/>
    <x v="0"/>
    <x v="5"/>
    <n v="15865.5"/>
  </r>
  <r>
    <x v="3"/>
    <x v="1"/>
    <x v="0"/>
    <n v="14061.5"/>
  </r>
  <r>
    <x v="3"/>
    <x v="1"/>
    <x v="1"/>
    <n v="14779.2"/>
  </r>
  <r>
    <x v="3"/>
    <x v="1"/>
    <x v="2"/>
    <n v="14829.3"/>
  </r>
  <r>
    <x v="3"/>
    <x v="1"/>
    <x v="3"/>
    <n v="13728.4"/>
  </r>
  <r>
    <x v="3"/>
    <x v="1"/>
    <x v="4"/>
    <n v="6001.99"/>
  </r>
  <r>
    <x v="3"/>
    <x v="1"/>
    <x v="5"/>
    <n v="1456.06"/>
  </r>
  <r>
    <x v="3"/>
    <x v="2"/>
    <x v="0"/>
    <n v="1798.73"/>
  </r>
  <r>
    <x v="3"/>
    <x v="2"/>
    <x v="1"/>
    <n v="1771.87"/>
  </r>
  <r>
    <x v="3"/>
    <x v="2"/>
    <x v="2"/>
    <n v="2215.6799999999998"/>
  </r>
  <r>
    <x v="3"/>
    <x v="2"/>
    <x v="3"/>
    <n v="1684.4"/>
  </r>
  <r>
    <x v="3"/>
    <x v="2"/>
    <x v="4"/>
    <n v="646.98400000000004"/>
  </r>
  <r>
    <x v="3"/>
    <x v="2"/>
    <x v="5"/>
    <n v="138.20400000000001"/>
  </r>
  <r>
    <x v="3"/>
    <x v="3"/>
    <x v="0"/>
    <n v="470.39699999999999"/>
  </r>
  <r>
    <x v="3"/>
    <x v="3"/>
    <x v="1"/>
    <n v="463.90800000000002"/>
  </r>
  <r>
    <x v="3"/>
    <x v="3"/>
    <x v="2"/>
    <n v="468.20100000000002"/>
  </r>
  <r>
    <x v="3"/>
    <x v="3"/>
    <x v="3"/>
    <n v="352.73399999999998"/>
  </r>
  <r>
    <x v="3"/>
    <x v="3"/>
    <x v="4"/>
    <n v="126.273"/>
  </r>
  <r>
    <x v="3"/>
    <x v="3"/>
    <x v="5"/>
    <n v="30.996500000000001"/>
  </r>
  <r>
    <x v="3"/>
    <x v="4"/>
    <x v="0"/>
    <n v="227.60900000000001"/>
  </r>
  <r>
    <x v="3"/>
    <x v="4"/>
    <x v="1"/>
    <n v="224.10499999999999"/>
  </r>
  <r>
    <x v="3"/>
    <x v="4"/>
    <x v="2"/>
    <n v="227.917"/>
  </r>
  <r>
    <x v="3"/>
    <x v="4"/>
    <x v="3"/>
    <n v="122.703"/>
  </r>
  <r>
    <x v="3"/>
    <x v="4"/>
    <x v="4"/>
    <n v="64.543400000000005"/>
  </r>
  <r>
    <x v="3"/>
    <x v="4"/>
    <x v="5"/>
    <n v="16.025300000000001"/>
  </r>
  <r>
    <x v="4"/>
    <x v="5"/>
    <x v="6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0DF734-6A17-ED45-B4DA-0024BC768269}" name="PivotTable5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E3:AL10" firstHeaderRow="1" firstDataRow="2" firstDataCol="1" rowPageCount="1" colPageCount="1"/>
  <pivotFields count="4">
    <pivotField axis="axisPage" multipleItemSelectionAllowed="1" showAll="0">
      <items count="6">
        <item h="1" x="0"/>
        <item h="1" x="1"/>
        <item h="1" x="2"/>
        <item x="3"/>
        <item h="1" x="4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0" hier="-1"/>
  </pageFields>
  <dataFields count="1">
    <dataField name="Max. of Per Sub Uodates" fld="3" subtotal="max" baseField="0" baseItem="0"/>
  </dataFields>
  <chartFormats count="11"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9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</references>
      </pivotArea>
    </chartFormat>
    <chartFormat chart="0" format="30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</references>
      </pivotArea>
    </chartFormat>
    <chartFormat chart="0" format="31">
      <pivotArea type="data"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 selected="0">
            <x v="0"/>
          </reference>
        </references>
      </pivotArea>
    </chartFormat>
    <chartFormat chart="0" format="32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 selected="0">
            <x v="0"/>
          </reference>
        </references>
      </pivotArea>
    </chartFormat>
    <chartFormat chart="0" format="33">
      <pivotArea type="data" outline="0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 selected="0">
            <x v="0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9CF4CF-41FC-7A4F-A28A-6E625CF8FFE0}" name="PivotTable4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U3:AB10" firstHeaderRow="1" firstDataRow="2" firstDataCol="1" rowPageCount="1" colPageCount="1"/>
  <pivotFields count="4">
    <pivotField axis="axisPage" multipleItemSelectionAllowed="1" showAll="0">
      <items count="6">
        <item h="1" x="0"/>
        <item h="1" x="1"/>
        <item x="2"/>
        <item h="1" x="3"/>
        <item h="1" x="4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0" hier="-1"/>
  </pageFields>
  <dataFields count="1">
    <dataField name="Max. of Per Sub Uodates" fld="3" subtotal="max" baseField="0" baseItem="0"/>
  </dataFields>
  <chartFormats count="11">
    <chartFormat chart="1" format="2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29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</references>
      </pivotArea>
    </chartFormat>
    <chartFormat chart="1" format="30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</references>
      </pivotArea>
    </chartFormat>
    <chartFormat chart="1" format="31">
      <pivotArea type="data"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 selected="0">
            <x v="0"/>
          </reference>
        </references>
      </pivotArea>
    </chartFormat>
    <chartFormat chart="1" format="32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 selected="0">
            <x v="0"/>
          </reference>
        </references>
      </pivotArea>
    </chartFormat>
    <chartFormat chart="1" format="33">
      <pivotArea type="data" outline="0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 selected="0">
            <x v="0"/>
          </reference>
        </references>
      </pivotArea>
    </chartFormat>
    <chartFormat chart="1" format="3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3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3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" format="3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06310D-BED9-0F4D-B966-0EA9701C2FF2}" name="PivotTable3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K3:R10" firstHeaderRow="1" firstDataRow="2" firstDataCol="1" rowPageCount="1" colPageCount="1"/>
  <pivotFields count="4">
    <pivotField axis="axisPage" multipleItemSelectionAllowed="1" showAll="0">
      <items count="6">
        <item h="1" x="0"/>
        <item x="1"/>
        <item h="1" x="2"/>
        <item h="1" x="3"/>
        <item h="1" x="4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0" hier="-1"/>
  </pageFields>
  <dataFields count="1">
    <dataField name="Max. of Per Sub Uodates" fld="3" subtotal="max" baseField="0" baseItem="0"/>
  </dataFields>
  <chartFormats count="11">
    <chartFormat chart="1" format="2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29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</references>
      </pivotArea>
    </chartFormat>
    <chartFormat chart="1" format="30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</references>
      </pivotArea>
    </chartFormat>
    <chartFormat chart="1" format="31">
      <pivotArea type="data"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 selected="0">
            <x v="0"/>
          </reference>
        </references>
      </pivotArea>
    </chartFormat>
    <chartFormat chart="1" format="32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 selected="0">
            <x v="0"/>
          </reference>
        </references>
      </pivotArea>
    </chartFormat>
    <chartFormat chart="1" format="33">
      <pivotArea type="data" outline="0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 selected="0">
            <x v="0"/>
          </reference>
        </references>
      </pivotArea>
    </chartFormat>
    <chartFormat chart="1" format="3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3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3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" format="3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983BCA-90CF-C341-A940-049C08079C3D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H10" firstHeaderRow="1" firstDataRow="2" firstDataCol="1" rowPageCount="1" colPageCount="1"/>
  <pivotFields count="4">
    <pivotField axis="axisPage" multipleItemSelectionAllowed="1" showAll="0">
      <items count="6">
        <item x="0"/>
        <item h="1" x="1"/>
        <item h="1" x="2"/>
        <item h="1" x="3"/>
        <item h="1" x="4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0" hier="-1"/>
  </pageFields>
  <dataFields count="1">
    <dataField name="Max. of Per Sub Uodates" fld="3" subtotal="max" baseField="0" baseItem="0"/>
  </dataFields>
  <chartFormats count="11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" format="6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</references>
      </pivotArea>
    </chartFormat>
    <chartFormat chart="1" format="7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</references>
      </pivotArea>
    </chartFormat>
    <chartFormat chart="1" format="8">
      <pivotArea type="data"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 selected="0">
            <x v="0"/>
          </reference>
        </references>
      </pivotArea>
    </chartFormat>
    <chartFormat chart="1" format="9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 selected="0">
            <x v="0"/>
          </reference>
        </references>
      </pivotArea>
    </chartFormat>
    <chartFormat chart="1" format="10">
      <pivotArea type="data" outline="0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C3776B-CF12-7444-B537-43AA2EAE8231}" name="Table2" displayName="Table2" ref="A1:D25" totalsRowShown="0">
  <autoFilter ref="A1:D25" xr:uid="{39C3776B-CF12-7444-B537-43AA2EAE8231}"/>
  <tableColumns count="4">
    <tableColumn id="1" xr3:uid="{A788B498-180D-4B40-9864-E8046937EDE5}" name="protocol">
      <calculatedColumnFormula array="1">INDIRECT(CONCATENATE("csv!A",$D2))</calculatedColumnFormula>
    </tableColumn>
    <tableColumn id="2" xr3:uid="{1CBEE90D-4ACC-964C-BFB4-A8A37ED74697}" name="payload_bytes" dataDxfId="9" dataCellStyle="Comma">
      <calculatedColumnFormula array="1">INDIRECT(CONCATENATE("csv!D",$D2))</calculatedColumnFormula>
    </tableColumn>
    <tableColumn id="3" xr3:uid="{7704FDD7-F440-CE43-B322-54283646DC55}" name="updates_per_second" dataDxfId="8" dataCellStyle="Comma">
      <calculatedColumnFormula array="1">INDIRECT(CONCATENATE("csv!E",$D2))</calculatedColumnFormula>
    </tableColumn>
    <tableColumn id="5" xr3:uid="{507413BE-06F6-6B4E-9538-A1F5524728C5}" name="row to choose" dataDxfId="7" dataCellStyle="Comma">
      <calculatedColumnFormula>D1+5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EC63F04-70E0-964D-9C32-4C53B6EE480E}" name="Table3" displayName="Table3" ref="A1:D25" totalsRowShown="0">
  <autoFilter ref="A1:D25" xr:uid="{BEC63F04-70E0-964D-9C32-4C53B6EE480E}"/>
  <tableColumns count="4">
    <tableColumn id="1" xr3:uid="{003C3CA0-3645-7547-92FC-8B1CE5C0057C}" name="protocol">
      <calculatedColumnFormula array="1">INDIRECT(CONCATENATE("csv!A",$D2))</calculatedColumnFormula>
    </tableColumn>
    <tableColumn id="2" xr3:uid="{D6BA0669-61ED-2C47-B2E0-2870D1353772}" name="payload_bytes" dataDxfId="6" dataCellStyle="Comma">
      <calculatedColumnFormula array="1">INDIRECT(CONCATENATE("csv!D",$D2))</calculatedColumnFormula>
    </tableColumn>
    <tableColumn id="3" xr3:uid="{C0692C55-A8E4-5441-B332-5179BF614E70}" name="updates_per_second" dataDxfId="5" dataCellStyle="Comma">
      <calculatedColumnFormula array="1">INDIRECT(CONCATENATE("csv!E",$D2))</calculatedColumnFormula>
    </tableColumn>
    <tableColumn id="5" xr3:uid="{C0C8568A-B873-264A-9339-4378026A6C55}" name="row to choose" dataDxfId="4" dataCellStyle="Comma">
      <calculatedColumnFormula>D1+5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286DBD9-2378-CB46-A0CB-182771688064}" name="Table25" displayName="Table25" ref="A1:E31" totalsRowShown="0">
  <autoFilter ref="A1:E31" xr:uid="{39C3776B-CF12-7444-B537-43AA2EAE8231}"/>
  <tableColumns count="5">
    <tableColumn id="1" xr3:uid="{B5414712-8110-2C4B-8774-455BAC8A5DB9}" name="Protocol">
      <calculatedColumnFormula array="1">INDIRECT(CONCATENATE("csv!A",$E2))</calculatedColumnFormula>
    </tableColumn>
    <tableColumn id="6" xr3:uid="{1E90B90F-145C-504F-97EE-6D13DFC8234E}" name="Subscribers" dataDxfId="3">
      <calculatedColumnFormula array="1">INDIRECT(CONCATENATE("csv!C",$E2))</calculatedColumnFormula>
    </tableColumn>
    <tableColumn id="2" xr3:uid="{C64DB2E0-4833-4047-91B6-7F7011E7E7DD}" name="Payload Size" dataDxfId="2" dataCellStyle="Comma">
      <calculatedColumnFormula array="1">INDIRECT(CONCATENATE("csv!D",$E2))</calculatedColumnFormula>
    </tableColumn>
    <tableColumn id="3" xr3:uid="{11F23781-64F0-064B-A30B-BAB6196D3465}" name="Per Sub Uodates" dataDxfId="1" dataCellStyle="Comma">
      <calculatedColumnFormula array="1">INDIRECT(CONCATENATE("csv!F",$E2))</calculatedColumnFormula>
    </tableColumn>
    <tableColumn id="5" xr3:uid="{C7FD7A62-1EBA-A542-8D6D-B0854D681725}" name="row to choose" dataDxfId="0" dataCellStyle="Comma">
      <calculatedColumnFormula>E1+5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4A7AE-4F31-524B-8CBA-31FFDDCC6F0F}">
  <dimension ref="B1:Q60"/>
  <sheetViews>
    <sheetView showGridLines="0" topLeftCell="A18" zoomScale="130" zoomScaleNormal="130" workbookViewId="0">
      <selection activeCell="B1" sqref="B1"/>
    </sheetView>
  </sheetViews>
  <sheetFormatPr baseColWidth="10" defaultRowHeight="16"/>
  <cols>
    <col min="2" max="2" width="10.83203125" customWidth="1"/>
  </cols>
  <sheetData>
    <row r="1" spans="2:17" ht="21" thickBot="1">
      <c r="B1" s="9" t="s">
        <v>69</v>
      </c>
      <c r="C1" s="9"/>
      <c r="D1" s="9"/>
      <c r="E1" s="9"/>
      <c r="F1" s="9"/>
      <c r="G1" s="9"/>
      <c r="H1" s="9"/>
      <c r="I1" s="9"/>
    </row>
    <row r="2" spans="2:17" ht="17" thickTop="1"/>
    <row r="3" spans="2:17" ht="20">
      <c r="B3" s="15" t="s">
        <v>70</v>
      </c>
    </row>
    <row r="4" spans="2:17" ht="20">
      <c r="B4" s="15"/>
      <c r="C4" s="25" t="s">
        <v>71</v>
      </c>
    </row>
    <row r="5" spans="2:17" ht="20">
      <c r="B5" s="15"/>
      <c r="C5" s="25" t="s">
        <v>72</v>
      </c>
    </row>
    <row r="6" spans="2:17" ht="20">
      <c r="B6" s="15"/>
      <c r="C6" s="25" t="s">
        <v>73</v>
      </c>
    </row>
    <row r="7" spans="2:17" ht="20">
      <c r="B7" s="15"/>
      <c r="C7" s="25" t="s">
        <v>74</v>
      </c>
    </row>
    <row r="8" spans="2:17" ht="20">
      <c r="B8" s="15" t="s">
        <v>11</v>
      </c>
    </row>
    <row r="9" spans="2:17" ht="20">
      <c r="B9" s="15"/>
    </row>
    <row r="10" spans="2:17">
      <c r="B10" s="21" t="s">
        <v>75</v>
      </c>
      <c r="C10" s="21"/>
      <c r="D10" s="21"/>
      <c r="E10" s="21"/>
      <c r="F10" s="21"/>
      <c r="G10" s="21"/>
    </row>
    <row r="12" spans="2:17" ht="21" thickBot="1">
      <c r="B12" s="9" t="s">
        <v>36</v>
      </c>
    </row>
    <row r="13" spans="2:17" ht="17" thickTop="1"/>
    <row r="14" spans="2:17" ht="18" thickBot="1">
      <c r="B14" s="14" t="s">
        <v>52</v>
      </c>
      <c r="C14" s="14"/>
      <c r="D14" s="14"/>
      <c r="E14" s="14"/>
      <c r="F14" s="14"/>
      <c r="H14" s="14" t="s">
        <v>53</v>
      </c>
      <c r="I14" s="14"/>
      <c r="J14" s="14"/>
      <c r="K14" s="14"/>
      <c r="M14" s="14" t="s">
        <v>50</v>
      </c>
      <c r="N14" s="14"/>
      <c r="O14" s="14"/>
      <c r="P14" s="14"/>
      <c r="Q14" s="14"/>
    </row>
    <row r="15" spans="2:17" ht="17" thickTop="1">
      <c r="C15" t="s">
        <v>37</v>
      </c>
      <c r="D15" t="s">
        <v>38</v>
      </c>
      <c r="I15" t="s">
        <v>45</v>
      </c>
      <c r="N15" t="s">
        <v>48</v>
      </c>
    </row>
    <row r="16" spans="2:17">
      <c r="C16" t="s">
        <v>39</v>
      </c>
      <c r="D16" t="s">
        <v>40</v>
      </c>
      <c r="I16" t="s">
        <v>46</v>
      </c>
      <c r="N16" t="s">
        <v>49</v>
      </c>
    </row>
    <row r="17" spans="2:9">
      <c r="C17" t="s">
        <v>41</v>
      </c>
      <c r="D17" t="s">
        <v>42</v>
      </c>
      <c r="I17" t="s">
        <v>47</v>
      </c>
    </row>
    <row r="18" spans="2:9">
      <c r="C18" t="s">
        <v>43</v>
      </c>
      <c r="D18" t="s">
        <v>44</v>
      </c>
    </row>
    <row r="20" spans="2:9" ht="21" thickBot="1">
      <c r="B20" s="9" t="s">
        <v>51</v>
      </c>
      <c r="C20" s="9"/>
      <c r="D20" s="9"/>
      <c r="E20" s="9"/>
      <c r="F20" s="9"/>
      <c r="G20" s="9"/>
    </row>
    <row r="21" spans="2:9" ht="18" thickTop="1" thickBot="1">
      <c r="B21" s="16" t="s">
        <v>12</v>
      </c>
      <c r="C21" s="16"/>
      <c r="D21" s="16"/>
      <c r="E21" s="16"/>
      <c r="F21" s="16"/>
      <c r="G21" s="16"/>
    </row>
    <row r="22" spans="2:9">
      <c r="B22" s="17" t="s">
        <v>13</v>
      </c>
      <c r="C22" s="17" t="s">
        <v>7</v>
      </c>
      <c r="D22" s="17" t="s">
        <v>8</v>
      </c>
      <c r="E22" s="17" t="s">
        <v>9</v>
      </c>
      <c r="F22" s="17" t="s">
        <v>10</v>
      </c>
      <c r="G22" s="17"/>
    </row>
    <row r="23" spans="2:9">
      <c r="B23" s="20" t="s">
        <v>14</v>
      </c>
      <c r="C23" s="26">
        <f ca="1">seq!$C2</f>
        <v>36247.699999999997</v>
      </c>
      <c r="D23" s="26">
        <f ca="1">seq!$C8</f>
        <v>39773.1</v>
      </c>
      <c r="E23" s="26">
        <f ca="1">seq!$C14</f>
        <v>38317.300000000003</v>
      </c>
      <c r="F23" s="26">
        <f ca="1">seq!$C20</f>
        <v>39402.800000000003</v>
      </c>
      <c r="G23" s="20"/>
    </row>
    <row r="24" spans="2:9">
      <c r="B24" s="20" t="s">
        <v>15</v>
      </c>
      <c r="C24" s="26">
        <f ca="1">seq!$C3</f>
        <v>26478.5</v>
      </c>
      <c r="D24" s="26">
        <f ca="1">seq!$C9</f>
        <v>38820.400000000001</v>
      </c>
      <c r="E24" s="26">
        <f ca="1">seq!$C15</f>
        <v>37435</v>
      </c>
      <c r="F24" s="26">
        <f ca="1">seq!$C21</f>
        <v>39213.599999999999</v>
      </c>
      <c r="G24" s="20"/>
    </row>
    <row r="25" spans="2:9">
      <c r="B25" s="20" t="s">
        <v>16</v>
      </c>
      <c r="C25" s="26">
        <f ca="1">seq!$C4</f>
        <v>26566.7</v>
      </c>
      <c r="D25" s="26">
        <f ca="1">seq!$C10</f>
        <v>39690.5</v>
      </c>
      <c r="E25" s="26">
        <f ca="1">seq!$C16</f>
        <v>39228.9</v>
      </c>
      <c r="F25" s="26">
        <f ca="1">seq!$C22</f>
        <v>38251.5</v>
      </c>
      <c r="G25" s="20"/>
    </row>
    <row r="26" spans="2:9">
      <c r="B26" s="20" t="s">
        <v>17</v>
      </c>
      <c r="C26" s="26">
        <f ca="1">seq!$C5</f>
        <v>61700.7</v>
      </c>
      <c r="D26" s="26">
        <f ca="1">seq!$C11</f>
        <v>38470.1</v>
      </c>
      <c r="E26" s="26">
        <f ca="1">seq!$C17</f>
        <v>35499.599999999999</v>
      </c>
      <c r="F26" s="26">
        <f ca="1">seq!$C23</f>
        <v>38280.199999999997</v>
      </c>
      <c r="G26" s="20"/>
    </row>
    <row r="27" spans="2:9">
      <c r="B27" s="20" t="s">
        <v>18</v>
      </c>
      <c r="C27" s="26">
        <f ca="1">seq!$C6</f>
        <v>38166.9</v>
      </c>
      <c r="D27" s="26">
        <f ca="1">seq!$C12</f>
        <v>38071.699999999997</v>
      </c>
      <c r="E27" s="26">
        <f ca="1">seq!$C18</f>
        <v>36015.800000000003</v>
      </c>
      <c r="F27" s="26">
        <f ca="1">seq!$C24</f>
        <v>38698.9</v>
      </c>
      <c r="G27" s="20"/>
    </row>
    <row r="28" spans="2:9">
      <c r="B28" s="20" t="s">
        <v>19</v>
      </c>
      <c r="C28" s="26">
        <f ca="1">seq!$C7</f>
        <v>23920.7</v>
      </c>
      <c r="D28" s="26">
        <f ca="1">seq!$C13</f>
        <v>15791.7</v>
      </c>
      <c r="E28" s="26">
        <f ca="1">seq!$C19</f>
        <v>15472.7</v>
      </c>
      <c r="F28" s="26">
        <f ca="1">seq!$C25</f>
        <v>15865.5</v>
      </c>
      <c r="G28" s="20"/>
    </row>
    <row r="29" spans="2:9">
      <c r="C29" s="1"/>
      <c r="D29" s="1"/>
      <c r="E29" s="1"/>
      <c r="F29" s="1"/>
    </row>
    <row r="30" spans="2:9" ht="17" thickBot="1">
      <c r="B30" s="16" t="s">
        <v>20</v>
      </c>
      <c r="C30" s="16"/>
      <c r="D30" s="16"/>
      <c r="E30" s="16"/>
      <c r="F30" s="16"/>
      <c r="G30" s="16"/>
    </row>
    <row r="31" spans="2:9">
      <c r="B31" s="17" t="s">
        <v>13</v>
      </c>
      <c r="C31" s="17" t="s">
        <v>7</v>
      </c>
      <c r="D31" s="17" t="s">
        <v>8</v>
      </c>
      <c r="E31" s="17" t="s">
        <v>9</v>
      </c>
      <c r="F31" s="17" t="s">
        <v>10</v>
      </c>
      <c r="G31" s="17"/>
    </row>
    <row r="32" spans="2:9">
      <c r="B32" s="18" t="s">
        <v>14</v>
      </c>
      <c r="C32" s="19">
        <f ca="1">par!$C2</f>
        <v>59490.2</v>
      </c>
      <c r="D32" s="19">
        <f ca="1">par!$C8</f>
        <v>238695</v>
      </c>
      <c r="E32" s="19">
        <f ca="1">par!$C14</f>
        <v>218564</v>
      </c>
      <c r="F32" s="19">
        <f ca="1">par!$C20</f>
        <v>227609</v>
      </c>
      <c r="G32" s="18"/>
    </row>
    <row r="33" spans="2:8">
      <c r="B33" s="18" t="s">
        <v>15</v>
      </c>
      <c r="C33" s="19">
        <f ca="1">par!$C3</f>
        <v>55886.3</v>
      </c>
      <c r="D33" s="19">
        <f ca="1">par!$C9</f>
        <v>227079</v>
      </c>
      <c r="E33" s="19">
        <f ca="1">par!$C15</f>
        <v>220478</v>
      </c>
      <c r="F33" s="19">
        <f ca="1">par!$C21</f>
        <v>224105</v>
      </c>
      <c r="G33" s="18"/>
    </row>
    <row r="34" spans="2:8">
      <c r="B34" s="18" t="s">
        <v>16</v>
      </c>
      <c r="C34" s="19">
        <f ca="1">par!$C4</f>
        <v>55580.800000000003</v>
      </c>
      <c r="D34" s="19">
        <f ca="1">par!$C10</f>
        <v>241768</v>
      </c>
      <c r="E34" s="19">
        <f ca="1">par!$C16</f>
        <v>241597</v>
      </c>
      <c r="F34" s="19">
        <f ca="1">par!$C22</f>
        <v>227917</v>
      </c>
      <c r="G34" s="18"/>
    </row>
    <row r="35" spans="2:8">
      <c r="B35" s="18" t="s">
        <v>17</v>
      </c>
      <c r="C35" s="19">
        <f ca="1">par!$C5</f>
        <v>53761.2</v>
      </c>
      <c r="D35" s="19">
        <f ca="1">par!$C11</f>
        <v>119858</v>
      </c>
      <c r="E35" s="19">
        <f ca="1">par!$C17</f>
        <v>126791</v>
      </c>
      <c r="F35" s="19">
        <f ca="1">par!$C23</f>
        <v>122703</v>
      </c>
      <c r="G35" s="18"/>
    </row>
    <row r="36" spans="2:8">
      <c r="B36" s="18" t="s">
        <v>18</v>
      </c>
      <c r="C36" s="19">
        <f ca="1">par!$C6</f>
        <v>28888.9</v>
      </c>
      <c r="D36" s="19">
        <f ca="1">par!$C12</f>
        <v>62567.3</v>
      </c>
      <c r="E36" s="19">
        <f ca="1">par!$C18</f>
        <v>62595</v>
      </c>
      <c r="F36" s="19">
        <f ca="1">par!$C24</f>
        <v>64543.4</v>
      </c>
      <c r="G36" s="18"/>
    </row>
    <row r="37" spans="2:8">
      <c r="B37" s="18" t="s">
        <v>19</v>
      </c>
      <c r="C37" s="19">
        <f ca="1">par!$C7</f>
        <v>7871.95</v>
      </c>
      <c r="D37" s="19">
        <f ca="1">par!$C13</f>
        <v>15254.8</v>
      </c>
      <c r="E37" s="19">
        <f ca="1">par!$C19</f>
        <v>15668.6</v>
      </c>
      <c r="F37" s="19">
        <f ca="1">par!$C25</f>
        <v>16025.3</v>
      </c>
      <c r="G37" s="18"/>
    </row>
    <row r="39" spans="2:8">
      <c r="B39" s="21" t="s">
        <v>54</v>
      </c>
      <c r="C39" s="21"/>
      <c r="D39" s="21"/>
      <c r="E39" s="21"/>
      <c r="F39" s="21"/>
      <c r="G39" s="21"/>
    </row>
    <row r="40" spans="2:8">
      <c r="B40" s="21" t="s">
        <v>55</v>
      </c>
      <c r="C40" s="21"/>
      <c r="D40" s="21"/>
      <c r="E40" s="21"/>
      <c r="F40" s="21"/>
      <c r="G40" s="21"/>
    </row>
    <row r="42" spans="2:8" ht="21" thickBot="1">
      <c r="B42" s="9" t="s">
        <v>21</v>
      </c>
      <c r="C42" s="9"/>
      <c r="D42" s="9"/>
      <c r="E42" s="9"/>
      <c r="F42" s="9"/>
      <c r="G42" s="9"/>
    </row>
    <row r="43" spans="2:8" ht="17" thickTop="1">
      <c r="B43" s="22" t="s">
        <v>56</v>
      </c>
      <c r="C43" s="22"/>
      <c r="D43" s="22"/>
      <c r="E43" s="22"/>
      <c r="F43" s="22"/>
      <c r="G43" s="22"/>
    </row>
    <row r="44" spans="2:8">
      <c r="C44" s="21" t="s">
        <v>57</v>
      </c>
      <c r="D44" s="21"/>
      <c r="E44" s="21"/>
      <c r="F44" s="21"/>
      <c r="G44" s="21"/>
      <c r="H44" s="21"/>
    </row>
    <row r="45" spans="2:8">
      <c r="C45" s="21" t="s">
        <v>58</v>
      </c>
      <c r="D45" s="21"/>
      <c r="E45" s="21"/>
      <c r="F45" s="21"/>
      <c r="G45" s="21"/>
      <c r="H45" s="21"/>
    </row>
    <row r="47" spans="2:8">
      <c r="B47" s="22" t="s">
        <v>65</v>
      </c>
      <c r="C47" s="22"/>
      <c r="D47" s="22"/>
      <c r="E47" s="22"/>
      <c r="F47" s="22"/>
      <c r="G47" s="22"/>
    </row>
    <row r="48" spans="2:8">
      <c r="C48" t="s">
        <v>64</v>
      </c>
    </row>
    <row r="49" spans="2:8">
      <c r="C49" t="s">
        <v>66</v>
      </c>
    </row>
    <row r="51" spans="2:8">
      <c r="B51" s="24" t="s">
        <v>7</v>
      </c>
      <c r="C51" s="24"/>
      <c r="D51" s="24"/>
      <c r="E51" s="24"/>
      <c r="F51" s="24"/>
      <c r="G51" s="24"/>
    </row>
    <row r="52" spans="2:8">
      <c r="C52" s="21" t="s">
        <v>67</v>
      </c>
      <c r="D52" s="21"/>
      <c r="E52" s="21"/>
      <c r="F52" s="21"/>
      <c r="G52" s="21"/>
    </row>
    <row r="53" spans="2:8">
      <c r="C53" s="21" t="s">
        <v>68</v>
      </c>
      <c r="D53" s="21"/>
      <c r="E53" s="21"/>
      <c r="F53" s="21"/>
      <c r="G53" s="21"/>
    </row>
    <row r="55" spans="2:8">
      <c r="B55" s="22" t="s">
        <v>62</v>
      </c>
      <c r="C55" s="22"/>
      <c r="D55" s="22"/>
      <c r="E55" s="22"/>
      <c r="F55" s="22"/>
      <c r="G55" s="22"/>
    </row>
    <row r="56" spans="2:8">
      <c r="C56" s="21" t="s">
        <v>63</v>
      </c>
      <c r="D56" s="21"/>
      <c r="E56" s="21"/>
      <c r="F56" s="21"/>
      <c r="G56" s="21"/>
      <c r="H56" s="21"/>
    </row>
    <row r="58" spans="2:8">
      <c r="B58" s="23" t="s">
        <v>59</v>
      </c>
      <c r="C58" s="23"/>
      <c r="D58" s="23"/>
      <c r="E58" s="23"/>
      <c r="F58" s="23"/>
      <c r="G58" s="23"/>
    </row>
    <row r="59" spans="2:8">
      <c r="C59" s="21" t="s">
        <v>61</v>
      </c>
      <c r="D59" s="21"/>
      <c r="E59" s="21"/>
      <c r="F59" s="21"/>
      <c r="G59" s="21"/>
    </row>
    <row r="60" spans="2:8">
      <c r="C60" s="21" t="s">
        <v>60</v>
      </c>
      <c r="D60" s="21"/>
      <c r="E60" s="21"/>
      <c r="F60" s="21"/>
      <c r="G60" s="21"/>
    </row>
  </sheetData>
  <sheetProtection sheet="1" objects="1" scenarios="1" selectLockedCells="1" selectUnlockedCell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B54F5-2985-4644-A10D-A5AF12C8ED8F}">
  <dimension ref="A1"/>
  <sheetViews>
    <sheetView showGridLines="0" topLeftCell="B2" zoomScale="125" workbookViewId="0">
      <selection activeCell="G43" sqref="G43"/>
    </sheetView>
  </sheetViews>
  <sheetFormatPr baseColWidth="10" defaultRowHeight="16"/>
  <sheetData/>
  <sheetProtection sheet="1" objects="1" scenarios="1" selectLockedCells="1" selectUnlockedCell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67108-77FE-D845-8216-29A292AF27E3}">
  <dimension ref="A1:AL42"/>
  <sheetViews>
    <sheetView showGridLines="0" tabSelected="1" workbookViewId="0">
      <selection activeCell="O48" sqref="O48"/>
    </sheetView>
  </sheetViews>
  <sheetFormatPr baseColWidth="10" defaultRowHeight="16"/>
  <cols>
    <col min="1" max="1" width="21.83203125" bestFit="1" customWidth="1"/>
    <col min="2" max="2" width="15.5" bestFit="1" customWidth="1"/>
    <col min="3" max="7" width="8.1640625" bestFit="1" customWidth="1"/>
    <col min="8" max="8" width="10.83203125" bestFit="1" customWidth="1"/>
    <col min="9" max="9" width="12.1640625" bestFit="1" customWidth="1"/>
    <col min="11" max="11" width="21.83203125" bestFit="1" customWidth="1"/>
    <col min="12" max="12" width="15.5" bestFit="1" customWidth="1"/>
    <col min="21" max="21" width="21.83203125" bestFit="1" customWidth="1"/>
    <col min="22" max="22" width="15.5" bestFit="1" customWidth="1"/>
    <col min="31" max="31" width="21.83203125" bestFit="1" customWidth="1"/>
    <col min="32" max="32" width="17.5" bestFit="1" customWidth="1"/>
  </cols>
  <sheetData>
    <row r="1" spans="1:38">
      <c r="A1" s="11" t="s">
        <v>34</v>
      </c>
      <c r="B1" t="s">
        <v>7</v>
      </c>
      <c r="K1" s="11" t="s">
        <v>34</v>
      </c>
      <c r="L1" t="s">
        <v>8</v>
      </c>
      <c r="U1" s="11" t="s">
        <v>34</v>
      </c>
      <c r="V1" t="s">
        <v>9</v>
      </c>
      <c r="AE1" s="11" t="s">
        <v>34</v>
      </c>
      <c r="AF1" t="s">
        <v>10</v>
      </c>
    </row>
    <row r="3" spans="1:38">
      <c r="A3" s="11" t="s">
        <v>35</v>
      </c>
      <c r="B3" s="11" t="s">
        <v>30</v>
      </c>
      <c r="K3" s="11" t="s">
        <v>35</v>
      </c>
      <c r="L3" s="11" t="s">
        <v>30</v>
      </c>
      <c r="U3" s="11" t="s">
        <v>35</v>
      </c>
      <c r="V3" s="11" t="s">
        <v>30</v>
      </c>
      <c r="AE3" s="11" t="s">
        <v>35</v>
      </c>
      <c r="AF3" s="11" t="s">
        <v>30</v>
      </c>
    </row>
    <row r="4" spans="1:38">
      <c r="A4" s="11" t="s">
        <v>28</v>
      </c>
      <c r="B4">
        <v>1</v>
      </c>
      <c r="C4">
        <v>10</v>
      </c>
      <c r="D4">
        <v>100</v>
      </c>
      <c r="E4">
        <v>1000</v>
      </c>
      <c r="F4">
        <v>10000</v>
      </c>
      <c r="G4">
        <v>100000</v>
      </c>
      <c r="H4" t="s">
        <v>29</v>
      </c>
      <c r="K4" s="11" t="s">
        <v>28</v>
      </c>
      <c r="L4">
        <v>1</v>
      </c>
      <c r="M4">
        <v>10</v>
      </c>
      <c r="N4">
        <v>100</v>
      </c>
      <c r="O4">
        <v>1000</v>
      </c>
      <c r="P4">
        <v>10000</v>
      </c>
      <c r="Q4">
        <v>100000</v>
      </c>
      <c r="R4" t="s">
        <v>29</v>
      </c>
      <c r="U4" s="11" t="s">
        <v>28</v>
      </c>
      <c r="V4">
        <v>1</v>
      </c>
      <c r="W4">
        <v>10</v>
      </c>
      <c r="X4">
        <v>100</v>
      </c>
      <c r="Y4">
        <v>1000</v>
      </c>
      <c r="Z4">
        <v>10000</v>
      </c>
      <c r="AA4">
        <v>100000</v>
      </c>
      <c r="AB4" t="s">
        <v>29</v>
      </c>
      <c r="AE4" s="11" t="s">
        <v>28</v>
      </c>
      <c r="AF4">
        <v>1</v>
      </c>
      <c r="AG4">
        <v>10</v>
      </c>
      <c r="AH4">
        <v>100</v>
      </c>
      <c r="AI4">
        <v>1000</v>
      </c>
      <c r="AJ4">
        <v>10000</v>
      </c>
      <c r="AK4">
        <v>100000</v>
      </c>
      <c r="AL4" t="s">
        <v>29</v>
      </c>
    </row>
    <row r="5" spans="1:38">
      <c r="A5" s="12">
        <v>1</v>
      </c>
      <c r="B5" s="13">
        <v>36247.699999999997</v>
      </c>
      <c r="C5" s="13">
        <v>26478.5</v>
      </c>
      <c r="D5" s="13">
        <v>26566.7</v>
      </c>
      <c r="E5" s="13">
        <v>61700.7</v>
      </c>
      <c r="F5" s="13">
        <v>38166.9</v>
      </c>
      <c r="G5" s="13">
        <v>23920.7</v>
      </c>
      <c r="H5" s="13">
        <v>61700.7</v>
      </c>
      <c r="K5" s="12">
        <v>1</v>
      </c>
      <c r="L5" s="13">
        <v>39773.1</v>
      </c>
      <c r="M5" s="13">
        <v>38820.400000000001</v>
      </c>
      <c r="N5" s="13">
        <v>39690.5</v>
      </c>
      <c r="O5" s="13">
        <v>38470.1</v>
      </c>
      <c r="P5" s="13">
        <v>38071.699999999997</v>
      </c>
      <c r="Q5" s="13">
        <v>15791.7</v>
      </c>
      <c r="R5" s="13">
        <v>39773.1</v>
      </c>
      <c r="S5" s="13"/>
      <c r="U5" s="12">
        <v>1</v>
      </c>
      <c r="V5" s="13">
        <v>38317.300000000003</v>
      </c>
      <c r="W5" s="13">
        <v>37435</v>
      </c>
      <c r="X5" s="13">
        <v>39228.9</v>
      </c>
      <c r="Y5" s="13">
        <v>35499.599999999999</v>
      </c>
      <c r="Z5" s="13">
        <v>36015.800000000003</v>
      </c>
      <c r="AA5" s="13">
        <v>15472.7</v>
      </c>
      <c r="AB5" s="13">
        <v>39228.9</v>
      </c>
      <c r="AE5" s="12">
        <v>1</v>
      </c>
      <c r="AF5" s="13">
        <v>39402.800000000003</v>
      </c>
      <c r="AG5" s="13">
        <v>39213.599999999999</v>
      </c>
      <c r="AH5" s="13">
        <v>38251.5</v>
      </c>
      <c r="AI5" s="13">
        <v>38280.199999999997</v>
      </c>
      <c r="AJ5" s="13">
        <v>38698.9</v>
      </c>
      <c r="AK5" s="13">
        <v>15865.5</v>
      </c>
      <c r="AL5" s="13">
        <v>39402.800000000003</v>
      </c>
    </row>
    <row r="6" spans="1:38">
      <c r="A6" s="12">
        <v>10</v>
      </c>
      <c r="B6" s="13">
        <v>16844.099999999999</v>
      </c>
      <c r="C6" s="13">
        <v>22123.5</v>
      </c>
      <c r="D6" s="13">
        <v>15587.7</v>
      </c>
      <c r="E6" s="13">
        <v>29007.1</v>
      </c>
      <c r="F6" s="13">
        <v>21877.4</v>
      </c>
      <c r="G6" s="13">
        <v>15016.2</v>
      </c>
      <c r="H6" s="13">
        <v>29007.1</v>
      </c>
      <c r="K6" s="12">
        <v>10</v>
      </c>
      <c r="L6" s="13">
        <v>14475.1</v>
      </c>
      <c r="M6" s="13">
        <v>14662.4</v>
      </c>
      <c r="N6" s="13">
        <v>14600.4</v>
      </c>
      <c r="O6" s="13">
        <v>13581.7</v>
      </c>
      <c r="P6" s="13">
        <v>5755.16</v>
      </c>
      <c r="Q6" s="13">
        <v>1380.16</v>
      </c>
      <c r="R6" s="13">
        <v>14662.4</v>
      </c>
      <c r="S6" s="13"/>
      <c r="U6" s="12">
        <v>10</v>
      </c>
      <c r="V6" s="13">
        <v>13687.5</v>
      </c>
      <c r="W6" s="13">
        <v>15008.6</v>
      </c>
      <c r="X6" s="13">
        <v>14627.9</v>
      </c>
      <c r="Y6" s="13">
        <v>13099.9</v>
      </c>
      <c r="Z6" s="13">
        <v>5692.26</v>
      </c>
      <c r="AA6" s="13">
        <v>1420.89</v>
      </c>
      <c r="AB6" s="13">
        <v>15008.6</v>
      </c>
      <c r="AE6" s="12">
        <v>10</v>
      </c>
      <c r="AF6" s="13">
        <v>14061.5</v>
      </c>
      <c r="AG6" s="13">
        <v>14779.2</v>
      </c>
      <c r="AH6" s="13">
        <v>14829.3</v>
      </c>
      <c r="AI6" s="13">
        <v>13728.4</v>
      </c>
      <c r="AJ6" s="13">
        <v>6001.99</v>
      </c>
      <c r="AK6" s="13">
        <v>1456.06</v>
      </c>
      <c r="AL6" s="13">
        <v>14829.3</v>
      </c>
    </row>
    <row r="7" spans="1:38">
      <c r="A7" s="12">
        <v>100</v>
      </c>
      <c r="B7" s="13">
        <v>166.54599999999999</v>
      </c>
      <c r="C7" s="13">
        <v>156.28899999999999</v>
      </c>
      <c r="D7" s="13">
        <v>161.88999999999999</v>
      </c>
      <c r="E7" s="13">
        <v>126.063</v>
      </c>
      <c r="F7" s="13">
        <v>238.33500000000001</v>
      </c>
      <c r="G7" s="13">
        <v>2497.91</v>
      </c>
      <c r="H7" s="13">
        <v>2497.91</v>
      </c>
      <c r="K7" s="12">
        <v>100</v>
      </c>
      <c r="L7" s="13">
        <v>1795.09</v>
      </c>
      <c r="M7" s="13">
        <v>1807.36</v>
      </c>
      <c r="N7" s="13">
        <v>2187.62</v>
      </c>
      <c r="O7" s="13">
        <v>1710.89</v>
      </c>
      <c r="P7" s="13">
        <v>609.37800000000004</v>
      </c>
      <c r="Q7" s="13">
        <v>136.626</v>
      </c>
      <c r="R7" s="13">
        <v>2187.62</v>
      </c>
      <c r="S7" s="13"/>
      <c r="U7" s="12">
        <v>100</v>
      </c>
      <c r="V7" s="13">
        <v>1802.95</v>
      </c>
      <c r="W7" s="13">
        <v>1568.74</v>
      </c>
      <c r="X7" s="13">
        <v>2227.0100000000002</v>
      </c>
      <c r="Y7" s="13">
        <v>1570.93</v>
      </c>
      <c r="Z7" s="13">
        <v>652.21600000000001</v>
      </c>
      <c r="AA7" s="13">
        <v>141.874</v>
      </c>
      <c r="AB7" s="13">
        <v>2227.0100000000002</v>
      </c>
      <c r="AE7" s="12">
        <v>100</v>
      </c>
      <c r="AF7" s="13">
        <v>1798.73</v>
      </c>
      <c r="AG7" s="13">
        <v>1771.87</v>
      </c>
      <c r="AH7" s="13">
        <v>2215.6799999999998</v>
      </c>
      <c r="AI7" s="13">
        <v>1684.4</v>
      </c>
      <c r="AJ7" s="13">
        <v>646.98400000000004</v>
      </c>
      <c r="AK7" s="13">
        <v>138.20400000000001</v>
      </c>
      <c r="AL7" s="13">
        <v>2215.6799999999998</v>
      </c>
    </row>
    <row r="8" spans="1:38">
      <c r="A8" s="12">
        <v>500</v>
      </c>
      <c r="B8" s="13">
        <v>123.586</v>
      </c>
      <c r="C8" s="13">
        <v>121.247</v>
      </c>
      <c r="D8" s="13">
        <v>125.315</v>
      </c>
      <c r="E8" s="13">
        <v>121.131</v>
      </c>
      <c r="F8" s="13">
        <v>102.586</v>
      </c>
      <c r="G8" s="13">
        <v>365.81799999999998</v>
      </c>
      <c r="H8" s="13">
        <v>365.81799999999998</v>
      </c>
      <c r="K8" s="12">
        <v>500</v>
      </c>
      <c r="L8" s="13">
        <v>459.97800000000001</v>
      </c>
      <c r="M8" s="13">
        <v>468.68799999999999</v>
      </c>
      <c r="N8" s="13">
        <v>500.90300000000002</v>
      </c>
      <c r="O8" s="13">
        <v>346.79899999999998</v>
      </c>
      <c r="P8" s="13">
        <v>123.428</v>
      </c>
      <c r="Q8" s="13">
        <v>29.1279</v>
      </c>
      <c r="R8" s="13">
        <v>500.90300000000002</v>
      </c>
      <c r="S8" s="13"/>
      <c r="U8" s="12">
        <v>500</v>
      </c>
      <c r="V8" s="13">
        <v>468.435</v>
      </c>
      <c r="W8" s="13">
        <v>468.32600000000002</v>
      </c>
      <c r="X8" s="13">
        <v>443.07499999999999</v>
      </c>
      <c r="Y8" s="13">
        <v>355.60300000000001</v>
      </c>
      <c r="Z8" s="13">
        <v>117.947</v>
      </c>
      <c r="AA8" s="13">
        <v>30.9726</v>
      </c>
      <c r="AB8" s="13">
        <v>468.435</v>
      </c>
      <c r="AE8" s="12">
        <v>500</v>
      </c>
      <c r="AF8" s="13">
        <v>470.39699999999999</v>
      </c>
      <c r="AG8" s="13">
        <v>463.90800000000002</v>
      </c>
      <c r="AH8" s="13">
        <v>468.20100000000002</v>
      </c>
      <c r="AI8" s="13">
        <v>352.73399999999998</v>
      </c>
      <c r="AJ8" s="13">
        <v>126.273</v>
      </c>
      <c r="AK8" s="13">
        <v>30.996500000000001</v>
      </c>
      <c r="AL8" s="13">
        <v>470.39699999999999</v>
      </c>
    </row>
    <row r="9" spans="1:38">
      <c r="A9" s="12">
        <v>1000</v>
      </c>
      <c r="B9" s="13">
        <v>59.490200000000002</v>
      </c>
      <c r="C9" s="13">
        <v>55.886299999999999</v>
      </c>
      <c r="D9" s="13">
        <v>55.580800000000004</v>
      </c>
      <c r="E9" s="13">
        <v>53.761200000000002</v>
      </c>
      <c r="F9" s="13">
        <v>28.8889</v>
      </c>
      <c r="G9" s="13">
        <v>7.87195</v>
      </c>
      <c r="H9" s="13">
        <v>59.490200000000002</v>
      </c>
      <c r="K9" s="12">
        <v>1000</v>
      </c>
      <c r="L9" s="13">
        <v>238.69499999999999</v>
      </c>
      <c r="M9" s="13">
        <v>227.07900000000001</v>
      </c>
      <c r="N9" s="13">
        <v>241.768</v>
      </c>
      <c r="O9" s="13">
        <v>119.858</v>
      </c>
      <c r="P9" s="13">
        <v>62.567300000000003</v>
      </c>
      <c r="Q9" s="13">
        <v>15.254799999999999</v>
      </c>
      <c r="R9" s="13">
        <v>241.768</v>
      </c>
      <c r="S9" s="13"/>
      <c r="U9" s="12">
        <v>1000</v>
      </c>
      <c r="V9" s="13">
        <v>218.56399999999999</v>
      </c>
      <c r="W9" s="13">
        <v>220.47800000000001</v>
      </c>
      <c r="X9" s="13">
        <v>241.59700000000001</v>
      </c>
      <c r="Y9" s="13">
        <v>126.791</v>
      </c>
      <c r="Z9" s="13">
        <v>62.594999999999999</v>
      </c>
      <c r="AA9" s="13">
        <v>15.6686</v>
      </c>
      <c r="AB9" s="13">
        <v>241.59700000000001</v>
      </c>
      <c r="AE9" s="12">
        <v>1000</v>
      </c>
      <c r="AF9" s="13">
        <v>227.60900000000001</v>
      </c>
      <c r="AG9" s="13">
        <v>224.10499999999999</v>
      </c>
      <c r="AH9" s="13">
        <v>227.917</v>
      </c>
      <c r="AI9" s="13">
        <v>122.703</v>
      </c>
      <c r="AJ9" s="13">
        <v>64.543400000000005</v>
      </c>
      <c r="AK9" s="13">
        <v>16.025300000000001</v>
      </c>
      <c r="AL9" s="13">
        <v>227.917</v>
      </c>
    </row>
    <row r="10" spans="1:38">
      <c r="A10" s="12" t="s">
        <v>29</v>
      </c>
      <c r="B10" s="13">
        <v>36247.699999999997</v>
      </c>
      <c r="C10" s="13">
        <v>26478.5</v>
      </c>
      <c r="D10" s="13">
        <v>26566.7</v>
      </c>
      <c r="E10" s="13">
        <v>61700.7</v>
      </c>
      <c r="F10" s="13">
        <v>38166.9</v>
      </c>
      <c r="G10" s="13">
        <v>23920.7</v>
      </c>
      <c r="H10" s="13">
        <v>61700.7</v>
      </c>
      <c r="K10" s="12" t="s">
        <v>29</v>
      </c>
      <c r="L10" s="13">
        <v>39773.1</v>
      </c>
      <c r="M10" s="13">
        <v>38820.400000000001</v>
      </c>
      <c r="N10" s="13">
        <v>39690.5</v>
      </c>
      <c r="O10" s="13">
        <v>38470.1</v>
      </c>
      <c r="P10" s="13">
        <v>38071.699999999997</v>
      </c>
      <c r="Q10" s="13">
        <v>15791.7</v>
      </c>
      <c r="R10" s="13">
        <v>39773.1</v>
      </c>
      <c r="S10" s="13"/>
      <c r="U10" s="12" t="s">
        <v>29</v>
      </c>
      <c r="V10" s="13">
        <v>38317.300000000003</v>
      </c>
      <c r="W10" s="13">
        <v>37435</v>
      </c>
      <c r="X10" s="13">
        <v>39228.9</v>
      </c>
      <c r="Y10" s="13">
        <v>35499.599999999999</v>
      </c>
      <c r="Z10" s="13">
        <v>36015.800000000003</v>
      </c>
      <c r="AA10" s="13">
        <v>15472.7</v>
      </c>
      <c r="AB10" s="13">
        <v>39228.9</v>
      </c>
      <c r="AE10" s="12" t="s">
        <v>29</v>
      </c>
      <c r="AF10" s="13">
        <v>39402.800000000003</v>
      </c>
      <c r="AG10" s="13">
        <v>39213.599999999999</v>
      </c>
      <c r="AH10" s="13">
        <v>38251.5</v>
      </c>
      <c r="AI10" s="13">
        <v>38280.199999999997</v>
      </c>
      <c r="AJ10" s="13">
        <v>38698.9</v>
      </c>
      <c r="AK10" s="13">
        <v>15865.5</v>
      </c>
      <c r="AL10" s="13">
        <v>39402.800000000003</v>
      </c>
    </row>
    <row r="42" spans="2:23">
      <c r="B42" s="21" t="s">
        <v>76</v>
      </c>
      <c r="M42" s="21" t="s">
        <v>77</v>
      </c>
      <c r="W42" s="21" t="s">
        <v>78</v>
      </c>
    </row>
  </sheetData>
  <sheetProtection selectLockedCells="1" selectUnlockedCells="1"/>
  <pageMargins left="0.7" right="0.7" top="0.75" bottom="0.75" header="0.3" footer="0.3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963FE-D9CE-C845-ACDD-EDE07DC02DD0}">
  <dimension ref="A1:G25"/>
  <sheetViews>
    <sheetView showGridLines="0" zoomScale="211" workbookViewId="0"/>
  </sheetViews>
  <sheetFormatPr baseColWidth="10" defaultRowHeight="16"/>
  <cols>
    <col min="1" max="1" width="15" bestFit="1" customWidth="1"/>
    <col min="2" max="2" width="15.5" customWidth="1"/>
    <col min="3" max="3" width="20.33203125" customWidth="1"/>
    <col min="4" max="4" width="16.33203125" hidden="1" customWidth="1"/>
    <col min="5" max="5" width="11.5" bestFit="1" customWidth="1"/>
    <col min="6" max="6" width="12.5" bestFit="1" customWidth="1"/>
    <col min="7" max="7" width="13.5" bestFit="1" customWidth="1"/>
  </cols>
  <sheetData>
    <row r="1" spans="1:7">
      <c r="A1" t="s">
        <v>0</v>
      </c>
      <c r="B1" t="s">
        <v>1</v>
      </c>
      <c r="C1" t="s">
        <v>2</v>
      </c>
      <c r="D1" s="3" t="s">
        <v>22</v>
      </c>
      <c r="E1" s="3"/>
      <c r="F1" s="3"/>
      <c r="G1" s="3"/>
    </row>
    <row r="2" spans="1:7">
      <c r="A2" t="str" cm="1">
        <f t="array" aca="1" ref="A2" ca="1">INDIRECT(CONCATENATE("csv!A",$D2))</f>
        <v>CA</v>
      </c>
      <c r="B2" s="3" cm="1">
        <f t="array" aca="1" ref="B2" ca="1">INDIRECT(CONCATENATE("csv!D",$D2))</f>
        <v>1</v>
      </c>
      <c r="C2" s="2" cm="1">
        <f t="array" aca="1" ref="C2" ca="1">INDIRECT(CONCATENATE("csv!E",$D2))</f>
        <v>36247.699999999997</v>
      </c>
      <c r="D2" s="3">
        <f>2</f>
        <v>2</v>
      </c>
    </row>
    <row r="3" spans="1:7">
      <c r="A3" t="str" cm="1">
        <f t="array" aca="1" ref="A3" ca="1">INDIRECT(CONCATENATE("csv!A",$D3))</f>
        <v>CA</v>
      </c>
      <c r="B3" s="3" cm="1">
        <f t="array" aca="1" ref="B3" ca="1">INDIRECT(CONCATENATE("csv!D",$D3))</f>
        <v>10</v>
      </c>
      <c r="C3" s="2" cm="1">
        <f t="array" aca="1" ref="C3" ca="1">INDIRECT(CONCATENATE("csv!E",$D3))</f>
        <v>26478.5</v>
      </c>
      <c r="D3" s="3">
        <f>D2+5</f>
        <v>7</v>
      </c>
    </row>
    <row r="4" spans="1:7">
      <c r="A4" t="str" cm="1">
        <f t="array" aca="1" ref="A4" ca="1">INDIRECT(CONCATENATE("csv!A",$D4))</f>
        <v>CA</v>
      </c>
      <c r="B4" s="3" cm="1">
        <f t="array" aca="1" ref="B4" ca="1">INDIRECT(CONCATENATE("csv!D",$D4))</f>
        <v>100</v>
      </c>
      <c r="C4" s="2" cm="1">
        <f t="array" aca="1" ref="C4" ca="1">INDIRECT(CONCATENATE("csv!E",$D4))</f>
        <v>26566.7</v>
      </c>
      <c r="D4" s="3">
        <f>D3+5</f>
        <v>12</v>
      </c>
    </row>
    <row r="5" spans="1:7">
      <c r="A5" t="str" cm="1">
        <f t="array" aca="1" ref="A5" ca="1">INDIRECT(CONCATENATE("csv!A",$D5))</f>
        <v>CA</v>
      </c>
      <c r="B5" s="3" cm="1">
        <f t="array" aca="1" ref="B5" ca="1">INDIRECT(CONCATENATE("csv!D",$D5))</f>
        <v>1000</v>
      </c>
      <c r="C5" s="2" cm="1">
        <f t="array" aca="1" ref="C5" ca="1">INDIRECT(CONCATENATE("csv!E",$D5))</f>
        <v>61700.7</v>
      </c>
      <c r="D5" s="3">
        <f t="shared" ref="D5:D25" si="0">D4+5</f>
        <v>17</v>
      </c>
    </row>
    <row r="6" spans="1:7">
      <c r="A6" t="str" cm="1">
        <f t="array" aca="1" ref="A6" ca="1">INDIRECT(CONCATENATE("csv!A",$D6))</f>
        <v>CA</v>
      </c>
      <c r="B6" s="3" cm="1">
        <f t="array" aca="1" ref="B6" ca="1">INDIRECT(CONCATENATE("csv!D",$D6))</f>
        <v>10000</v>
      </c>
      <c r="C6" s="2" cm="1">
        <f t="array" aca="1" ref="C6" ca="1">INDIRECT(CONCATENATE("csv!E",$D6))</f>
        <v>38166.9</v>
      </c>
      <c r="D6" s="3">
        <f t="shared" si="0"/>
        <v>22</v>
      </c>
    </row>
    <row r="7" spans="1:7">
      <c r="A7" t="str" cm="1">
        <f t="array" aca="1" ref="A7" ca="1">INDIRECT(CONCATENATE("csv!A",$D7))</f>
        <v>CA</v>
      </c>
      <c r="B7" s="3" cm="1">
        <f t="array" aca="1" ref="B7" ca="1">INDIRECT(CONCATENATE("csv!D",$D7))</f>
        <v>100000</v>
      </c>
      <c r="C7" s="2" cm="1">
        <f t="array" aca="1" ref="C7" ca="1">INDIRECT(CONCATENATE("csv!E",$D7))</f>
        <v>23920.7</v>
      </c>
      <c r="D7" s="3">
        <f t="shared" si="0"/>
        <v>27</v>
      </c>
    </row>
    <row r="8" spans="1:7">
      <c r="A8" t="str" cm="1">
        <f t="array" aca="1" ref="A8" ca="1">INDIRECT(CONCATENATE("csv!A",$D8))</f>
        <v>PVA</v>
      </c>
      <c r="B8" s="3" cm="1">
        <f t="array" aca="1" ref="B8" ca="1">INDIRECT(CONCATENATE("csv!D",$D8))</f>
        <v>1</v>
      </c>
      <c r="C8" s="2" cm="1">
        <f t="array" aca="1" ref="C8" ca="1">INDIRECT(CONCATENATE("csv!E",$D8))</f>
        <v>39773.1</v>
      </c>
      <c r="D8" s="3">
        <f t="shared" si="0"/>
        <v>32</v>
      </c>
    </row>
    <row r="9" spans="1:7">
      <c r="A9" t="str" cm="1">
        <f t="array" aca="1" ref="A9" ca="1">INDIRECT(CONCATENATE("csv!A",$D9))</f>
        <v>PVA</v>
      </c>
      <c r="B9" s="3" cm="1">
        <f t="array" aca="1" ref="B9" ca="1">INDIRECT(CONCATENATE("csv!D",$D9))</f>
        <v>10</v>
      </c>
      <c r="C9" s="2" cm="1">
        <f t="array" aca="1" ref="C9" ca="1">INDIRECT(CONCATENATE("csv!E",$D9))</f>
        <v>38820.400000000001</v>
      </c>
      <c r="D9" s="3">
        <f t="shared" si="0"/>
        <v>37</v>
      </c>
    </row>
    <row r="10" spans="1:7">
      <c r="A10" t="str" cm="1">
        <f t="array" aca="1" ref="A10" ca="1">INDIRECT(CONCATENATE("csv!A",$D10))</f>
        <v>PVA</v>
      </c>
      <c r="B10" s="3" cm="1">
        <f t="array" aca="1" ref="B10" ca="1">INDIRECT(CONCATENATE("csv!D",$D10))</f>
        <v>100</v>
      </c>
      <c r="C10" s="2" cm="1">
        <f t="array" aca="1" ref="C10" ca="1">INDIRECT(CONCATENATE("csv!E",$D10))</f>
        <v>39690.5</v>
      </c>
      <c r="D10" s="3">
        <f t="shared" si="0"/>
        <v>42</v>
      </c>
    </row>
    <row r="11" spans="1:7">
      <c r="A11" t="str" cm="1">
        <f t="array" aca="1" ref="A11" ca="1">INDIRECT(CONCATENATE("csv!A",$D11))</f>
        <v>PVA</v>
      </c>
      <c r="B11" s="3" cm="1">
        <f t="array" aca="1" ref="B11" ca="1">INDIRECT(CONCATENATE("csv!D",$D11))</f>
        <v>1000</v>
      </c>
      <c r="C11" s="2" cm="1">
        <f t="array" aca="1" ref="C11" ca="1">INDIRECT(CONCATENATE("csv!E",$D11))</f>
        <v>38470.1</v>
      </c>
      <c r="D11" s="3">
        <f t="shared" si="0"/>
        <v>47</v>
      </c>
    </row>
    <row r="12" spans="1:7">
      <c r="A12" t="str" cm="1">
        <f t="array" aca="1" ref="A12" ca="1">INDIRECT(CONCATENATE("csv!A",$D12))</f>
        <v>PVA</v>
      </c>
      <c r="B12" s="3" cm="1">
        <f t="array" aca="1" ref="B12" ca="1">INDIRECT(CONCATENATE("csv!D",$D12))</f>
        <v>10000</v>
      </c>
      <c r="C12" s="2" cm="1">
        <f t="array" aca="1" ref="C12" ca="1">INDIRECT(CONCATENATE("csv!E",$D12))</f>
        <v>38071.699999999997</v>
      </c>
      <c r="D12" s="3">
        <f t="shared" si="0"/>
        <v>52</v>
      </c>
    </row>
    <row r="13" spans="1:7">
      <c r="A13" t="str" cm="1">
        <f t="array" aca="1" ref="A13" ca="1">INDIRECT(CONCATENATE("csv!A",$D13))</f>
        <v>PVA</v>
      </c>
      <c r="B13" s="3" cm="1">
        <f t="array" aca="1" ref="B13" ca="1">INDIRECT(CONCATENATE("csv!D",$D13))</f>
        <v>100000</v>
      </c>
      <c r="C13" s="2" cm="1">
        <f t="array" aca="1" ref="C13" ca="1">INDIRECT(CONCATENATE("csv!E",$D13))</f>
        <v>15791.7</v>
      </c>
      <c r="D13" s="3">
        <f t="shared" si="0"/>
        <v>57</v>
      </c>
    </row>
    <row r="14" spans="1:7">
      <c r="A14" t="str" cm="1">
        <f t="array" aca="1" ref="A14" ca="1">INDIRECT(CONCATENATE("csv!A",$D14))</f>
        <v>SPVA</v>
      </c>
      <c r="B14" s="3" cm="1">
        <f t="array" aca="1" ref="B14" ca="1">INDIRECT(CONCATENATE("csv!D",$D14))</f>
        <v>1</v>
      </c>
      <c r="C14" s="2" cm="1">
        <f t="array" aca="1" ref="C14" ca="1">INDIRECT(CONCATENATE("csv!E",$D14))</f>
        <v>38317.300000000003</v>
      </c>
      <c r="D14" s="3">
        <f t="shared" si="0"/>
        <v>62</v>
      </c>
    </row>
    <row r="15" spans="1:7">
      <c r="A15" t="str" cm="1">
        <f t="array" aca="1" ref="A15" ca="1">INDIRECT(CONCATENATE("csv!A",$D15))</f>
        <v>SPVA</v>
      </c>
      <c r="B15" s="3" cm="1">
        <f t="array" aca="1" ref="B15" ca="1">INDIRECT(CONCATENATE("csv!D",$D15))</f>
        <v>10</v>
      </c>
      <c r="C15" s="2" cm="1">
        <f t="array" aca="1" ref="C15" ca="1">INDIRECT(CONCATENATE("csv!E",$D15))</f>
        <v>37435</v>
      </c>
      <c r="D15" s="3">
        <f t="shared" si="0"/>
        <v>67</v>
      </c>
    </row>
    <row r="16" spans="1:7">
      <c r="A16" t="str" cm="1">
        <f t="array" aca="1" ref="A16" ca="1">INDIRECT(CONCATENATE("csv!A",$D16))</f>
        <v>SPVA</v>
      </c>
      <c r="B16" s="3" cm="1">
        <f t="array" aca="1" ref="B16" ca="1">INDIRECT(CONCATENATE("csv!D",$D16))</f>
        <v>100</v>
      </c>
      <c r="C16" s="2" cm="1">
        <f t="array" aca="1" ref="C16" ca="1">INDIRECT(CONCATENATE("csv!E",$D16))</f>
        <v>39228.9</v>
      </c>
      <c r="D16" s="3">
        <f t="shared" si="0"/>
        <v>72</v>
      </c>
    </row>
    <row r="17" spans="1:4">
      <c r="A17" t="str" cm="1">
        <f t="array" aca="1" ref="A17" ca="1">INDIRECT(CONCATENATE("csv!A",$D17))</f>
        <v>SPVA</v>
      </c>
      <c r="B17" s="3" cm="1">
        <f t="array" aca="1" ref="B17" ca="1">INDIRECT(CONCATENATE("csv!D",$D17))</f>
        <v>1000</v>
      </c>
      <c r="C17" s="2" cm="1">
        <f t="array" aca="1" ref="C17" ca="1">INDIRECT(CONCATENATE("csv!E",$D17))</f>
        <v>35499.599999999999</v>
      </c>
      <c r="D17" s="3">
        <f t="shared" si="0"/>
        <v>77</v>
      </c>
    </row>
    <row r="18" spans="1:4">
      <c r="A18" t="str" cm="1">
        <f t="array" aca="1" ref="A18" ca="1">INDIRECT(CONCATENATE("csv!A",$D18))</f>
        <v>SPVA</v>
      </c>
      <c r="B18" s="3" cm="1">
        <f t="array" aca="1" ref="B18" ca="1">INDIRECT(CONCATENATE("csv!D",$D18))</f>
        <v>10000</v>
      </c>
      <c r="C18" s="2" cm="1">
        <f t="array" aca="1" ref="C18" ca="1">INDIRECT(CONCATENATE("csv!E",$D18))</f>
        <v>36015.800000000003</v>
      </c>
      <c r="D18" s="3">
        <f t="shared" si="0"/>
        <v>82</v>
      </c>
    </row>
    <row r="19" spans="1:4">
      <c r="A19" t="str" cm="1">
        <f t="array" aca="1" ref="A19" ca="1">INDIRECT(CONCATENATE("csv!A",$D19))</f>
        <v>SPVA</v>
      </c>
      <c r="B19" s="3" cm="1">
        <f t="array" aca="1" ref="B19" ca="1">INDIRECT(CONCATENATE("csv!D",$D19))</f>
        <v>100000</v>
      </c>
      <c r="C19" s="2" cm="1">
        <f t="array" aca="1" ref="C19" ca="1">INDIRECT(CONCATENATE("csv!E",$D19))</f>
        <v>15472.7</v>
      </c>
      <c r="D19" s="3">
        <f t="shared" si="0"/>
        <v>87</v>
      </c>
    </row>
    <row r="20" spans="1:4">
      <c r="A20" t="str" cm="1">
        <f t="array" aca="1" ref="A20" ca="1">INDIRECT(CONCATENATE("csv!A",$D20))</f>
        <v>SPVA_CERTMON</v>
      </c>
      <c r="B20" s="3" cm="1">
        <f t="array" aca="1" ref="B20" ca="1">INDIRECT(CONCATENATE("csv!D",$D20))</f>
        <v>1</v>
      </c>
      <c r="C20" s="2" cm="1">
        <f t="array" aca="1" ref="C20" ca="1">INDIRECT(CONCATENATE("csv!E",$D20))</f>
        <v>39402.800000000003</v>
      </c>
      <c r="D20" s="3">
        <f t="shared" si="0"/>
        <v>92</v>
      </c>
    </row>
    <row r="21" spans="1:4">
      <c r="A21" t="str" cm="1">
        <f t="array" aca="1" ref="A21" ca="1">INDIRECT(CONCATENATE("csv!A",$D21))</f>
        <v>SPVA_CERTMON</v>
      </c>
      <c r="B21" s="3" cm="1">
        <f t="array" aca="1" ref="B21" ca="1">INDIRECT(CONCATENATE("csv!D",$D21))</f>
        <v>10</v>
      </c>
      <c r="C21" s="2" cm="1">
        <f t="array" aca="1" ref="C21" ca="1">INDIRECT(CONCATENATE("csv!E",$D21))</f>
        <v>39213.599999999999</v>
      </c>
      <c r="D21" s="3">
        <f t="shared" si="0"/>
        <v>97</v>
      </c>
    </row>
    <row r="22" spans="1:4">
      <c r="A22" t="str" cm="1">
        <f t="array" aca="1" ref="A22" ca="1">INDIRECT(CONCATENATE("csv!A",$D22))</f>
        <v>SPVA_CERTMON</v>
      </c>
      <c r="B22" s="3" cm="1">
        <f t="array" aca="1" ref="B22" ca="1">INDIRECT(CONCATENATE("csv!D",$D22))</f>
        <v>100</v>
      </c>
      <c r="C22" s="2" cm="1">
        <f t="array" aca="1" ref="C22" ca="1">INDIRECT(CONCATENATE("csv!E",$D22))</f>
        <v>38251.5</v>
      </c>
      <c r="D22" s="3">
        <f t="shared" si="0"/>
        <v>102</v>
      </c>
    </row>
    <row r="23" spans="1:4">
      <c r="A23" t="str" cm="1">
        <f t="array" aca="1" ref="A23" ca="1">INDIRECT(CONCATENATE("csv!A",$D23))</f>
        <v>SPVA_CERTMON</v>
      </c>
      <c r="B23" s="3" cm="1">
        <f t="array" aca="1" ref="B23" ca="1">INDIRECT(CONCATENATE("csv!D",$D23))</f>
        <v>1000</v>
      </c>
      <c r="C23" s="2" cm="1">
        <f t="array" aca="1" ref="C23" ca="1">INDIRECT(CONCATENATE("csv!E",$D23))</f>
        <v>38280.199999999997</v>
      </c>
      <c r="D23" s="3">
        <f t="shared" si="0"/>
        <v>107</v>
      </c>
    </row>
    <row r="24" spans="1:4">
      <c r="A24" t="str" cm="1">
        <f t="array" aca="1" ref="A24" ca="1">INDIRECT(CONCATENATE("csv!A",$D24))</f>
        <v>SPVA_CERTMON</v>
      </c>
      <c r="B24" s="3" cm="1">
        <f t="array" aca="1" ref="B24" ca="1">INDIRECT(CONCATENATE("csv!D",$D24))</f>
        <v>10000</v>
      </c>
      <c r="C24" s="2" cm="1">
        <f t="array" aca="1" ref="C24" ca="1">INDIRECT(CONCATENATE("csv!E",$D24))</f>
        <v>38698.9</v>
      </c>
      <c r="D24" s="3">
        <f t="shared" si="0"/>
        <v>112</v>
      </c>
    </row>
    <row r="25" spans="1:4">
      <c r="A25" t="str" cm="1">
        <f t="array" aca="1" ref="A25" ca="1">INDIRECT(CONCATENATE("csv!A",$D25))</f>
        <v>SPVA_CERTMON</v>
      </c>
      <c r="B25" s="3" cm="1">
        <f t="array" aca="1" ref="B25" ca="1">INDIRECT(CONCATENATE("csv!D",$D25))</f>
        <v>100000</v>
      </c>
      <c r="C25" s="2" cm="1">
        <f t="array" aca="1" ref="C25" ca="1">INDIRECT(CONCATENATE("csv!E",$D25))</f>
        <v>15865.5</v>
      </c>
      <c r="D25" s="3">
        <f t="shared" si="0"/>
        <v>117</v>
      </c>
    </row>
  </sheetData>
  <sheetProtection sheet="1" objects="1" scenarios="1" selectLockedCells="1" selectUnlockedCell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CCFA0-6F6B-9E49-8E81-46280049C3D8}">
  <dimension ref="A1:G25"/>
  <sheetViews>
    <sheetView showGridLines="0" zoomScale="211" zoomScaleNormal="211" workbookViewId="0">
      <selection activeCell="F15" sqref="F15"/>
    </sheetView>
  </sheetViews>
  <sheetFormatPr baseColWidth="10" defaultRowHeight="16"/>
  <cols>
    <col min="1" max="1" width="15" bestFit="1" customWidth="1"/>
    <col min="2" max="2" width="15.5" customWidth="1"/>
    <col min="3" max="3" width="20.33203125" customWidth="1"/>
    <col min="4" max="4" width="16.33203125" hidden="1" customWidth="1"/>
    <col min="5" max="5" width="11.5" bestFit="1" customWidth="1"/>
    <col min="6" max="6" width="12.5" bestFit="1" customWidth="1"/>
    <col min="7" max="7" width="13.5" bestFit="1" customWidth="1"/>
  </cols>
  <sheetData>
    <row r="1" spans="1:7">
      <c r="A1" t="s">
        <v>0</v>
      </c>
      <c r="B1" t="s">
        <v>1</v>
      </c>
      <c r="C1" t="s">
        <v>2</v>
      </c>
      <c r="D1" s="3" t="s">
        <v>22</v>
      </c>
      <c r="E1" s="3"/>
      <c r="F1" s="3"/>
      <c r="G1" s="3"/>
    </row>
    <row r="2" spans="1:7">
      <c r="A2" t="str" cm="1">
        <f t="array" aca="1" ref="A2" ca="1">INDIRECT(CONCATENATE("csv!A",$D2))</f>
        <v>CA</v>
      </c>
      <c r="B2" s="3" cm="1">
        <f t="array" aca="1" ref="B2" ca="1">INDIRECT(CONCATENATE("csv!D",$D2))</f>
        <v>1</v>
      </c>
      <c r="C2" s="2" cm="1">
        <f t="array" aca="1" ref="C2" ca="1">INDIRECT(CONCATENATE("csv!E",$D2))</f>
        <v>59490.2</v>
      </c>
      <c r="D2" s="3">
        <v>6</v>
      </c>
    </row>
    <row r="3" spans="1:7">
      <c r="A3" t="str" cm="1">
        <f t="array" aca="1" ref="A3" ca="1">INDIRECT(CONCATENATE("csv!A",$D3))</f>
        <v>CA</v>
      </c>
      <c r="B3" s="3" cm="1">
        <f t="array" aca="1" ref="B3" ca="1">INDIRECT(CONCATENATE("csv!D",$D3))</f>
        <v>10</v>
      </c>
      <c r="C3" s="2" cm="1">
        <f t="array" aca="1" ref="C3" ca="1">INDIRECT(CONCATENATE("csv!E",$D3))</f>
        <v>55886.3</v>
      </c>
      <c r="D3" s="3">
        <f>D2+5</f>
        <v>11</v>
      </c>
    </row>
    <row r="4" spans="1:7">
      <c r="A4" t="str" cm="1">
        <f t="array" aca="1" ref="A4" ca="1">INDIRECT(CONCATENATE("csv!A",$D4))</f>
        <v>CA</v>
      </c>
      <c r="B4" s="3" cm="1">
        <f t="array" aca="1" ref="B4" ca="1">INDIRECT(CONCATENATE("csv!D",$D4))</f>
        <v>100</v>
      </c>
      <c r="C4" s="2" cm="1">
        <f t="array" aca="1" ref="C4" ca="1">INDIRECT(CONCATENATE("csv!E",$D4))</f>
        <v>55580.800000000003</v>
      </c>
      <c r="D4" s="3">
        <f>D3+5</f>
        <v>16</v>
      </c>
    </row>
    <row r="5" spans="1:7">
      <c r="A5" t="str" cm="1">
        <f t="array" aca="1" ref="A5" ca="1">INDIRECT(CONCATENATE("csv!A",$D5))</f>
        <v>CA</v>
      </c>
      <c r="B5" s="3" cm="1">
        <f t="array" aca="1" ref="B5" ca="1">INDIRECT(CONCATENATE("csv!D",$D5))</f>
        <v>1000</v>
      </c>
      <c r="C5" s="2" cm="1">
        <f t="array" aca="1" ref="C5" ca="1">INDIRECT(CONCATENATE("csv!E",$D5))</f>
        <v>53761.2</v>
      </c>
      <c r="D5" s="3">
        <f t="shared" ref="D5:D25" si="0">D4+5</f>
        <v>21</v>
      </c>
    </row>
    <row r="6" spans="1:7">
      <c r="A6" t="str" cm="1">
        <f t="array" aca="1" ref="A6" ca="1">INDIRECT(CONCATENATE("csv!A",$D6))</f>
        <v>CA</v>
      </c>
      <c r="B6" s="3" cm="1">
        <f t="array" aca="1" ref="B6" ca="1">INDIRECT(CONCATENATE("csv!D",$D6))</f>
        <v>10000</v>
      </c>
      <c r="C6" s="2" cm="1">
        <f t="array" aca="1" ref="C6" ca="1">INDIRECT(CONCATENATE("csv!E",$D6))</f>
        <v>28888.9</v>
      </c>
      <c r="D6" s="3">
        <f t="shared" si="0"/>
        <v>26</v>
      </c>
    </row>
    <row r="7" spans="1:7">
      <c r="A7" t="str" cm="1">
        <f t="array" aca="1" ref="A7" ca="1">INDIRECT(CONCATENATE("csv!A",$D7))</f>
        <v>CA</v>
      </c>
      <c r="B7" s="3" cm="1">
        <f t="array" aca="1" ref="B7" ca="1">INDIRECT(CONCATENATE("csv!D",$D7))</f>
        <v>100000</v>
      </c>
      <c r="C7" s="2" cm="1">
        <f t="array" aca="1" ref="C7" ca="1">INDIRECT(CONCATENATE("csv!E",$D7))</f>
        <v>7871.95</v>
      </c>
      <c r="D7" s="3">
        <f t="shared" si="0"/>
        <v>31</v>
      </c>
    </row>
    <row r="8" spans="1:7">
      <c r="A8" t="str" cm="1">
        <f t="array" aca="1" ref="A8" ca="1">INDIRECT(CONCATENATE("csv!A",$D8))</f>
        <v>PVA</v>
      </c>
      <c r="B8" s="3" cm="1">
        <f t="array" aca="1" ref="B8" ca="1">INDIRECT(CONCATENATE("csv!D",$D8))</f>
        <v>1</v>
      </c>
      <c r="C8" s="2" cm="1">
        <f t="array" aca="1" ref="C8" ca="1">INDIRECT(CONCATENATE("csv!E",$D8))</f>
        <v>238695</v>
      </c>
      <c r="D8" s="3">
        <f t="shared" si="0"/>
        <v>36</v>
      </c>
    </row>
    <row r="9" spans="1:7">
      <c r="A9" t="str" cm="1">
        <f t="array" aca="1" ref="A9" ca="1">INDIRECT(CONCATENATE("csv!A",$D9))</f>
        <v>PVA</v>
      </c>
      <c r="B9" s="3" cm="1">
        <f t="array" aca="1" ref="B9" ca="1">INDIRECT(CONCATENATE("csv!D",$D9))</f>
        <v>10</v>
      </c>
      <c r="C9" s="2" cm="1">
        <f t="array" aca="1" ref="C9" ca="1">INDIRECT(CONCATENATE("csv!E",$D9))</f>
        <v>227079</v>
      </c>
      <c r="D9" s="3">
        <f t="shared" si="0"/>
        <v>41</v>
      </c>
    </row>
    <row r="10" spans="1:7">
      <c r="A10" t="str" cm="1">
        <f t="array" aca="1" ref="A10" ca="1">INDIRECT(CONCATENATE("csv!A",$D10))</f>
        <v>PVA</v>
      </c>
      <c r="B10" s="3" cm="1">
        <f t="array" aca="1" ref="B10" ca="1">INDIRECT(CONCATENATE("csv!D",$D10))</f>
        <v>100</v>
      </c>
      <c r="C10" s="2" cm="1">
        <f t="array" aca="1" ref="C10" ca="1">INDIRECT(CONCATENATE("csv!E",$D10))</f>
        <v>241768</v>
      </c>
      <c r="D10" s="3">
        <f t="shared" si="0"/>
        <v>46</v>
      </c>
    </row>
    <row r="11" spans="1:7">
      <c r="A11" t="str" cm="1">
        <f t="array" aca="1" ref="A11" ca="1">INDIRECT(CONCATENATE("csv!A",$D11))</f>
        <v>PVA</v>
      </c>
      <c r="B11" s="3" cm="1">
        <f t="array" aca="1" ref="B11" ca="1">INDIRECT(CONCATENATE("csv!D",$D11))</f>
        <v>1000</v>
      </c>
      <c r="C11" s="2" cm="1">
        <f t="array" aca="1" ref="C11" ca="1">INDIRECT(CONCATENATE("csv!E",$D11))</f>
        <v>119858</v>
      </c>
      <c r="D11" s="3">
        <f t="shared" si="0"/>
        <v>51</v>
      </c>
    </row>
    <row r="12" spans="1:7">
      <c r="A12" t="str" cm="1">
        <f t="array" aca="1" ref="A12" ca="1">INDIRECT(CONCATENATE("csv!A",$D12))</f>
        <v>PVA</v>
      </c>
      <c r="B12" s="3" cm="1">
        <f t="array" aca="1" ref="B12" ca="1">INDIRECT(CONCATENATE("csv!D",$D12))</f>
        <v>10000</v>
      </c>
      <c r="C12" s="2" cm="1">
        <f t="array" aca="1" ref="C12" ca="1">INDIRECT(CONCATENATE("csv!E",$D12))</f>
        <v>62567.3</v>
      </c>
      <c r="D12" s="3">
        <f t="shared" si="0"/>
        <v>56</v>
      </c>
    </row>
    <row r="13" spans="1:7">
      <c r="A13" t="str" cm="1">
        <f t="array" aca="1" ref="A13" ca="1">INDIRECT(CONCATENATE("csv!A",$D13))</f>
        <v>PVA</v>
      </c>
      <c r="B13" s="3" cm="1">
        <f t="array" aca="1" ref="B13" ca="1">INDIRECT(CONCATENATE("csv!D",$D13))</f>
        <v>100000</v>
      </c>
      <c r="C13" s="2" cm="1">
        <f t="array" aca="1" ref="C13" ca="1">INDIRECT(CONCATENATE("csv!E",$D13))</f>
        <v>15254.8</v>
      </c>
      <c r="D13" s="3">
        <f t="shared" si="0"/>
        <v>61</v>
      </c>
    </row>
    <row r="14" spans="1:7">
      <c r="A14" t="str" cm="1">
        <f t="array" aca="1" ref="A14" ca="1">INDIRECT(CONCATENATE("csv!A",$D14))</f>
        <v>SPVA</v>
      </c>
      <c r="B14" s="3" cm="1">
        <f t="array" aca="1" ref="B14" ca="1">INDIRECT(CONCATENATE("csv!D",$D14))</f>
        <v>1</v>
      </c>
      <c r="C14" s="2" cm="1">
        <f t="array" aca="1" ref="C14" ca="1">INDIRECT(CONCATENATE("csv!E",$D14))</f>
        <v>218564</v>
      </c>
      <c r="D14" s="3">
        <f t="shared" si="0"/>
        <v>66</v>
      </c>
    </row>
    <row r="15" spans="1:7">
      <c r="A15" t="str" cm="1">
        <f t="array" aca="1" ref="A15" ca="1">INDIRECT(CONCATENATE("csv!A",$D15))</f>
        <v>SPVA</v>
      </c>
      <c r="B15" s="3" cm="1">
        <f t="array" aca="1" ref="B15" ca="1">INDIRECT(CONCATENATE("csv!D",$D15))</f>
        <v>10</v>
      </c>
      <c r="C15" s="2" cm="1">
        <f t="array" aca="1" ref="C15" ca="1">INDIRECT(CONCATENATE("csv!E",$D15))</f>
        <v>220478</v>
      </c>
      <c r="D15" s="3">
        <f t="shared" si="0"/>
        <v>71</v>
      </c>
    </row>
    <row r="16" spans="1:7">
      <c r="A16" t="str" cm="1">
        <f t="array" aca="1" ref="A16" ca="1">INDIRECT(CONCATENATE("csv!A",$D16))</f>
        <v>SPVA</v>
      </c>
      <c r="B16" s="3" cm="1">
        <f t="array" aca="1" ref="B16" ca="1">INDIRECT(CONCATENATE("csv!D",$D16))</f>
        <v>100</v>
      </c>
      <c r="C16" s="2" cm="1">
        <f t="array" aca="1" ref="C16" ca="1">INDIRECT(CONCATENATE("csv!E",$D16))</f>
        <v>241597</v>
      </c>
      <c r="D16" s="3">
        <f t="shared" si="0"/>
        <v>76</v>
      </c>
    </row>
    <row r="17" spans="1:4">
      <c r="A17" t="str" cm="1">
        <f t="array" aca="1" ref="A17" ca="1">INDIRECT(CONCATENATE("csv!A",$D17))</f>
        <v>SPVA</v>
      </c>
      <c r="B17" s="3" cm="1">
        <f t="array" aca="1" ref="B17" ca="1">INDIRECT(CONCATENATE("csv!D",$D17))</f>
        <v>1000</v>
      </c>
      <c r="C17" s="2" cm="1">
        <f t="array" aca="1" ref="C17" ca="1">INDIRECT(CONCATENATE("csv!E",$D17))</f>
        <v>126791</v>
      </c>
      <c r="D17" s="3">
        <f t="shared" si="0"/>
        <v>81</v>
      </c>
    </row>
    <row r="18" spans="1:4">
      <c r="A18" t="str" cm="1">
        <f t="array" aca="1" ref="A18" ca="1">INDIRECT(CONCATENATE("csv!A",$D18))</f>
        <v>SPVA</v>
      </c>
      <c r="B18" s="3" cm="1">
        <f t="array" aca="1" ref="B18" ca="1">INDIRECT(CONCATENATE("csv!D",$D18))</f>
        <v>10000</v>
      </c>
      <c r="C18" s="2" cm="1">
        <f t="array" aca="1" ref="C18" ca="1">INDIRECT(CONCATENATE("csv!E",$D18))</f>
        <v>62595</v>
      </c>
      <c r="D18" s="3">
        <f t="shared" si="0"/>
        <v>86</v>
      </c>
    </row>
    <row r="19" spans="1:4">
      <c r="A19" t="str" cm="1">
        <f t="array" aca="1" ref="A19" ca="1">INDIRECT(CONCATENATE("csv!A",$D19))</f>
        <v>SPVA</v>
      </c>
      <c r="B19" s="3" cm="1">
        <f t="array" aca="1" ref="B19" ca="1">INDIRECT(CONCATENATE("csv!D",$D19))</f>
        <v>100000</v>
      </c>
      <c r="C19" s="2" cm="1">
        <f t="array" aca="1" ref="C19" ca="1">INDIRECT(CONCATENATE("csv!E",$D19))</f>
        <v>15668.6</v>
      </c>
      <c r="D19" s="3">
        <f t="shared" si="0"/>
        <v>91</v>
      </c>
    </row>
    <row r="20" spans="1:4">
      <c r="A20" t="str" cm="1">
        <f t="array" aca="1" ref="A20" ca="1">INDIRECT(CONCATENATE("csv!A",$D20))</f>
        <v>SPVA_CERTMON</v>
      </c>
      <c r="B20" s="3" cm="1">
        <f t="array" aca="1" ref="B20" ca="1">INDIRECT(CONCATENATE("csv!D",$D20))</f>
        <v>1</v>
      </c>
      <c r="C20" s="2" cm="1">
        <f t="array" aca="1" ref="C20" ca="1">INDIRECT(CONCATENATE("csv!E",$D20))</f>
        <v>227609</v>
      </c>
      <c r="D20" s="3">
        <f t="shared" si="0"/>
        <v>96</v>
      </c>
    </row>
    <row r="21" spans="1:4">
      <c r="A21" t="str" cm="1">
        <f t="array" aca="1" ref="A21" ca="1">INDIRECT(CONCATENATE("csv!A",$D21))</f>
        <v>SPVA_CERTMON</v>
      </c>
      <c r="B21" s="3" cm="1">
        <f t="array" aca="1" ref="B21" ca="1">INDIRECT(CONCATENATE("csv!D",$D21))</f>
        <v>10</v>
      </c>
      <c r="C21" s="2" cm="1">
        <f t="array" aca="1" ref="C21" ca="1">INDIRECT(CONCATENATE("csv!E",$D21))</f>
        <v>224105</v>
      </c>
      <c r="D21" s="3">
        <f t="shared" si="0"/>
        <v>101</v>
      </c>
    </row>
    <row r="22" spans="1:4">
      <c r="A22" t="str" cm="1">
        <f t="array" aca="1" ref="A22" ca="1">INDIRECT(CONCATENATE("csv!A",$D22))</f>
        <v>SPVA_CERTMON</v>
      </c>
      <c r="B22" s="3" cm="1">
        <f t="array" aca="1" ref="B22" ca="1">INDIRECT(CONCATENATE("csv!D",$D22))</f>
        <v>100</v>
      </c>
      <c r="C22" s="2" cm="1">
        <f t="array" aca="1" ref="C22" ca="1">INDIRECT(CONCATENATE("csv!E",$D22))</f>
        <v>227917</v>
      </c>
      <c r="D22" s="3">
        <f t="shared" si="0"/>
        <v>106</v>
      </c>
    </row>
    <row r="23" spans="1:4">
      <c r="A23" t="str" cm="1">
        <f t="array" aca="1" ref="A23" ca="1">INDIRECT(CONCATENATE("csv!A",$D23))</f>
        <v>SPVA_CERTMON</v>
      </c>
      <c r="B23" s="3" cm="1">
        <f t="array" aca="1" ref="B23" ca="1">INDIRECT(CONCATENATE("csv!D",$D23))</f>
        <v>1000</v>
      </c>
      <c r="C23" s="2" cm="1">
        <f t="array" aca="1" ref="C23" ca="1">INDIRECT(CONCATENATE("csv!E",$D23))</f>
        <v>122703</v>
      </c>
      <c r="D23" s="3">
        <f t="shared" si="0"/>
        <v>111</v>
      </c>
    </row>
    <row r="24" spans="1:4">
      <c r="A24" t="str" cm="1">
        <f t="array" aca="1" ref="A24" ca="1">INDIRECT(CONCATENATE("csv!A",$D24))</f>
        <v>SPVA_CERTMON</v>
      </c>
      <c r="B24" s="3" cm="1">
        <f t="array" aca="1" ref="B24" ca="1">INDIRECT(CONCATENATE("csv!D",$D24))</f>
        <v>10000</v>
      </c>
      <c r="C24" s="2" cm="1">
        <f t="array" aca="1" ref="C24" ca="1">INDIRECT(CONCATENATE("csv!E",$D24))</f>
        <v>64543.4</v>
      </c>
      <c r="D24" s="3">
        <f t="shared" si="0"/>
        <v>116</v>
      </c>
    </row>
    <row r="25" spans="1:4">
      <c r="A25" t="str" cm="1">
        <f t="array" aca="1" ref="A25" ca="1">INDIRECT(CONCATENATE("csv!A",$D25))</f>
        <v>SPVA_CERTMON</v>
      </c>
      <c r="B25" s="3" cm="1">
        <f t="array" aca="1" ref="B25" ca="1">INDIRECT(CONCATENATE("csv!D",$D25))</f>
        <v>100000</v>
      </c>
      <c r="C25" s="2" cm="1">
        <f t="array" aca="1" ref="C25" ca="1">INDIRECT(CONCATENATE("csv!E",$D25))</f>
        <v>16025.3</v>
      </c>
      <c r="D25" s="3">
        <f t="shared" si="0"/>
        <v>121</v>
      </c>
    </row>
  </sheetData>
  <sheetProtection sheet="1" objects="1" scenarios="1" selectLockedCells="1" selectUnlockedCell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84FA6-62FC-DF46-AD0F-22519E4C2F6F}">
  <dimension ref="A1:W31"/>
  <sheetViews>
    <sheetView showGridLines="0" zoomScale="133" workbookViewId="0">
      <selection activeCell="M37" sqref="M37"/>
    </sheetView>
  </sheetViews>
  <sheetFormatPr baseColWidth="10" defaultRowHeight="16"/>
  <cols>
    <col min="1" max="1" width="10.33203125" bestFit="1" customWidth="1"/>
    <col min="2" max="2" width="13" bestFit="1" customWidth="1"/>
    <col min="3" max="3" width="14" bestFit="1" customWidth="1"/>
    <col min="4" max="4" width="17.1640625" bestFit="1" customWidth="1"/>
    <col min="5" max="5" width="16.5" hidden="1" customWidth="1"/>
    <col min="6" max="6" width="3.5" customWidth="1"/>
    <col min="7" max="7" width="7.83203125" bestFit="1" customWidth="1"/>
    <col min="8" max="8" width="10.5" bestFit="1" customWidth="1"/>
    <col min="9" max="9" width="11.5" bestFit="1" customWidth="1"/>
    <col min="10" max="10" width="14.6640625" bestFit="1" customWidth="1"/>
    <col min="11" max="11" width="14.6640625" hidden="1" customWidth="1"/>
    <col min="12" max="12" width="3.5" customWidth="1"/>
    <col min="13" max="13" width="7.83203125" bestFit="1" customWidth="1"/>
    <col min="14" max="14" width="10.5" bestFit="1" customWidth="1"/>
    <col min="15" max="15" width="11.5" bestFit="1" customWidth="1"/>
    <col min="16" max="16" width="14.6640625" bestFit="1" customWidth="1"/>
    <col min="17" max="17" width="0" hidden="1" customWidth="1"/>
    <col min="18" max="18" width="3.5" customWidth="1"/>
    <col min="19" max="19" width="15" bestFit="1" customWidth="1"/>
    <col min="20" max="20" width="10.5" bestFit="1" customWidth="1"/>
    <col min="21" max="21" width="11.5" bestFit="1" customWidth="1"/>
    <col min="23" max="23" width="0" hidden="1" customWidth="1"/>
  </cols>
  <sheetData>
    <row r="1" spans="1:23">
      <c r="A1" s="4" t="s">
        <v>34</v>
      </c>
      <c r="B1" s="5" t="s">
        <v>33</v>
      </c>
      <c r="C1" s="5" t="s">
        <v>32</v>
      </c>
      <c r="D1" s="8" t="s">
        <v>31</v>
      </c>
      <c r="E1" s="3" t="s">
        <v>22</v>
      </c>
      <c r="F1" s="3"/>
      <c r="G1" s="4" t="s">
        <v>34</v>
      </c>
      <c r="H1" s="5" t="s">
        <v>33</v>
      </c>
      <c r="I1" s="5" t="s">
        <v>32</v>
      </c>
      <c r="J1" s="8" t="s">
        <v>31</v>
      </c>
      <c r="K1" s="35"/>
      <c r="M1" s="4" t="s">
        <v>34</v>
      </c>
      <c r="N1" s="5" t="s">
        <v>33</v>
      </c>
      <c r="O1" s="5" t="s">
        <v>32</v>
      </c>
      <c r="P1" s="8" t="s">
        <v>31</v>
      </c>
      <c r="Q1" s="35"/>
      <c r="S1" s="4" t="s">
        <v>34</v>
      </c>
      <c r="T1" s="5" t="s">
        <v>33</v>
      </c>
      <c r="U1" s="5" t="s">
        <v>32</v>
      </c>
      <c r="V1" s="8" t="s">
        <v>31</v>
      </c>
      <c r="W1" s="35"/>
    </row>
    <row r="2" spans="1:23">
      <c r="A2" t="str" cm="1">
        <f t="array" aca="1" ref="A2" ca="1">INDIRECT(CONCATENATE("csv!A",$E2))</f>
        <v>CA</v>
      </c>
      <c r="B2" s="3" cm="1">
        <f t="array" aca="1" ref="B2" ca="1">INDIRECT(CONCATENATE("csv!C",$E2))</f>
        <v>1</v>
      </c>
      <c r="C2" s="3" cm="1">
        <f t="array" aca="1" ref="C2" ca="1">INDIRECT(CONCATENATE("csv!D",$E2))</f>
        <v>1</v>
      </c>
      <c r="D2" s="2" cm="1">
        <f t="array" aca="1" ref="D2" ca="1">INDIRECT(CONCATENATE("csv!F",$E2))</f>
        <v>36247.699999999997</v>
      </c>
      <c r="E2" s="3">
        <f>2</f>
        <v>2</v>
      </c>
      <c r="G2" s="6" t="str" cm="1">
        <f t="array" aca="1" ref="G2" ca="1">INDIRECT(CONCATENATE("csv!A",$K2))</f>
        <v>PVA</v>
      </c>
      <c r="H2" s="27" cm="1">
        <f t="array" aca="1" ref="H2" ca="1">INDIRECT(CONCATENATE("csv!C",$K2))</f>
        <v>1</v>
      </c>
      <c r="I2" s="28" cm="1">
        <f t="array" aca="1" ref="I2" ca="1">INDIRECT(CONCATENATE("csv!D",$K2))</f>
        <v>1</v>
      </c>
      <c r="J2" s="29" cm="1">
        <f t="array" aca="1" ref="J2" ca="1">INDIRECT(CONCATENATE("csv!F",$K2))</f>
        <v>39773.1</v>
      </c>
      <c r="K2" s="36">
        <v>32</v>
      </c>
      <c r="M2" s="6" t="str" cm="1">
        <f t="array" aca="1" ref="M2" ca="1">INDIRECT(CONCATENATE("csv!A",$Q2))</f>
        <v>SPVA</v>
      </c>
      <c r="N2" s="27" cm="1">
        <f t="array" aca="1" ref="N2" ca="1">INDIRECT(CONCATENATE("csv!C",$Q2))</f>
        <v>1</v>
      </c>
      <c r="O2" s="28" cm="1">
        <f t="array" aca="1" ref="O2" ca="1">INDIRECT(CONCATENATE("csv!D",$Q2))</f>
        <v>1</v>
      </c>
      <c r="P2" s="29" cm="1">
        <f t="array" aca="1" ref="P2" ca="1">INDIRECT(CONCATENATE("csv!F",$Q2))</f>
        <v>38317.300000000003</v>
      </c>
      <c r="Q2" s="36">
        <v>62</v>
      </c>
      <c r="S2" s="6" t="str" cm="1">
        <f t="array" aca="1" ref="S2" ca="1">INDIRECT(CONCATENATE("csv!A",$W2))</f>
        <v>SPVA_CERTMON</v>
      </c>
      <c r="T2" s="27" cm="1">
        <f t="array" aca="1" ref="T2" ca="1">INDIRECT(CONCATENATE("csv!C",$W2))</f>
        <v>1</v>
      </c>
      <c r="U2" s="28" cm="1">
        <f t="array" aca="1" ref="U2" ca="1">INDIRECT(CONCATENATE("csv!D",$W2))</f>
        <v>1</v>
      </c>
      <c r="V2" s="29" cm="1">
        <f t="array" aca="1" ref="V2" ca="1">INDIRECT(CONCATENATE("csv!F",$W2))</f>
        <v>39402.800000000003</v>
      </c>
      <c r="W2" s="36">
        <v>92</v>
      </c>
    </row>
    <row r="3" spans="1:23">
      <c r="A3" t="str" cm="1">
        <f t="array" aca="1" ref="A3" ca="1">INDIRECT(CONCATENATE("csv!A",$E3))</f>
        <v>CA</v>
      </c>
      <c r="B3" s="10" cm="1">
        <f t="array" aca="1" ref="B3" ca="1">INDIRECT(CONCATENATE("csv!C",$E3))</f>
        <v>1</v>
      </c>
      <c r="C3" s="3" cm="1">
        <f t="array" aca="1" ref="C3" ca="1">INDIRECT(CONCATENATE("csv!D",$E3))</f>
        <v>10</v>
      </c>
      <c r="D3" s="2" cm="1">
        <f t="array" aca="1" ref="D3" ca="1">INDIRECT(CONCATENATE("csv!F",$E3))</f>
        <v>26478.5</v>
      </c>
      <c r="E3" s="3">
        <f>E2+5</f>
        <v>7</v>
      </c>
      <c r="G3" s="7" t="str" cm="1">
        <f t="array" aca="1" ref="G3" ca="1">INDIRECT(CONCATENATE("csv!A",$K3))</f>
        <v>PVA</v>
      </c>
      <c r="H3" s="30" cm="1">
        <f t="array" aca="1" ref="H3" ca="1">INDIRECT(CONCATENATE("csv!C",$K3))</f>
        <v>1</v>
      </c>
      <c r="I3" s="31" cm="1">
        <f t="array" aca="1" ref="I3" ca="1">INDIRECT(CONCATENATE("csv!D",$K3))</f>
        <v>10</v>
      </c>
      <c r="J3" s="32" cm="1">
        <f t="array" aca="1" ref="J3" ca="1">INDIRECT(CONCATENATE("csv!F",$K3))</f>
        <v>38820.400000000001</v>
      </c>
      <c r="K3" s="37">
        <f>K2+5</f>
        <v>37</v>
      </c>
      <c r="M3" s="7" t="str" cm="1">
        <f t="array" aca="1" ref="M3" ca="1">INDIRECT(CONCATENATE("csv!A",$Q3))</f>
        <v>SPVA</v>
      </c>
      <c r="N3" s="30" cm="1">
        <f t="array" aca="1" ref="N3" ca="1">INDIRECT(CONCATENATE("csv!C",$Q3))</f>
        <v>1</v>
      </c>
      <c r="O3" s="31" cm="1">
        <f t="array" aca="1" ref="O3" ca="1">INDIRECT(CONCATENATE("csv!D",$Q3))</f>
        <v>10</v>
      </c>
      <c r="P3" s="32" cm="1">
        <f t="array" aca="1" ref="P3" ca="1">INDIRECT(CONCATENATE("csv!F",$Q3))</f>
        <v>37435</v>
      </c>
      <c r="Q3" s="37">
        <f>Q2+5</f>
        <v>67</v>
      </c>
      <c r="S3" s="7" t="str" cm="1">
        <f t="array" aca="1" ref="S3" ca="1">INDIRECT(CONCATENATE("csv!A",$W3))</f>
        <v>SPVA_CERTMON</v>
      </c>
      <c r="T3" s="30" cm="1">
        <f t="array" aca="1" ref="T3" ca="1">INDIRECT(CONCATENATE("csv!C",$W3))</f>
        <v>1</v>
      </c>
      <c r="U3" s="31" cm="1">
        <f t="array" aca="1" ref="U3" ca="1">INDIRECT(CONCATENATE("csv!D",$W3))</f>
        <v>10</v>
      </c>
      <c r="V3" s="32" cm="1">
        <f t="array" aca="1" ref="V3" ca="1">INDIRECT(CONCATENATE("csv!F",$W3))</f>
        <v>39213.599999999999</v>
      </c>
      <c r="W3" s="37">
        <f>W2+5</f>
        <v>97</v>
      </c>
    </row>
    <row r="4" spans="1:23">
      <c r="A4" t="str" cm="1">
        <f t="array" aca="1" ref="A4" ca="1">INDIRECT(CONCATENATE("csv!A",$E4))</f>
        <v>CA</v>
      </c>
      <c r="B4" s="10" cm="1">
        <f t="array" aca="1" ref="B4" ca="1">INDIRECT(CONCATENATE("csv!C",$E4))</f>
        <v>1</v>
      </c>
      <c r="C4" s="3" cm="1">
        <f t="array" aca="1" ref="C4" ca="1">INDIRECT(CONCATENATE("csv!D",$E4))</f>
        <v>100</v>
      </c>
      <c r="D4" s="2" cm="1">
        <f t="array" aca="1" ref="D4" ca="1">INDIRECT(CONCATENATE("csv!F",$E4))</f>
        <v>26566.7</v>
      </c>
      <c r="E4" s="3">
        <f>E3+5</f>
        <v>12</v>
      </c>
      <c r="G4" s="6" t="str" cm="1">
        <f t="array" aca="1" ref="G4" ca="1">INDIRECT(CONCATENATE("csv!A",$K4))</f>
        <v>PVA</v>
      </c>
      <c r="H4" s="27" cm="1">
        <f t="array" aca="1" ref="H4" ca="1">INDIRECT(CONCATENATE("csv!C",$K4))</f>
        <v>1</v>
      </c>
      <c r="I4" s="28" cm="1">
        <f t="array" aca="1" ref="I4" ca="1">INDIRECT(CONCATENATE("csv!D",$K4))</f>
        <v>100</v>
      </c>
      <c r="J4" s="33" cm="1">
        <f t="array" aca="1" ref="J4" ca="1">INDIRECT(CONCATENATE("csv!F",$K4))</f>
        <v>39690.5</v>
      </c>
      <c r="K4" s="36">
        <f>K3+5</f>
        <v>42</v>
      </c>
      <c r="M4" s="6" t="str" cm="1">
        <f t="array" aca="1" ref="M4" ca="1">INDIRECT(CONCATENATE("csv!A",$Q4))</f>
        <v>SPVA</v>
      </c>
      <c r="N4" s="27" cm="1">
        <f t="array" aca="1" ref="N4" ca="1">INDIRECT(CONCATENATE("csv!C",$Q4))</f>
        <v>1</v>
      </c>
      <c r="O4" s="28" cm="1">
        <f t="array" aca="1" ref="O4" ca="1">INDIRECT(CONCATENATE("csv!D",$Q4))</f>
        <v>100</v>
      </c>
      <c r="P4" s="33" cm="1">
        <f t="array" aca="1" ref="P4" ca="1">INDIRECT(CONCATENATE("csv!F",$Q4))</f>
        <v>39228.9</v>
      </c>
      <c r="Q4" s="36">
        <f>Q3+5</f>
        <v>72</v>
      </c>
      <c r="S4" s="6" t="str" cm="1">
        <f t="array" aca="1" ref="S4" ca="1">INDIRECT(CONCATENATE("csv!A",$W4))</f>
        <v>SPVA_CERTMON</v>
      </c>
      <c r="T4" s="27" cm="1">
        <f t="array" aca="1" ref="T4" ca="1">INDIRECT(CONCATENATE("csv!C",$W4))</f>
        <v>1</v>
      </c>
      <c r="U4" s="28" cm="1">
        <f t="array" aca="1" ref="U4" ca="1">INDIRECT(CONCATENATE("csv!D",$W4))</f>
        <v>100</v>
      </c>
      <c r="V4" s="33" cm="1">
        <f t="array" aca="1" ref="V4" ca="1">INDIRECT(CONCATENATE("csv!F",$W4))</f>
        <v>38251.5</v>
      </c>
      <c r="W4" s="36">
        <f>W3+5</f>
        <v>102</v>
      </c>
    </row>
    <row r="5" spans="1:23">
      <c r="A5" t="str" cm="1">
        <f t="array" aca="1" ref="A5" ca="1">INDIRECT(CONCATENATE("csv!A",$E5))</f>
        <v>CA</v>
      </c>
      <c r="B5" s="10" cm="1">
        <f t="array" aca="1" ref="B5" ca="1">INDIRECT(CONCATENATE("csv!C",$E5))</f>
        <v>1</v>
      </c>
      <c r="C5" s="3" cm="1">
        <f t="array" aca="1" ref="C5" ca="1">INDIRECT(CONCATENATE("csv!D",$E5))</f>
        <v>1000</v>
      </c>
      <c r="D5" s="2" cm="1">
        <f t="array" aca="1" ref="D5" ca="1">INDIRECT(CONCATENATE("csv!F",$E5))</f>
        <v>61700.7</v>
      </c>
      <c r="E5" s="3">
        <f t="shared" ref="E5:E25" si="0">E4+5</f>
        <v>17</v>
      </c>
      <c r="G5" s="7" t="str" cm="1">
        <f t="array" aca="1" ref="G5" ca="1">INDIRECT(CONCATENATE("csv!A",$K5))</f>
        <v>PVA</v>
      </c>
      <c r="H5" s="30" cm="1">
        <f t="array" aca="1" ref="H5" ca="1">INDIRECT(CONCATENATE("csv!C",$K5))</f>
        <v>1</v>
      </c>
      <c r="I5" s="31" cm="1">
        <f t="array" aca="1" ref="I5" ca="1">INDIRECT(CONCATENATE("csv!D",$K5))</f>
        <v>1000</v>
      </c>
      <c r="J5" s="34" cm="1">
        <f t="array" aca="1" ref="J5" ca="1">INDIRECT(CONCATENATE("csv!F",$K5))</f>
        <v>38470.1</v>
      </c>
      <c r="K5" s="37">
        <f>K4+5</f>
        <v>47</v>
      </c>
      <c r="M5" s="7" t="str" cm="1">
        <f t="array" aca="1" ref="M5" ca="1">INDIRECT(CONCATENATE("csv!A",$Q5))</f>
        <v>SPVA</v>
      </c>
      <c r="N5" s="30" cm="1">
        <f t="array" aca="1" ref="N5" ca="1">INDIRECT(CONCATENATE("csv!C",$Q5))</f>
        <v>1</v>
      </c>
      <c r="O5" s="31" cm="1">
        <f t="array" aca="1" ref="O5" ca="1">INDIRECT(CONCATENATE("csv!D",$Q5))</f>
        <v>1000</v>
      </c>
      <c r="P5" s="34" cm="1">
        <f t="array" aca="1" ref="P5" ca="1">INDIRECT(CONCATENATE("csv!F",$Q5))</f>
        <v>35499.599999999999</v>
      </c>
      <c r="Q5" s="37">
        <f>Q4+5</f>
        <v>77</v>
      </c>
      <c r="S5" s="7" t="str" cm="1">
        <f t="array" aca="1" ref="S5" ca="1">INDIRECT(CONCATENATE("csv!A",$W5))</f>
        <v>SPVA_CERTMON</v>
      </c>
      <c r="T5" s="30" cm="1">
        <f t="array" aca="1" ref="T5" ca="1">INDIRECT(CONCATENATE("csv!C",$W5))</f>
        <v>1</v>
      </c>
      <c r="U5" s="31" cm="1">
        <f t="array" aca="1" ref="U5" ca="1">INDIRECT(CONCATENATE("csv!D",$W5))</f>
        <v>1000</v>
      </c>
      <c r="V5" s="34" cm="1">
        <f t="array" aca="1" ref="V5" ca="1">INDIRECT(CONCATENATE("csv!F",$W5))</f>
        <v>38280.199999999997</v>
      </c>
      <c r="W5" s="37">
        <f>W4+5</f>
        <v>107</v>
      </c>
    </row>
    <row r="6" spans="1:23">
      <c r="A6" t="str" cm="1">
        <f t="array" aca="1" ref="A6" ca="1">INDIRECT(CONCATENATE("csv!A",$E6))</f>
        <v>CA</v>
      </c>
      <c r="B6" s="10" cm="1">
        <f t="array" aca="1" ref="B6" ca="1">INDIRECT(CONCATENATE("csv!C",$E6))</f>
        <v>1</v>
      </c>
      <c r="C6" s="3" cm="1">
        <f t="array" aca="1" ref="C6" ca="1">INDIRECT(CONCATENATE("csv!D",$E6))</f>
        <v>10000</v>
      </c>
      <c r="D6" s="2" cm="1">
        <f t="array" aca="1" ref="D6" ca="1">INDIRECT(CONCATENATE("csv!F",$E6))</f>
        <v>38166.9</v>
      </c>
      <c r="E6" s="3">
        <f t="shared" si="0"/>
        <v>22</v>
      </c>
      <c r="G6" s="6" t="str" cm="1">
        <f t="array" aca="1" ref="G6" ca="1">INDIRECT(CONCATENATE("csv!A",$K6))</f>
        <v>PVA</v>
      </c>
      <c r="H6" s="27" cm="1">
        <f t="array" aca="1" ref="H6" ca="1">INDIRECT(CONCATENATE("csv!C",$K6))</f>
        <v>1</v>
      </c>
      <c r="I6" s="28" cm="1">
        <f t="array" aca="1" ref="I6" ca="1">INDIRECT(CONCATENATE("csv!D",$K6))</f>
        <v>10000</v>
      </c>
      <c r="J6" s="33" cm="1">
        <f t="array" aca="1" ref="J6" ca="1">INDIRECT(CONCATENATE("csv!F",$K6))</f>
        <v>38071.699999999997</v>
      </c>
      <c r="K6" s="36">
        <f>K5+5</f>
        <v>52</v>
      </c>
      <c r="M6" s="6" t="str" cm="1">
        <f t="array" aca="1" ref="M6" ca="1">INDIRECT(CONCATENATE("csv!A",$Q6))</f>
        <v>SPVA</v>
      </c>
      <c r="N6" s="27" cm="1">
        <f t="array" aca="1" ref="N6" ca="1">INDIRECT(CONCATENATE("csv!C",$Q6))</f>
        <v>1</v>
      </c>
      <c r="O6" s="28" cm="1">
        <f t="array" aca="1" ref="O6" ca="1">INDIRECT(CONCATENATE("csv!D",$Q6))</f>
        <v>10000</v>
      </c>
      <c r="P6" s="33" cm="1">
        <f t="array" aca="1" ref="P6" ca="1">INDIRECT(CONCATENATE("csv!F",$Q6))</f>
        <v>36015.800000000003</v>
      </c>
      <c r="Q6" s="36">
        <f>Q5+5</f>
        <v>82</v>
      </c>
      <c r="S6" s="6" t="str" cm="1">
        <f t="array" aca="1" ref="S6" ca="1">INDIRECT(CONCATENATE("csv!A",$W6))</f>
        <v>SPVA_CERTMON</v>
      </c>
      <c r="T6" s="27" cm="1">
        <f t="array" aca="1" ref="T6" ca="1">INDIRECT(CONCATENATE("csv!C",$W6))</f>
        <v>1</v>
      </c>
      <c r="U6" s="28" cm="1">
        <f t="array" aca="1" ref="U6" ca="1">INDIRECT(CONCATENATE("csv!D",$W6))</f>
        <v>10000</v>
      </c>
      <c r="V6" s="33" cm="1">
        <f t="array" aca="1" ref="V6" ca="1">INDIRECT(CONCATENATE("csv!F",$W6))</f>
        <v>38698.9</v>
      </c>
      <c r="W6" s="36">
        <f>W5+5</f>
        <v>112</v>
      </c>
    </row>
    <row r="7" spans="1:23">
      <c r="A7" t="str" cm="1">
        <f t="array" aca="1" ref="A7" ca="1">INDIRECT(CONCATENATE("csv!A",$E7))</f>
        <v>CA</v>
      </c>
      <c r="B7" s="10" cm="1">
        <f t="array" aca="1" ref="B7" ca="1">INDIRECT(CONCATENATE("csv!C",$E7))</f>
        <v>1</v>
      </c>
      <c r="C7" s="3" cm="1">
        <f t="array" aca="1" ref="C7" ca="1">INDIRECT(CONCATENATE("csv!D",$E7))</f>
        <v>100000</v>
      </c>
      <c r="D7" s="2" cm="1">
        <f t="array" aca="1" ref="D7" ca="1">INDIRECT(CONCATENATE("csv!F",$E7))</f>
        <v>23920.7</v>
      </c>
      <c r="E7" s="3">
        <f t="shared" si="0"/>
        <v>27</v>
      </c>
      <c r="G7" s="7" t="str" cm="1">
        <f t="array" aca="1" ref="G7" ca="1">INDIRECT(CONCATENATE("csv!A",$K7))</f>
        <v>PVA</v>
      </c>
      <c r="H7" s="30" cm="1">
        <f t="array" aca="1" ref="H7" ca="1">INDIRECT(CONCATENATE("csv!C",$K7))</f>
        <v>1</v>
      </c>
      <c r="I7" s="31" cm="1">
        <f t="array" aca="1" ref="I7" ca="1">INDIRECT(CONCATENATE("csv!D",$K7))</f>
        <v>100000</v>
      </c>
      <c r="J7" s="34" cm="1">
        <f t="array" aca="1" ref="J7" ca="1">INDIRECT(CONCATENATE("csv!F",$K7))</f>
        <v>15791.7</v>
      </c>
      <c r="K7" s="37">
        <f>K6+5</f>
        <v>57</v>
      </c>
      <c r="M7" s="7" t="str" cm="1">
        <f t="array" aca="1" ref="M7" ca="1">INDIRECT(CONCATENATE("csv!A",$Q7))</f>
        <v>SPVA</v>
      </c>
      <c r="N7" s="30" cm="1">
        <f t="array" aca="1" ref="N7" ca="1">INDIRECT(CONCATENATE("csv!C",$Q7))</f>
        <v>1</v>
      </c>
      <c r="O7" s="31" cm="1">
        <f t="array" aca="1" ref="O7" ca="1">INDIRECT(CONCATENATE("csv!D",$Q7))</f>
        <v>100000</v>
      </c>
      <c r="P7" s="34" cm="1">
        <f t="array" aca="1" ref="P7" ca="1">INDIRECT(CONCATENATE("csv!F",$Q7))</f>
        <v>15472.7</v>
      </c>
      <c r="Q7" s="37">
        <f>Q6+5</f>
        <v>87</v>
      </c>
      <c r="S7" s="7" t="str" cm="1">
        <f t="array" aca="1" ref="S7" ca="1">INDIRECT(CONCATENATE("csv!A",$W7))</f>
        <v>SPVA_CERTMON</v>
      </c>
      <c r="T7" s="30" cm="1">
        <f t="array" aca="1" ref="T7" ca="1">INDIRECT(CONCATENATE("csv!C",$W7))</f>
        <v>1</v>
      </c>
      <c r="U7" s="31" cm="1">
        <f t="array" aca="1" ref="U7" ca="1">INDIRECT(CONCATENATE("csv!D",$W7))</f>
        <v>100000</v>
      </c>
      <c r="V7" s="34" cm="1">
        <f t="array" aca="1" ref="V7" ca="1">INDIRECT(CONCATENATE("csv!F",$W7))</f>
        <v>15865.5</v>
      </c>
      <c r="W7" s="37">
        <f>W6+5</f>
        <v>117</v>
      </c>
    </row>
    <row r="8" spans="1:23">
      <c r="A8" t="str" cm="1">
        <f t="array" aca="1" ref="A8" ca="1">INDIRECT(CONCATENATE("csv!A",$E8))</f>
        <v>CA</v>
      </c>
      <c r="B8" s="10" cm="1">
        <f t="array" aca="1" ref="B8" ca="1">INDIRECT(CONCATENATE("csv!C",$E8))</f>
        <v>10</v>
      </c>
      <c r="C8" s="3" cm="1">
        <f t="array" aca="1" ref="C8" ca="1">INDIRECT(CONCATENATE("csv!D",$E8))</f>
        <v>1</v>
      </c>
      <c r="D8" s="2" cm="1">
        <f t="array" aca="1" ref="D8" ca="1">INDIRECT(CONCATENATE("csv!F",$E8))</f>
        <v>16844.099999999999</v>
      </c>
      <c r="E8" s="3">
        <v>3</v>
      </c>
      <c r="G8" s="6" t="str" cm="1">
        <f t="array" aca="1" ref="G8" ca="1">INDIRECT(CONCATENATE("csv!A",$K8))</f>
        <v>PVA</v>
      </c>
      <c r="H8" s="27" cm="1">
        <f t="array" aca="1" ref="H8" ca="1">INDIRECT(CONCATENATE("csv!C",$K8))</f>
        <v>10</v>
      </c>
      <c r="I8" s="28" cm="1">
        <f t="array" aca="1" ref="I8" ca="1">INDIRECT(CONCATENATE("csv!D",$K8))</f>
        <v>1</v>
      </c>
      <c r="J8" s="33" cm="1">
        <f t="array" aca="1" ref="J8" ca="1">INDIRECT(CONCATENATE("csv!F",$K8))</f>
        <v>14475.1</v>
      </c>
      <c r="K8" s="36">
        <v>33</v>
      </c>
      <c r="M8" s="6" t="str" cm="1">
        <f t="array" aca="1" ref="M8" ca="1">INDIRECT(CONCATENATE("csv!A",$Q8))</f>
        <v>SPVA</v>
      </c>
      <c r="N8" s="27" cm="1">
        <f t="array" aca="1" ref="N8" ca="1">INDIRECT(CONCATENATE("csv!C",$Q8))</f>
        <v>10</v>
      </c>
      <c r="O8" s="28" cm="1">
        <f t="array" aca="1" ref="O8" ca="1">INDIRECT(CONCATENATE("csv!D",$Q8))</f>
        <v>1</v>
      </c>
      <c r="P8" s="33" cm="1">
        <f t="array" aca="1" ref="P8" ca="1">INDIRECT(CONCATENATE("csv!F",$Q8))</f>
        <v>13687.5</v>
      </c>
      <c r="Q8" s="36">
        <v>63</v>
      </c>
      <c r="S8" s="6" t="str" cm="1">
        <f t="array" aca="1" ref="S8" ca="1">INDIRECT(CONCATENATE("csv!A",$W8))</f>
        <v>SPVA_CERTMON</v>
      </c>
      <c r="T8" s="27" cm="1">
        <f t="array" aca="1" ref="T8" ca="1">INDIRECT(CONCATENATE("csv!C",$W8))</f>
        <v>10</v>
      </c>
      <c r="U8" s="28" cm="1">
        <f t="array" aca="1" ref="U8" ca="1">INDIRECT(CONCATENATE("csv!D",$W8))</f>
        <v>1</v>
      </c>
      <c r="V8" s="33" cm="1">
        <f t="array" aca="1" ref="V8" ca="1">INDIRECT(CONCATENATE("csv!F",$W8))</f>
        <v>14061.5</v>
      </c>
      <c r="W8" s="36">
        <v>93</v>
      </c>
    </row>
    <row r="9" spans="1:23">
      <c r="A9" t="str" cm="1">
        <f t="array" aca="1" ref="A9" ca="1">INDIRECT(CONCATENATE("csv!A",$E9))</f>
        <v>CA</v>
      </c>
      <c r="B9" s="10" cm="1">
        <f t="array" aca="1" ref="B9" ca="1">INDIRECT(CONCATENATE("csv!C",$E9))</f>
        <v>10</v>
      </c>
      <c r="C9" s="3" cm="1">
        <f t="array" aca="1" ref="C9" ca="1">INDIRECT(CONCATENATE("csv!D",$E9))</f>
        <v>10</v>
      </c>
      <c r="D9" s="2" cm="1">
        <f t="array" aca="1" ref="D9" ca="1">INDIRECT(CONCATENATE("csv!F",$E9))</f>
        <v>22123.5</v>
      </c>
      <c r="E9" s="3">
        <f t="shared" si="0"/>
        <v>8</v>
      </c>
      <c r="G9" s="7" t="str" cm="1">
        <f t="array" aca="1" ref="G9" ca="1">INDIRECT(CONCATENATE("csv!A",$K9))</f>
        <v>PVA</v>
      </c>
      <c r="H9" s="30" cm="1">
        <f t="array" aca="1" ref="H9" ca="1">INDIRECT(CONCATENATE("csv!C",$K9))</f>
        <v>10</v>
      </c>
      <c r="I9" s="31" cm="1">
        <f t="array" aca="1" ref="I9" ca="1">INDIRECT(CONCATENATE("csv!D",$K9))</f>
        <v>10</v>
      </c>
      <c r="J9" s="34" cm="1">
        <f t="array" aca="1" ref="J9" ca="1">INDIRECT(CONCATENATE("csv!F",$K9))</f>
        <v>14662.4</v>
      </c>
      <c r="K9" s="37">
        <f>K8+5</f>
        <v>38</v>
      </c>
      <c r="M9" s="7" t="str" cm="1">
        <f t="array" aca="1" ref="M9" ca="1">INDIRECT(CONCATENATE("csv!A",$Q9))</f>
        <v>SPVA</v>
      </c>
      <c r="N9" s="30" cm="1">
        <f t="array" aca="1" ref="N9" ca="1">INDIRECT(CONCATENATE("csv!C",$Q9))</f>
        <v>10</v>
      </c>
      <c r="O9" s="31" cm="1">
        <f t="array" aca="1" ref="O9" ca="1">INDIRECT(CONCATENATE("csv!D",$Q9))</f>
        <v>10</v>
      </c>
      <c r="P9" s="34" cm="1">
        <f t="array" aca="1" ref="P9" ca="1">INDIRECT(CONCATENATE("csv!F",$Q9))</f>
        <v>15008.6</v>
      </c>
      <c r="Q9" s="37">
        <f>Q8+5</f>
        <v>68</v>
      </c>
      <c r="S9" s="7" t="str" cm="1">
        <f t="array" aca="1" ref="S9" ca="1">INDIRECT(CONCATENATE("csv!A",$W9))</f>
        <v>SPVA_CERTMON</v>
      </c>
      <c r="T9" s="30" cm="1">
        <f t="array" aca="1" ref="T9" ca="1">INDIRECT(CONCATENATE("csv!C",$W9))</f>
        <v>10</v>
      </c>
      <c r="U9" s="31" cm="1">
        <f t="array" aca="1" ref="U9" ca="1">INDIRECT(CONCATENATE("csv!D",$W9))</f>
        <v>10</v>
      </c>
      <c r="V9" s="34" cm="1">
        <f t="array" aca="1" ref="V9" ca="1">INDIRECT(CONCATENATE("csv!F",$W9))</f>
        <v>14779.2</v>
      </c>
      <c r="W9" s="37">
        <f t="shared" ref="W9:W13" si="1">W8+5</f>
        <v>98</v>
      </c>
    </row>
    <row r="10" spans="1:23">
      <c r="A10" t="str" cm="1">
        <f t="array" aca="1" ref="A10" ca="1">INDIRECT(CONCATENATE("csv!A",$E10))</f>
        <v>CA</v>
      </c>
      <c r="B10" s="10" cm="1">
        <f t="array" aca="1" ref="B10" ca="1">INDIRECT(CONCATENATE("csv!C",$E10))</f>
        <v>10</v>
      </c>
      <c r="C10" s="3" cm="1">
        <f t="array" aca="1" ref="C10" ca="1">INDIRECT(CONCATENATE("csv!D",$E10))</f>
        <v>100</v>
      </c>
      <c r="D10" s="2" cm="1">
        <f t="array" aca="1" ref="D10" ca="1">INDIRECT(CONCATENATE("csv!F",$E10))</f>
        <v>15587.7</v>
      </c>
      <c r="E10" s="3">
        <f t="shared" si="0"/>
        <v>13</v>
      </c>
      <c r="G10" s="6" t="str" cm="1">
        <f t="array" aca="1" ref="G10" ca="1">INDIRECT(CONCATENATE("csv!A",$K10))</f>
        <v>PVA</v>
      </c>
      <c r="H10" s="27" cm="1">
        <f t="array" aca="1" ref="H10" ca="1">INDIRECT(CONCATENATE("csv!C",$K10))</f>
        <v>10</v>
      </c>
      <c r="I10" s="28" cm="1">
        <f t="array" aca="1" ref="I10" ca="1">INDIRECT(CONCATENATE("csv!D",$K10))</f>
        <v>100</v>
      </c>
      <c r="J10" s="33" cm="1">
        <f t="array" aca="1" ref="J10" ca="1">INDIRECT(CONCATENATE("csv!F",$K10))</f>
        <v>14600.4</v>
      </c>
      <c r="K10" s="36">
        <f>K9+5</f>
        <v>43</v>
      </c>
      <c r="M10" s="6" t="str" cm="1">
        <f t="array" aca="1" ref="M10" ca="1">INDIRECT(CONCATENATE("csv!A",$Q10))</f>
        <v>SPVA</v>
      </c>
      <c r="N10" s="27" cm="1">
        <f t="array" aca="1" ref="N10" ca="1">INDIRECT(CONCATENATE("csv!C",$Q10))</f>
        <v>10</v>
      </c>
      <c r="O10" s="28" cm="1">
        <f t="array" aca="1" ref="O10" ca="1">INDIRECT(CONCATENATE("csv!D",$Q10))</f>
        <v>100</v>
      </c>
      <c r="P10" s="33" cm="1">
        <f t="array" aca="1" ref="P10" ca="1">INDIRECT(CONCATENATE("csv!F",$Q10))</f>
        <v>14627.9</v>
      </c>
      <c r="Q10" s="36">
        <f>Q9+5</f>
        <v>73</v>
      </c>
      <c r="S10" s="6" t="str" cm="1">
        <f t="array" aca="1" ref="S10" ca="1">INDIRECT(CONCATENATE("csv!A",$W10))</f>
        <v>SPVA_CERTMON</v>
      </c>
      <c r="T10" s="27" cm="1">
        <f t="array" aca="1" ref="T10" ca="1">INDIRECT(CONCATENATE("csv!C",$W10))</f>
        <v>10</v>
      </c>
      <c r="U10" s="28" cm="1">
        <f t="array" aca="1" ref="U10" ca="1">INDIRECT(CONCATENATE("csv!D",$W10))</f>
        <v>100</v>
      </c>
      <c r="V10" s="33" cm="1">
        <f t="array" aca="1" ref="V10" ca="1">INDIRECT(CONCATENATE("csv!F",$W10))</f>
        <v>14829.3</v>
      </c>
      <c r="W10" s="36">
        <f t="shared" si="1"/>
        <v>103</v>
      </c>
    </row>
    <row r="11" spans="1:23">
      <c r="A11" t="str" cm="1">
        <f t="array" aca="1" ref="A11" ca="1">INDIRECT(CONCATENATE("csv!A",$E11))</f>
        <v>CA</v>
      </c>
      <c r="B11" s="10" cm="1">
        <f t="array" aca="1" ref="B11" ca="1">INDIRECT(CONCATENATE("csv!C",$E11))</f>
        <v>10</v>
      </c>
      <c r="C11" s="3" cm="1">
        <f t="array" aca="1" ref="C11" ca="1">INDIRECT(CONCATENATE("csv!D",$E11))</f>
        <v>1000</v>
      </c>
      <c r="D11" s="2" cm="1">
        <f t="array" aca="1" ref="D11" ca="1">INDIRECT(CONCATENATE("csv!F",$E11))</f>
        <v>29007.1</v>
      </c>
      <c r="E11" s="3">
        <f t="shared" si="0"/>
        <v>18</v>
      </c>
      <c r="G11" s="7" t="str" cm="1">
        <f t="array" aca="1" ref="G11" ca="1">INDIRECT(CONCATENATE("csv!A",$K11))</f>
        <v>PVA</v>
      </c>
      <c r="H11" s="30" cm="1">
        <f t="array" aca="1" ref="H11" ca="1">INDIRECT(CONCATENATE("csv!C",$K11))</f>
        <v>10</v>
      </c>
      <c r="I11" s="31" cm="1">
        <f t="array" aca="1" ref="I11" ca="1">INDIRECT(CONCATENATE("csv!D",$K11))</f>
        <v>1000</v>
      </c>
      <c r="J11" s="34" cm="1">
        <f t="array" aca="1" ref="J11" ca="1">INDIRECT(CONCATENATE("csv!F",$K11))</f>
        <v>13581.7</v>
      </c>
      <c r="K11" s="37">
        <f>K10+5</f>
        <v>48</v>
      </c>
      <c r="M11" s="7" t="str" cm="1">
        <f t="array" aca="1" ref="M11" ca="1">INDIRECT(CONCATENATE("csv!A",$Q11))</f>
        <v>SPVA</v>
      </c>
      <c r="N11" s="30" cm="1">
        <f t="array" aca="1" ref="N11" ca="1">INDIRECT(CONCATENATE("csv!C",$Q11))</f>
        <v>10</v>
      </c>
      <c r="O11" s="31" cm="1">
        <f t="array" aca="1" ref="O11" ca="1">INDIRECT(CONCATENATE("csv!D",$Q11))</f>
        <v>1000</v>
      </c>
      <c r="P11" s="34" cm="1">
        <f t="array" aca="1" ref="P11" ca="1">INDIRECT(CONCATENATE("csv!F",$Q11))</f>
        <v>13099.9</v>
      </c>
      <c r="Q11" s="37">
        <f>Q10+5</f>
        <v>78</v>
      </c>
      <c r="S11" s="7" t="str" cm="1">
        <f t="array" aca="1" ref="S11" ca="1">INDIRECT(CONCATENATE("csv!A",$W11))</f>
        <v>SPVA_CERTMON</v>
      </c>
      <c r="T11" s="30" cm="1">
        <f t="array" aca="1" ref="T11" ca="1">INDIRECT(CONCATENATE("csv!C",$W11))</f>
        <v>10</v>
      </c>
      <c r="U11" s="31" cm="1">
        <f t="array" aca="1" ref="U11" ca="1">INDIRECT(CONCATENATE("csv!D",$W11))</f>
        <v>1000</v>
      </c>
      <c r="V11" s="34" cm="1">
        <f t="array" aca="1" ref="V11" ca="1">INDIRECT(CONCATENATE("csv!F",$W11))</f>
        <v>13728.4</v>
      </c>
      <c r="W11" s="37">
        <f t="shared" si="1"/>
        <v>108</v>
      </c>
    </row>
    <row r="12" spans="1:23">
      <c r="A12" t="str" cm="1">
        <f t="array" aca="1" ref="A12" ca="1">INDIRECT(CONCATENATE("csv!A",$E12))</f>
        <v>CA</v>
      </c>
      <c r="B12" s="10" cm="1">
        <f t="array" aca="1" ref="B12" ca="1">INDIRECT(CONCATENATE("csv!C",$E12))</f>
        <v>10</v>
      </c>
      <c r="C12" s="3" cm="1">
        <f t="array" aca="1" ref="C12" ca="1">INDIRECT(CONCATENATE("csv!D",$E12))</f>
        <v>10000</v>
      </c>
      <c r="D12" s="2" cm="1">
        <f t="array" aca="1" ref="D12" ca="1">INDIRECT(CONCATENATE("csv!F",$E12))</f>
        <v>21877.4</v>
      </c>
      <c r="E12" s="3">
        <f t="shared" si="0"/>
        <v>23</v>
      </c>
      <c r="G12" s="6" t="str" cm="1">
        <f t="array" aca="1" ref="G12" ca="1">INDIRECT(CONCATENATE("csv!A",$K12))</f>
        <v>PVA</v>
      </c>
      <c r="H12" s="27" cm="1">
        <f t="array" aca="1" ref="H12" ca="1">INDIRECT(CONCATENATE("csv!C",$K12))</f>
        <v>10</v>
      </c>
      <c r="I12" s="28" cm="1">
        <f t="array" aca="1" ref="I12" ca="1">INDIRECT(CONCATENATE("csv!D",$K12))</f>
        <v>10000</v>
      </c>
      <c r="J12" s="33" cm="1">
        <f t="array" aca="1" ref="J12" ca="1">INDIRECT(CONCATENATE("csv!F",$K12))</f>
        <v>5755.16</v>
      </c>
      <c r="K12" s="36">
        <f>K11+5</f>
        <v>53</v>
      </c>
      <c r="M12" s="6" t="str" cm="1">
        <f t="array" aca="1" ref="M12" ca="1">INDIRECT(CONCATENATE("csv!A",$Q12))</f>
        <v>SPVA</v>
      </c>
      <c r="N12" s="27" cm="1">
        <f t="array" aca="1" ref="N12" ca="1">INDIRECT(CONCATENATE("csv!C",$Q12))</f>
        <v>10</v>
      </c>
      <c r="O12" s="28" cm="1">
        <f t="array" aca="1" ref="O12" ca="1">INDIRECT(CONCATENATE("csv!D",$Q12))</f>
        <v>10000</v>
      </c>
      <c r="P12" s="33" cm="1">
        <f t="array" aca="1" ref="P12" ca="1">INDIRECT(CONCATENATE("csv!F",$Q12))</f>
        <v>5692.26</v>
      </c>
      <c r="Q12" s="36">
        <f>Q11+5</f>
        <v>83</v>
      </c>
      <c r="S12" s="6" t="str" cm="1">
        <f t="array" aca="1" ref="S12" ca="1">INDIRECT(CONCATENATE("csv!A",$W12))</f>
        <v>SPVA_CERTMON</v>
      </c>
      <c r="T12" s="27" cm="1">
        <f t="array" aca="1" ref="T12" ca="1">INDIRECT(CONCATENATE("csv!C",$W12))</f>
        <v>10</v>
      </c>
      <c r="U12" s="28" cm="1">
        <f t="array" aca="1" ref="U12" ca="1">INDIRECT(CONCATENATE("csv!D",$W12))</f>
        <v>10000</v>
      </c>
      <c r="V12" s="33" cm="1">
        <f t="array" aca="1" ref="V12" ca="1">INDIRECT(CONCATENATE("csv!F",$W12))</f>
        <v>6001.99</v>
      </c>
      <c r="W12" s="36">
        <f t="shared" si="1"/>
        <v>113</v>
      </c>
    </row>
    <row r="13" spans="1:23">
      <c r="A13" t="str" cm="1">
        <f t="array" aca="1" ref="A13" ca="1">INDIRECT(CONCATENATE("csv!A",$E13))</f>
        <v>CA</v>
      </c>
      <c r="B13" s="10" cm="1">
        <f t="array" aca="1" ref="B13" ca="1">INDIRECT(CONCATENATE("csv!C",$E13))</f>
        <v>10</v>
      </c>
      <c r="C13" s="3" cm="1">
        <f t="array" aca="1" ref="C13" ca="1">INDIRECT(CONCATENATE("csv!D",$E13))</f>
        <v>100000</v>
      </c>
      <c r="D13" s="2" cm="1">
        <f t="array" aca="1" ref="D13" ca="1">INDIRECT(CONCATENATE("csv!F",$E13))</f>
        <v>15016.2</v>
      </c>
      <c r="E13" s="3">
        <f t="shared" si="0"/>
        <v>28</v>
      </c>
      <c r="G13" s="7" t="str" cm="1">
        <f t="array" aca="1" ref="G13" ca="1">INDIRECT(CONCATENATE("csv!A",$K13))</f>
        <v>PVA</v>
      </c>
      <c r="H13" s="30" cm="1">
        <f t="array" aca="1" ref="H13" ca="1">INDIRECT(CONCATENATE("csv!C",$K13))</f>
        <v>10</v>
      </c>
      <c r="I13" s="31" cm="1">
        <f t="array" aca="1" ref="I13" ca="1">INDIRECT(CONCATENATE("csv!D",$K13))</f>
        <v>100000</v>
      </c>
      <c r="J13" s="34" cm="1">
        <f t="array" aca="1" ref="J13" ca="1">INDIRECT(CONCATENATE("csv!F",$K13))</f>
        <v>1380.16</v>
      </c>
      <c r="K13" s="37">
        <f>K12+5</f>
        <v>58</v>
      </c>
      <c r="M13" s="7" t="str" cm="1">
        <f t="array" aca="1" ref="M13" ca="1">INDIRECT(CONCATENATE("csv!A",$Q13))</f>
        <v>SPVA</v>
      </c>
      <c r="N13" s="30" cm="1">
        <f t="array" aca="1" ref="N13" ca="1">INDIRECT(CONCATENATE("csv!C",$Q13))</f>
        <v>10</v>
      </c>
      <c r="O13" s="31" cm="1">
        <f t="array" aca="1" ref="O13" ca="1">INDIRECT(CONCATENATE("csv!D",$Q13))</f>
        <v>100000</v>
      </c>
      <c r="P13" s="34" cm="1">
        <f t="array" aca="1" ref="P13" ca="1">INDIRECT(CONCATENATE("csv!F",$Q13))</f>
        <v>1420.89</v>
      </c>
      <c r="Q13" s="37">
        <f>Q12+5</f>
        <v>88</v>
      </c>
      <c r="S13" s="7" t="str" cm="1">
        <f t="array" aca="1" ref="S13" ca="1">INDIRECT(CONCATENATE("csv!A",$W13))</f>
        <v>SPVA_CERTMON</v>
      </c>
      <c r="T13" s="30" cm="1">
        <f t="array" aca="1" ref="T13" ca="1">INDIRECT(CONCATENATE("csv!C",$W13))</f>
        <v>10</v>
      </c>
      <c r="U13" s="31" cm="1">
        <f t="array" aca="1" ref="U13" ca="1">INDIRECT(CONCATENATE("csv!D",$W13))</f>
        <v>100000</v>
      </c>
      <c r="V13" s="34" cm="1">
        <f t="array" aca="1" ref="V13" ca="1">INDIRECT(CONCATENATE("csv!F",$W13))</f>
        <v>1456.06</v>
      </c>
      <c r="W13" s="37">
        <f t="shared" si="1"/>
        <v>118</v>
      </c>
    </row>
    <row r="14" spans="1:23">
      <c r="A14" t="str" cm="1">
        <f t="array" aca="1" ref="A14" ca="1">INDIRECT(CONCATENATE("csv!A",$E14))</f>
        <v>CA</v>
      </c>
      <c r="B14" s="10" cm="1">
        <f t="array" aca="1" ref="B14" ca="1">INDIRECT(CONCATENATE("csv!C",$E14))</f>
        <v>100</v>
      </c>
      <c r="C14" s="3" cm="1">
        <f t="array" aca="1" ref="C14" ca="1">INDIRECT(CONCATENATE("csv!D",$E14))</f>
        <v>1</v>
      </c>
      <c r="D14" s="2" cm="1">
        <f t="array" aca="1" ref="D14" ca="1">INDIRECT(CONCATENATE("csv!F",$E14))</f>
        <v>166.54599999999999</v>
      </c>
      <c r="E14" s="3">
        <v>4</v>
      </c>
      <c r="G14" s="6" t="str" cm="1">
        <f t="array" aca="1" ref="G14" ca="1">INDIRECT(CONCATENATE("csv!A",$K14))</f>
        <v>PVA</v>
      </c>
      <c r="H14" s="27" cm="1">
        <f t="array" aca="1" ref="H14" ca="1">INDIRECT(CONCATENATE("csv!C",$K14))</f>
        <v>100</v>
      </c>
      <c r="I14" s="28" cm="1">
        <f t="array" aca="1" ref="I14" ca="1">INDIRECT(CONCATENATE("csv!D",$K14))</f>
        <v>1</v>
      </c>
      <c r="J14" s="33" cm="1">
        <f t="array" aca="1" ref="J14" ca="1">INDIRECT(CONCATENATE("csv!F",$K14))</f>
        <v>1795.09</v>
      </c>
      <c r="K14" s="36">
        <v>34</v>
      </c>
      <c r="M14" s="6" t="str" cm="1">
        <f t="array" aca="1" ref="M14" ca="1">INDIRECT(CONCATENATE("csv!A",$Q14))</f>
        <v>SPVA</v>
      </c>
      <c r="N14" s="27" cm="1">
        <f t="array" aca="1" ref="N14" ca="1">INDIRECT(CONCATENATE("csv!C",$Q14))</f>
        <v>100</v>
      </c>
      <c r="O14" s="28" cm="1">
        <f t="array" aca="1" ref="O14" ca="1">INDIRECT(CONCATENATE("csv!D",$Q14))</f>
        <v>1</v>
      </c>
      <c r="P14" s="33" cm="1">
        <f t="array" aca="1" ref="P14" ca="1">INDIRECT(CONCATENATE("csv!F",$Q14))</f>
        <v>1802.95</v>
      </c>
      <c r="Q14" s="36">
        <v>64</v>
      </c>
      <c r="S14" s="6" t="str" cm="1">
        <f t="array" aca="1" ref="S14" ca="1">INDIRECT(CONCATENATE("csv!A",$W14))</f>
        <v>SPVA_CERTMON</v>
      </c>
      <c r="T14" s="27" cm="1">
        <f t="array" aca="1" ref="T14" ca="1">INDIRECT(CONCATENATE("csv!C",$W14))</f>
        <v>100</v>
      </c>
      <c r="U14" s="28" cm="1">
        <f t="array" aca="1" ref="U14" ca="1">INDIRECT(CONCATENATE("csv!D",$W14))</f>
        <v>1</v>
      </c>
      <c r="V14" s="33" cm="1">
        <f t="array" aca="1" ref="V14" ca="1">INDIRECT(CONCATENATE("csv!F",$W14))</f>
        <v>1798.73</v>
      </c>
      <c r="W14" s="36">
        <v>94</v>
      </c>
    </row>
    <row r="15" spans="1:23">
      <c r="A15" t="str" cm="1">
        <f t="array" aca="1" ref="A15" ca="1">INDIRECT(CONCATENATE("csv!A",$E15))</f>
        <v>CA</v>
      </c>
      <c r="B15" s="10" cm="1">
        <f t="array" aca="1" ref="B15" ca="1">INDIRECT(CONCATENATE("csv!C",$E15))</f>
        <v>100</v>
      </c>
      <c r="C15" s="3" cm="1">
        <f t="array" aca="1" ref="C15" ca="1">INDIRECT(CONCATENATE("csv!D",$E15))</f>
        <v>10</v>
      </c>
      <c r="D15" s="2" cm="1">
        <f t="array" aca="1" ref="D15" ca="1">INDIRECT(CONCATENATE("csv!F",$E15))</f>
        <v>156.28899999999999</v>
      </c>
      <c r="E15" s="3">
        <f t="shared" si="0"/>
        <v>9</v>
      </c>
      <c r="G15" s="7" t="str" cm="1">
        <f t="array" aca="1" ref="G15" ca="1">INDIRECT(CONCATENATE("csv!A",$K15))</f>
        <v>PVA</v>
      </c>
      <c r="H15" s="30" cm="1">
        <f t="array" aca="1" ref="H15" ca="1">INDIRECT(CONCATENATE("csv!C",$K15))</f>
        <v>100</v>
      </c>
      <c r="I15" s="31" cm="1">
        <f t="array" aca="1" ref="I15" ca="1">INDIRECT(CONCATENATE("csv!D",$K15))</f>
        <v>10</v>
      </c>
      <c r="J15" s="34" cm="1">
        <f t="array" aca="1" ref="J15" ca="1">INDIRECT(CONCATENATE("csv!F",$K15))</f>
        <v>1807.36</v>
      </c>
      <c r="K15" s="37">
        <f>K14+5</f>
        <v>39</v>
      </c>
      <c r="M15" s="7" t="str" cm="1">
        <f t="array" aca="1" ref="M15" ca="1">INDIRECT(CONCATENATE("csv!A",$Q15))</f>
        <v>SPVA</v>
      </c>
      <c r="N15" s="30" cm="1">
        <f t="array" aca="1" ref="N15" ca="1">INDIRECT(CONCATENATE("csv!C",$Q15))</f>
        <v>100</v>
      </c>
      <c r="O15" s="31" cm="1">
        <f t="array" aca="1" ref="O15" ca="1">INDIRECT(CONCATENATE("csv!D",$Q15))</f>
        <v>10</v>
      </c>
      <c r="P15" s="34" cm="1">
        <f t="array" aca="1" ref="P15" ca="1">INDIRECT(CONCATENATE("csv!F",$Q15))</f>
        <v>1568.74</v>
      </c>
      <c r="Q15" s="37">
        <f>Q14+5</f>
        <v>69</v>
      </c>
      <c r="S15" s="7" t="str" cm="1">
        <f t="array" aca="1" ref="S15" ca="1">INDIRECT(CONCATENATE("csv!A",$W15))</f>
        <v>SPVA_CERTMON</v>
      </c>
      <c r="T15" s="30" cm="1">
        <f t="array" aca="1" ref="T15" ca="1">INDIRECT(CONCATENATE("csv!C",$W15))</f>
        <v>100</v>
      </c>
      <c r="U15" s="31" cm="1">
        <f t="array" aca="1" ref="U15" ca="1">INDIRECT(CONCATENATE("csv!D",$W15))</f>
        <v>10</v>
      </c>
      <c r="V15" s="34" cm="1">
        <f t="array" aca="1" ref="V15" ca="1">INDIRECT(CONCATENATE("csv!F",$W15))</f>
        <v>1771.87</v>
      </c>
      <c r="W15" s="37">
        <f t="shared" ref="W15:W31" si="2">W14+5</f>
        <v>99</v>
      </c>
    </row>
    <row r="16" spans="1:23">
      <c r="A16" t="str" cm="1">
        <f t="array" aca="1" ref="A16" ca="1">INDIRECT(CONCATENATE("csv!A",$E16))</f>
        <v>CA</v>
      </c>
      <c r="B16" s="10" cm="1">
        <f t="array" aca="1" ref="B16" ca="1">INDIRECT(CONCATENATE("csv!C",$E16))</f>
        <v>100</v>
      </c>
      <c r="C16" s="3" cm="1">
        <f t="array" aca="1" ref="C16" ca="1">INDIRECT(CONCATENATE("csv!D",$E16))</f>
        <v>100</v>
      </c>
      <c r="D16" s="2" cm="1">
        <f t="array" aca="1" ref="D16" ca="1">INDIRECT(CONCATENATE("csv!F",$E16))</f>
        <v>161.88999999999999</v>
      </c>
      <c r="E16" s="3">
        <f t="shared" si="0"/>
        <v>14</v>
      </c>
      <c r="G16" s="6" t="str" cm="1">
        <f t="array" aca="1" ref="G16" ca="1">INDIRECT(CONCATENATE("csv!A",$K16))</f>
        <v>PVA</v>
      </c>
      <c r="H16" s="27" cm="1">
        <f t="array" aca="1" ref="H16" ca="1">INDIRECT(CONCATENATE("csv!C",$K16))</f>
        <v>100</v>
      </c>
      <c r="I16" s="28" cm="1">
        <f t="array" aca="1" ref="I16" ca="1">INDIRECT(CONCATENATE("csv!D",$K16))</f>
        <v>100</v>
      </c>
      <c r="J16" s="33" cm="1">
        <f t="array" aca="1" ref="J16" ca="1">INDIRECT(CONCATENATE("csv!F",$K16))</f>
        <v>2187.62</v>
      </c>
      <c r="K16" s="36">
        <f>K15+5</f>
        <v>44</v>
      </c>
      <c r="M16" s="6" t="str" cm="1">
        <f t="array" aca="1" ref="M16" ca="1">INDIRECT(CONCATENATE("csv!A",$Q16))</f>
        <v>SPVA</v>
      </c>
      <c r="N16" s="27" cm="1">
        <f t="array" aca="1" ref="N16" ca="1">INDIRECT(CONCATENATE("csv!C",$Q16))</f>
        <v>100</v>
      </c>
      <c r="O16" s="28" cm="1">
        <f t="array" aca="1" ref="O16" ca="1">INDIRECT(CONCATENATE("csv!D",$Q16))</f>
        <v>100</v>
      </c>
      <c r="P16" s="33" cm="1">
        <f t="array" aca="1" ref="P16" ca="1">INDIRECT(CONCATENATE("csv!F",$Q16))</f>
        <v>2227.0100000000002</v>
      </c>
      <c r="Q16" s="36">
        <f>Q15+5</f>
        <v>74</v>
      </c>
      <c r="S16" s="6" t="str" cm="1">
        <f t="array" aca="1" ref="S16" ca="1">INDIRECT(CONCATENATE("csv!A",$W16))</f>
        <v>SPVA_CERTMON</v>
      </c>
      <c r="T16" s="27" cm="1">
        <f t="array" aca="1" ref="T16" ca="1">INDIRECT(CONCATENATE("csv!C",$W16))</f>
        <v>100</v>
      </c>
      <c r="U16" s="28" cm="1">
        <f t="array" aca="1" ref="U16" ca="1">INDIRECT(CONCATENATE("csv!D",$W16))</f>
        <v>100</v>
      </c>
      <c r="V16" s="33" cm="1">
        <f t="array" aca="1" ref="V16" ca="1">INDIRECT(CONCATENATE("csv!F",$W16))</f>
        <v>2215.6799999999998</v>
      </c>
      <c r="W16" s="36">
        <f t="shared" si="2"/>
        <v>104</v>
      </c>
    </row>
    <row r="17" spans="1:23">
      <c r="A17" t="str" cm="1">
        <f t="array" aca="1" ref="A17" ca="1">INDIRECT(CONCATENATE("csv!A",$E17))</f>
        <v>CA</v>
      </c>
      <c r="B17" s="10" cm="1">
        <f t="array" aca="1" ref="B17" ca="1">INDIRECT(CONCATENATE("csv!C",$E17))</f>
        <v>100</v>
      </c>
      <c r="C17" s="3" cm="1">
        <f t="array" aca="1" ref="C17" ca="1">INDIRECT(CONCATENATE("csv!D",$E17))</f>
        <v>1000</v>
      </c>
      <c r="D17" s="2" cm="1">
        <f t="array" aca="1" ref="D17" ca="1">INDIRECT(CONCATENATE("csv!F",$E17))</f>
        <v>126.063</v>
      </c>
      <c r="E17" s="3">
        <f t="shared" si="0"/>
        <v>19</v>
      </c>
      <c r="G17" s="7" t="str" cm="1">
        <f t="array" aca="1" ref="G17" ca="1">INDIRECT(CONCATENATE("csv!A",$K17))</f>
        <v>PVA</v>
      </c>
      <c r="H17" s="30" cm="1">
        <f t="array" aca="1" ref="H17" ca="1">INDIRECT(CONCATENATE("csv!C",$K17))</f>
        <v>100</v>
      </c>
      <c r="I17" s="31" cm="1">
        <f t="array" aca="1" ref="I17" ca="1">INDIRECT(CONCATENATE("csv!D",$K17))</f>
        <v>1000</v>
      </c>
      <c r="J17" s="34" cm="1">
        <f t="array" aca="1" ref="J17" ca="1">INDIRECT(CONCATENATE("csv!F",$K17))</f>
        <v>1710.89</v>
      </c>
      <c r="K17" s="37">
        <f>K16+5</f>
        <v>49</v>
      </c>
      <c r="M17" s="7" t="str" cm="1">
        <f t="array" aca="1" ref="M17" ca="1">INDIRECT(CONCATENATE("csv!A",$Q17))</f>
        <v>SPVA</v>
      </c>
      <c r="N17" s="30" cm="1">
        <f t="array" aca="1" ref="N17" ca="1">INDIRECT(CONCATENATE("csv!C",$Q17))</f>
        <v>100</v>
      </c>
      <c r="O17" s="31" cm="1">
        <f t="array" aca="1" ref="O17" ca="1">INDIRECT(CONCATENATE("csv!D",$Q17))</f>
        <v>1000</v>
      </c>
      <c r="P17" s="34" cm="1">
        <f t="array" aca="1" ref="P17" ca="1">INDIRECT(CONCATENATE("csv!F",$Q17))</f>
        <v>1570.93</v>
      </c>
      <c r="Q17" s="37">
        <f>Q16+5</f>
        <v>79</v>
      </c>
      <c r="S17" s="7" t="str" cm="1">
        <f t="array" aca="1" ref="S17" ca="1">INDIRECT(CONCATENATE("csv!A",$W17))</f>
        <v>SPVA_CERTMON</v>
      </c>
      <c r="T17" s="30" cm="1">
        <f t="array" aca="1" ref="T17" ca="1">INDIRECT(CONCATENATE("csv!C",$W17))</f>
        <v>100</v>
      </c>
      <c r="U17" s="31" cm="1">
        <f t="array" aca="1" ref="U17" ca="1">INDIRECT(CONCATENATE("csv!D",$W17))</f>
        <v>1000</v>
      </c>
      <c r="V17" s="34" cm="1">
        <f t="array" aca="1" ref="V17" ca="1">INDIRECT(CONCATENATE("csv!F",$W17))</f>
        <v>1684.4</v>
      </c>
      <c r="W17" s="37">
        <f t="shared" si="2"/>
        <v>109</v>
      </c>
    </row>
    <row r="18" spans="1:23">
      <c r="A18" t="str" cm="1">
        <f t="array" aca="1" ref="A18" ca="1">INDIRECT(CONCATENATE("csv!A",$E18))</f>
        <v>CA</v>
      </c>
      <c r="B18" s="10" cm="1">
        <f t="array" aca="1" ref="B18" ca="1">INDIRECT(CONCATENATE("csv!C",$E18))</f>
        <v>100</v>
      </c>
      <c r="C18" s="3" cm="1">
        <f t="array" aca="1" ref="C18" ca="1">INDIRECT(CONCATENATE("csv!D",$E18))</f>
        <v>10000</v>
      </c>
      <c r="D18" s="2" cm="1">
        <f t="array" aca="1" ref="D18" ca="1">INDIRECT(CONCATENATE("csv!F",$E18))</f>
        <v>238.33500000000001</v>
      </c>
      <c r="E18" s="3">
        <f t="shared" si="0"/>
        <v>24</v>
      </c>
      <c r="G18" s="6" t="str" cm="1">
        <f t="array" aca="1" ref="G18" ca="1">INDIRECT(CONCATENATE("csv!A",$K18))</f>
        <v>PVA</v>
      </c>
      <c r="H18" s="27" cm="1">
        <f t="array" aca="1" ref="H18" ca="1">INDIRECT(CONCATENATE("csv!C",$K18))</f>
        <v>100</v>
      </c>
      <c r="I18" s="28" cm="1">
        <f t="array" aca="1" ref="I18" ca="1">INDIRECT(CONCATENATE("csv!D",$K18))</f>
        <v>10000</v>
      </c>
      <c r="J18" s="33" cm="1">
        <f t="array" aca="1" ref="J18" ca="1">INDIRECT(CONCATENATE("csv!F",$K18))</f>
        <v>609.37800000000004</v>
      </c>
      <c r="K18" s="36">
        <f>K17+5</f>
        <v>54</v>
      </c>
      <c r="M18" s="6" t="str" cm="1">
        <f t="array" aca="1" ref="M18" ca="1">INDIRECT(CONCATENATE("csv!A",$Q18))</f>
        <v>SPVA</v>
      </c>
      <c r="N18" s="27" cm="1">
        <f t="array" aca="1" ref="N18" ca="1">INDIRECT(CONCATENATE("csv!C",$Q18))</f>
        <v>100</v>
      </c>
      <c r="O18" s="28" cm="1">
        <f t="array" aca="1" ref="O18" ca="1">INDIRECT(CONCATENATE("csv!D",$Q18))</f>
        <v>10000</v>
      </c>
      <c r="P18" s="33" cm="1">
        <f t="array" aca="1" ref="P18" ca="1">INDIRECT(CONCATENATE("csv!F",$Q18))</f>
        <v>652.21600000000001</v>
      </c>
      <c r="Q18" s="36">
        <f>Q17+5</f>
        <v>84</v>
      </c>
      <c r="S18" s="6" t="str" cm="1">
        <f t="array" aca="1" ref="S18" ca="1">INDIRECT(CONCATENATE("csv!A",$W18))</f>
        <v>SPVA_CERTMON</v>
      </c>
      <c r="T18" s="27" cm="1">
        <f t="array" aca="1" ref="T18" ca="1">INDIRECT(CONCATENATE("csv!C",$W18))</f>
        <v>100</v>
      </c>
      <c r="U18" s="28" cm="1">
        <f t="array" aca="1" ref="U18" ca="1">INDIRECT(CONCATENATE("csv!D",$W18))</f>
        <v>10000</v>
      </c>
      <c r="V18" s="33" cm="1">
        <f t="array" aca="1" ref="V18" ca="1">INDIRECT(CONCATENATE("csv!F",$W18))</f>
        <v>646.98400000000004</v>
      </c>
      <c r="W18" s="36">
        <f t="shared" si="2"/>
        <v>114</v>
      </c>
    </row>
    <row r="19" spans="1:23">
      <c r="A19" t="str" cm="1">
        <f t="array" aca="1" ref="A19" ca="1">INDIRECT(CONCATENATE("csv!A",$E19))</f>
        <v>CA</v>
      </c>
      <c r="B19" s="10" cm="1">
        <f t="array" aca="1" ref="B19" ca="1">INDIRECT(CONCATENATE("csv!C",$E19))</f>
        <v>100</v>
      </c>
      <c r="C19" s="3" cm="1">
        <f t="array" aca="1" ref="C19" ca="1">INDIRECT(CONCATENATE("csv!D",$E19))</f>
        <v>100000</v>
      </c>
      <c r="D19" s="2" cm="1">
        <f t="array" aca="1" ref="D19" ca="1">INDIRECT(CONCATENATE("csv!F",$E19))</f>
        <v>2497.91</v>
      </c>
      <c r="E19" s="3">
        <f t="shared" si="0"/>
        <v>29</v>
      </c>
      <c r="G19" s="7" t="str" cm="1">
        <f t="array" aca="1" ref="G19" ca="1">INDIRECT(CONCATENATE("csv!A",$K19))</f>
        <v>PVA</v>
      </c>
      <c r="H19" s="30" cm="1">
        <f t="array" aca="1" ref="H19" ca="1">INDIRECT(CONCATENATE("csv!C",$K19))</f>
        <v>100</v>
      </c>
      <c r="I19" s="31" cm="1">
        <f t="array" aca="1" ref="I19" ca="1">INDIRECT(CONCATENATE("csv!D",$K19))</f>
        <v>100000</v>
      </c>
      <c r="J19" s="34" cm="1">
        <f t="array" aca="1" ref="J19" ca="1">INDIRECT(CONCATENATE("csv!F",$K19))</f>
        <v>136.626</v>
      </c>
      <c r="K19" s="37">
        <f>K18+5</f>
        <v>59</v>
      </c>
      <c r="M19" s="7" t="str" cm="1">
        <f t="array" aca="1" ref="M19" ca="1">INDIRECT(CONCATENATE("csv!A",$Q19))</f>
        <v>SPVA</v>
      </c>
      <c r="N19" s="30" cm="1">
        <f t="array" aca="1" ref="N19" ca="1">INDIRECT(CONCATENATE("csv!C",$Q19))</f>
        <v>100</v>
      </c>
      <c r="O19" s="31" cm="1">
        <f t="array" aca="1" ref="O19" ca="1">INDIRECT(CONCATENATE("csv!D",$Q19))</f>
        <v>100000</v>
      </c>
      <c r="P19" s="34" cm="1">
        <f t="array" aca="1" ref="P19" ca="1">INDIRECT(CONCATENATE("csv!F",$Q19))</f>
        <v>141.874</v>
      </c>
      <c r="Q19" s="37">
        <f>Q18+5</f>
        <v>89</v>
      </c>
      <c r="S19" s="7" t="str" cm="1">
        <f t="array" aca="1" ref="S19" ca="1">INDIRECT(CONCATENATE("csv!A",$W19))</f>
        <v>SPVA_CERTMON</v>
      </c>
      <c r="T19" s="30" cm="1">
        <f t="array" aca="1" ref="T19" ca="1">INDIRECT(CONCATENATE("csv!C",$W19))</f>
        <v>100</v>
      </c>
      <c r="U19" s="31" cm="1">
        <f t="array" aca="1" ref="U19" ca="1">INDIRECT(CONCATENATE("csv!D",$W19))</f>
        <v>100000</v>
      </c>
      <c r="V19" s="34" cm="1">
        <f t="array" aca="1" ref="V19" ca="1">INDIRECT(CONCATENATE("csv!F",$W19))</f>
        <v>138.20400000000001</v>
      </c>
      <c r="W19" s="37">
        <f t="shared" si="2"/>
        <v>119</v>
      </c>
    </row>
    <row r="20" spans="1:23">
      <c r="A20" t="str" cm="1">
        <f t="array" aca="1" ref="A20" ca="1">INDIRECT(CONCATENATE("csv!A",$E20))</f>
        <v>CA</v>
      </c>
      <c r="B20" s="10" cm="1">
        <f t="array" aca="1" ref="B20" ca="1">INDIRECT(CONCATENATE("csv!C",$E20))</f>
        <v>500</v>
      </c>
      <c r="C20" s="3" cm="1">
        <f t="array" aca="1" ref="C20" ca="1">INDIRECT(CONCATENATE("csv!D",$E20))</f>
        <v>1</v>
      </c>
      <c r="D20" s="2" cm="1">
        <f t="array" aca="1" ref="D20" ca="1">INDIRECT(CONCATENATE("csv!F",$E20))</f>
        <v>123.586</v>
      </c>
      <c r="E20" s="3">
        <v>5</v>
      </c>
      <c r="G20" s="6" t="str" cm="1">
        <f t="array" aca="1" ref="G20" ca="1">INDIRECT(CONCATENATE("csv!A",$K20))</f>
        <v>PVA</v>
      </c>
      <c r="H20" s="27" cm="1">
        <f t="array" aca="1" ref="H20" ca="1">INDIRECT(CONCATENATE("csv!C",$K20))</f>
        <v>500</v>
      </c>
      <c r="I20" s="28" cm="1">
        <f t="array" aca="1" ref="I20" ca="1">INDIRECT(CONCATENATE("csv!D",$K20))</f>
        <v>1</v>
      </c>
      <c r="J20" s="33" cm="1">
        <f t="array" aca="1" ref="J20" ca="1">INDIRECT(CONCATENATE("csv!F",$K20))</f>
        <v>459.97800000000001</v>
      </c>
      <c r="K20" s="36">
        <v>35</v>
      </c>
      <c r="M20" s="6" t="str" cm="1">
        <f t="array" aca="1" ref="M20" ca="1">INDIRECT(CONCATENATE("csv!A",$Q20))</f>
        <v>SPVA</v>
      </c>
      <c r="N20" s="27" cm="1">
        <f t="array" aca="1" ref="N20" ca="1">INDIRECT(CONCATENATE("csv!C",$Q20))</f>
        <v>500</v>
      </c>
      <c r="O20" s="28" cm="1">
        <f t="array" aca="1" ref="O20" ca="1">INDIRECT(CONCATENATE("csv!D",$Q20))</f>
        <v>1</v>
      </c>
      <c r="P20" s="33" cm="1">
        <f t="array" aca="1" ref="P20" ca="1">INDIRECT(CONCATENATE("csv!F",$Q20))</f>
        <v>468.435</v>
      </c>
      <c r="Q20" s="36">
        <v>65</v>
      </c>
      <c r="S20" s="6" t="str" cm="1">
        <f t="array" aca="1" ref="S20" ca="1">INDIRECT(CONCATENATE("csv!A",$W20))</f>
        <v>SPVA_CERTMON</v>
      </c>
      <c r="T20" s="27" cm="1">
        <f t="array" aca="1" ref="T20" ca="1">INDIRECT(CONCATENATE("csv!C",$W20))</f>
        <v>500</v>
      </c>
      <c r="U20" s="28" cm="1">
        <f t="array" aca="1" ref="U20" ca="1">INDIRECT(CONCATENATE("csv!D",$W20))</f>
        <v>1</v>
      </c>
      <c r="V20" s="33" cm="1">
        <f t="array" aca="1" ref="V20" ca="1">INDIRECT(CONCATENATE("csv!F",$W20))</f>
        <v>470.39699999999999</v>
      </c>
      <c r="W20" s="36">
        <v>95</v>
      </c>
    </row>
    <row r="21" spans="1:23">
      <c r="A21" t="str" cm="1">
        <f t="array" aca="1" ref="A21" ca="1">INDIRECT(CONCATENATE("csv!A",$E21))</f>
        <v>CA</v>
      </c>
      <c r="B21" s="10" cm="1">
        <f t="array" aca="1" ref="B21" ca="1">INDIRECT(CONCATENATE("csv!C",$E21))</f>
        <v>500</v>
      </c>
      <c r="C21" s="3" cm="1">
        <f t="array" aca="1" ref="C21" ca="1">INDIRECT(CONCATENATE("csv!D",$E21))</f>
        <v>10</v>
      </c>
      <c r="D21" s="2" cm="1">
        <f t="array" aca="1" ref="D21" ca="1">INDIRECT(CONCATENATE("csv!F",$E21))</f>
        <v>121.247</v>
      </c>
      <c r="E21" s="3">
        <f t="shared" si="0"/>
        <v>10</v>
      </c>
      <c r="G21" s="7" t="str" cm="1">
        <f t="array" aca="1" ref="G21" ca="1">INDIRECT(CONCATENATE("csv!A",$K21))</f>
        <v>PVA</v>
      </c>
      <c r="H21" s="30" cm="1">
        <f t="array" aca="1" ref="H21" ca="1">INDIRECT(CONCATENATE("csv!C",$K21))</f>
        <v>500</v>
      </c>
      <c r="I21" s="31" cm="1">
        <f t="array" aca="1" ref="I21" ca="1">INDIRECT(CONCATENATE("csv!D",$K21))</f>
        <v>10</v>
      </c>
      <c r="J21" s="34" cm="1">
        <f t="array" aca="1" ref="J21" ca="1">INDIRECT(CONCATENATE("csv!F",$K21))</f>
        <v>468.68799999999999</v>
      </c>
      <c r="K21" s="37">
        <f>K20+5</f>
        <v>40</v>
      </c>
      <c r="M21" s="7" t="str" cm="1">
        <f t="array" aca="1" ref="M21" ca="1">INDIRECT(CONCATENATE("csv!A",$Q21))</f>
        <v>SPVA</v>
      </c>
      <c r="N21" s="30" cm="1">
        <f t="array" aca="1" ref="N21" ca="1">INDIRECT(CONCATENATE("csv!C",$Q21))</f>
        <v>500</v>
      </c>
      <c r="O21" s="31" cm="1">
        <f t="array" aca="1" ref="O21" ca="1">INDIRECT(CONCATENATE("csv!D",$Q21))</f>
        <v>10</v>
      </c>
      <c r="P21" s="34" cm="1">
        <f t="array" aca="1" ref="P21" ca="1">INDIRECT(CONCATENATE("csv!F",$Q21))</f>
        <v>468.32600000000002</v>
      </c>
      <c r="Q21" s="37">
        <f>Q20+5</f>
        <v>70</v>
      </c>
      <c r="S21" s="7" t="str" cm="1">
        <f t="array" aca="1" ref="S21" ca="1">INDIRECT(CONCATENATE("csv!A",$W21))</f>
        <v>SPVA_CERTMON</v>
      </c>
      <c r="T21" s="30" cm="1">
        <f t="array" aca="1" ref="T21" ca="1">INDIRECT(CONCATENATE("csv!C",$W21))</f>
        <v>500</v>
      </c>
      <c r="U21" s="31" cm="1">
        <f t="array" aca="1" ref="U21" ca="1">INDIRECT(CONCATENATE("csv!D",$W21))</f>
        <v>10</v>
      </c>
      <c r="V21" s="34" cm="1">
        <f t="array" aca="1" ref="V21" ca="1">INDIRECT(CONCATENATE("csv!F",$W21))</f>
        <v>463.90800000000002</v>
      </c>
      <c r="W21" s="37">
        <f t="shared" si="2"/>
        <v>100</v>
      </c>
    </row>
    <row r="22" spans="1:23">
      <c r="A22" t="str" cm="1">
        <f t="array" aca="1" ref="A22" ca="1">INDIRECT(CONCATENATE("csv!A",$E22))</f>
        <v>CA</v>
      </c>
      <c r="B22" s="10" cm="1">
        <f t="array" aca="1" ref="B22" ca="1">INDIRECT(CONCATENATE("csv!C",$E22))</f>
        <v>500</v>
      </c>
      <c r="C22" s="3" cm="1">
        <f t="array" aca="1" ref="C22" ca="1">INDIRECT(CONCATENATE("csv!D",$E22))</f>
        <v>100</v>
      </c>
      <c r="D22" s="2" cm="1">
        <f t="array" aca="1" ref="D22" ca="1">INDIRECT(CONCATENATE("csv!F",$E22))</f>
        <v>125.315</v>
      </c>
      <c r="E22" s="3">
        <f t="shared" si="0"/>
        <v>15</v>
      </c>
      <c r="G22" s="6" t="str" cm="1">
        <f t="array" aca="1" ref="G22" ca="1">INDIRECT(CONCATENATE("csv!A",$K22))</f>
        <v>PVA</v>
      </c>
      <c r="H22" s="27" cm="1">
        <f t="array" aca="1" ref="H22" ca="1">INDIRECT(CONCATENATE("csv!C",$K22))</f>
        <v>500</v>
      </c>
      <c r="I22" s="28" cm="1">
        <f t="array" aca="1" ref="I22" ca="1">INDIRECT(CONCATENATE("csv!D",$K22))</f>
        <v>100</v>
      </c>
      <c r="J22" s="33" cm="1">
        <f t="array" aca="1" ref="J22" ca="1">INDIRECT(CONCATENATE("csv!F",$K22))</f>
        <v>500.90300000000002</v>
      </c>
      <c r="K22" s="36">
        <f>K21+5</f>
        <v>45</v>
      </c>
      <c r="M22" s="6" t="str" cm="1">
        <f t="array" aca="1" ref="M22" ca="1">INDIRECT(CONCATENATE("csv!A",$Q22))</f>
        <v>SPVA</v>
      </c>
      <c r="N22" s="27" cm="1">
        <f t="array" aca="1" ref="N22" ca="1">INDIRECT(CONCATENATE("csv!C",$Q22))</f>
        <v>500</v>
      </c>
      <c r="O22" s="28" cm="1">
        <f t="array" aca="1" ref="O22" ca="1">INDIRECT(CONCATENATE("csv!D",$Q22))</f>
        <v>100</v>
      </c>
      <c r="P22" s="33" cm="1">
        <f t="array" aca="1" ref="P22" ca="1">INDIRECT(CONCATENATE("csv!F",$Q22))</f>
        <v>443.07499999999999</v>
      </c>
      <c r="Q22" s="36">
        <f>Q21+5</f>
        <v>75</v>
      </c>
      <c r="S22" s="6" t="str" cm="1">
        <f t="array" aca="1" ref="S22" ca="1">INDIRECT(CONCATENATE("csv!A",$W22))</f>
        <v>SPVA_CERTMON</v>
      </c>
      <c r="T22" s="27" cm="1">
        <f t="array" aca="1" ref="T22" ca="1">INDIRECT(CONCATENATE("csv!C",$W22))</f>
        <v>500</v>
      </c>
      <c r="U22" s="28" cm="1">
        <f t="array" aca="1" ref="U22" ca="1">INDIRECT(CONCATENATE("csv!D",$W22))</f>
        <v>100</v>
      </c>
      <c r="V22" s="33" cm="1">
        <f t="array" aca="1" ref="V22" ca="1">INDIRECT(CONCATENATE("csv!F",$W22))</f>
        <v>468.20100000000002</v>
      </c>
      <c r="W22" s="36">
        <f t="shared" si="2"/>
        <v>105</v>
      </c>
    </row>
    <row r="23" spans="1:23">
      <c r="A23" t="str" cm="1">
        <f t="array" aca="1" ref="A23" ca="1">INDIRECT(CONCATENATE("csv!A",$E23))</f>
        <v>CA</v>
      </c>
      <c r="B23" s="10" cm="1">
        <f t="array" aca="1" ref="B23" ca="1">INDIRECT(CONCATENATE("csv!C",$E23))</f>
        <v>500</v>
      </c>
      <c r="C23" s="3" cm="1">
        <f t="array" aca="1" ref="C23" ca="1">INDIRECT(CONCATENATE("csv!D",$E23))</f>
        <v>1000</v>
      </c>
      <c r="D23" s="2" cm="1">
        <f t="array" aca="1" ref="D23" ca="1">INDIRECT(CONCATENATE("csv!F",$E23))</f>
        <v>121.131</v>
      </c>
      <c r="E23" s="3">
        <f t="shared" si="0"/>
        <v>20</v>
      </c>
      <c r="G23" s="7" t="str" cm="1">
        <f t="array" aca="1" ref="G23" ca="1">INDIRECT(CONCATENATE("csv!A",$K23))</f>
        <v>PVA</v>
      </c>
      <c r="H23" s="30" cm="1">
        <f t="array" aca="1" ref="H23" ca="1">INDIRECT(CONCATENATE("csv!C",$K23))</f>
        <v>500</v>
      </c>
      <c r="I23" s="31" cm="1">
        <f t="array" aca="1" ref="I23" ca="1">INDIRECT(CONCATENATE("csv!D",$K23))</f>
        <v>1000</v>
      </c>
      <c r="J23" s="34" cm="1">
        <f t="array" aca="1" ref="J23" ca="1">INDIRECT(CONCATENATE("csv!F",$K23))</f>
        <v>346.79899999999998</v>
      </c>
      <c r="K23" s="37">
        <f>K22+5</f>
        <v>50</v>
      </c>
      <c r="M23" s="7" t="str" cm="1">
        <f t="array" aca="1" ref="M23" ca="1">INDIRECT(CONCATENATE("csv!A",$Q23))</f>
        <v>SPVA</v>
      </c>
      <c r="N23" s="30" cm="1">
        <f t="array" aca="1" ref="N23" ca="1">INDIRECT(CONCATENATE("csv!C",$Q23))</f>
        <v>500</v>
      </c>
      <c r="O23" s="31" cm="1">
        <f t="array" aca="1" ref="O23" ca="1">INDIRECT(CONCATENATE("csv!D",$Q23))</f>
        <v>1000</v>
      </c>
      <c r="P23" s="34" cm="1">
        <f t="array" aca="1" ref="P23" ca="1">INDIRECT(CONCATENATE("csv!F",$Q23))</f>
        <v>355.60300000000001</v>
      </c>
      <c r="Q23" s="37">
        <f>Q22+5</f>
        <v>80</v>
      </c>
      <c r="S23" s="7" t="str" cm="1">
        <f t="array" aca="1" ref="S23" ca="1">INDIRECT(CONCATENATE("csv!A",$W23))</f>
        <v>SPVA_CERTMON</v>
      </c>
      <c r="T23" s="30" cm="1">
        <f t="array" aca="1" ref="T23" ca="1">INDIRECT(CONCATENATE("csv!C",$W23))</f>
        <v>500</v>
      </c>
      <c r="U23" s="31" cm="1">
        <f t="array" aca="1" ref="U23" ca="1">INDIRECT(CONCATENATE("csv!D",$W23))</f>
        <v>1000</v>
      </c>
      <c r="V23" s="34" cm="1">
        <f t="array" aca="1" ref="V23" ca="1">INDIRECT(CONCATENATE("csv!F",$W23))</f>
        <v>352.73399999999998</v>
      </c>
      <c r="W23" s="37">
        <f t="shared" si="2"/>
        <v>110</v>
      </c>
    </row>
    <row r="24" spans="1:23">
      <c r="A24" t="str" cm="1">
        <f t="array" aca="1" ref="A24" ca="1">INDIRECT(CONCATENATE("csv!A",$E24))</f>
        <v>CA</v>
      </c>
      <c r="B24" s="10" cm="1">
        <f t="array" aca="1" ref="B24" ca="1">INDIRECT(CONCATENATE("csv!C",$E24))</f>
        <v>500</v>
      </c>
      <c r="C24" s="3" cm="1">
        <f t="array" aca="1" ref="C24" ca="1">INDIRECT(CONCATENATE("csv!D",$E24))</f>
        <v>10000</v>
      </c>
      <c r="D24" s="2" cm="1">
        <f t="array" aca="1" ref="D24" ca="1">INDIRECT(CONCATENATE("csv!F",$E24))</f>
        <v>102.586</v>
      </c>
      <c r="E24" s="3">
        <f t="shared" si="0"/>
        <v>25</v>
      </c>
      <c r="G24" s="6" t="str" cm="1">
        <f t="array" aca="1" ref="G24" ca="1">INDIRECT(CONCATENATE("csv!A",$K24))</f>
        <v>PVA</v>
      </c>
      <c r="H24" s="27" cm="1">
        <f t="array" aca="1" ref="H24" ca="1">INDIRECT(CONCATENATE("csv!C",$K24))</f>
        <v>500</v>
      </c>
      <c r="I24" s="28" cm="1">
        <f t="array" aca="1" ref="I24" ca="1">INDIRECT(CONCATENATE("csv!D",$K24))</f>
        <v>10000</v>
      </c>
      <c r="J24" s="33" cm="1">
        <f t="array" aca="1" ref="J24" ca="1">INDIRECT(CONCATENATE("csv!F",$K24))</f>
        <v>123.428</v>
      </c>
      <c r="K24" s="36">
        <f>K23+5</f>
        <v>55</v>
      </c>
      <c r="M24" s="6" t="str" cm="1">
        <f t="array" aca="1" ref="M24" ca="1">INDIRECT(CONCATENATE("csv!A",$Q24))</f>
        <v>SPVA</v>
      </c>
      <c r="N24" s="27" cm="1">
        <f t="array" aca="1" ref="N24" ca="1">INDIRECT(CONCATENATE("csv!C",$Q24))</f>
        <v>500</v>
      </c>
      <c r="O24" s="28" cm="1">
        <f t="array" aca="1" ref="O24" ca="1">INDIRECT(CONCATENATE("csv!D",$Q24))</f>
        <v>10000</v>
      </c>
      <c r="P24" s="33" cm="1">
        <f t="array" aca="1" ref="P24" ca="1">INDIRECT(CONCATENATE("csv!F",$Q24))</f>
        <v>117.947</v>
      </c>
      <c r="Q24" s="36">
        <f>Q23+5</f>
        <v>85</v>
      </c>
      <c r="S24" s="6" t="str" cm="1">
        <f t="array" aca="1" ref="S24" ca="1">INDIRECT(CONCATENATE("csv!A",$W24))</f>
        <v>SPVA_CERTMON</v>
      </c>
      <c r="T24" s="27" cm="1">
        <f t="array" aca="1" ref="T24" ca="1">INDIRECT(CONCATENATE("csv!C",$W24))</f>
        <v>500</v>
      </c>
      <c r="U24" s="28" cm="1">
        <f t="array" aca="1" ref="U24" ca="1">INDIRECT(CONCATENATE("csv!D",$W24))</f>
        <v>10000</v>
      </c>
      <c r="V24" s="33" cm="1">
        <f t="array" aca="1" ref="V24" ca="1">INDIRECT(CONCATENATE("csv!F",$W24))</f>
        <v>126.273</v>
      </c>
      <c r="W24" s="36">
        <f t="shared" si="2"/>
        <v>115</v>
      </c>
    </row>
    <row r="25" spans="1:23">
      <c r="A25" t="str" cm="1">
        <f t="array" aca="1" ref="A25" ca="1">INDIRECT(CONCATENATE("csv!A",$E25))</f>
        <v>CA</v>
      </c>
      <c r="B25" s="10" cm="1">
        <f t="array" aca="1" ref="B25" ca="1">INDIRECT(CONCATENATE("csv!C",$E25))</f>
        <v>500</v>
      </c>
      <c r="C25" s="3" cm="1">
        <f t="array" aca="1" ref="C25" ca="1">INDIRECT(CONCATENATE("csv!D",$E25))</f>
        <v>100000</v>
      </c>
      <c r="D25" s="2" cm="1">
        <f t="array" aca="1" ref="D25" ca="1">INDIRECT(CONCATENATE("csv!F",$E25))</f>
        <v>365.81799999999998</v>
      </c>
      <c r="E25" s="3">
        <f t="shared" si="0"/>
        <v>30</v>
      </c>
      <c r="G25" s="7" t="str" cm="1">
        <f t="array" aca="1" ref="G25" ca="1">INDIRECT(CONCATENATE("csv!A",$K25))</f>
        <v>PVA</v>
      </c>
      <c r="H25" s="30" cm="1">
        <f t="array" aca="1" ref="H25" ca="1">INDIRECT(CONCATENATE("csv!C",$K25))</f>
        <v>500</v>
      </c>
      <c r="I25" s="31" cm="1">
        <f t="array" aca="1" ref="I25" ca="1">INDIRECT(CONCATENATE("csv!D",$K25))</f>
        <v>100000</v>
      </c>
      <c r="J25" s="34" cm="1">
        <f t="array" aca="1" ref="J25" ca="1">INDIRECT(CONCATENATE("csv!F",$K25))</f>
        <v>29.1279</v>
      </c>
      <c r="K25" s="37">
        <f>K24+5</f>
        <v>60</v>
      </c>
      <c r="M25" s="7" t="str" cm="1">
        <f t="array" aca="1" ref="M25" ca="1">INDIRECT(CONCATENATE("csv!A",$Q25))</f>
        <v>SPVA</v>
      </c>
      <c r="N25" s="30" cm="1">
        <f t="array" aca="1" ref="N25" ca="1">INDIRECT(CONCATENATE("csv!C",$Q25))</f>
        <v>500</v>
      </c>
      <c r="O25" s="31" cm="1">
        <f t="array" aca="1" ref="O25" ca="1">INDIRECT(CONCATENATE("csv!D",$Q25))</f>
        <v>100000</v>
      </c>
      <c r="P25" s="34" cm="1">
        <f t="array" aca="1" ref="P25" ca="1">INDIRECT(CONCATENATE("csv!F",$Q25))</f>
        <v>30.9726</v>
      </c>
      <c r="Q25" s="37">
        <f>Q24+5</f>
        <v>90</v>
      </c>
      <c r="S25" s="7" t="str" cm="1">
        <f t="array" aca="1" ref="S25" ca="1">INDIRECT(CONCATENATE("csv!A",$W25))</f>
        <v>SPVA_CERTMON</v>
      </c>
      <c r="T25" s="30" cm="1">
        <f t="array" aca="1" ref="T25" ca="1">INDIRECT(CONCATENATE("csv!C",$W25))</f>
        <v>500</v>
      </c>
      <c r="U25" s="31" cm="1">
        <f t="array" aca="1" ref="U25" ca="1">INDIRECT(CONCATENATE("csv!D",$W25))</f>
        <v>100000</v>
      </c>
      <c r="V25" s="34" cm="1">
        <f t="array" aca="1" ref="V25" ca="1">INDIRECT(CONCATENATE("csv!F",$W25))</f>
        <v>30.996500000000001</v>
      </c>
      <c r="W25" s="37">
        <f t="shared" si="2"/>
        <v>120</v>
      </c>
    </row>
    <row r="26" spans="1:23">
      <c r="A26" t="str" cm="1">
        <f t="array" aca="1" ref="A26" ca="1">INDIRECT(CONCATENATE("csv!A",$E26))</f>
        <v>CA</v>
      </c>
      <c r="B26" s="10" cm="1">
        <f t="array" aca="1" ref="B26" ca="1">INDIRECT(CONCATENATE("csv!C",$E26))</f>
        <v>1000</v>
      </c>
      <c r="C26" s="3" cm="1">
        <f t="array" aca="1" ref="C26" ca="1">INDIRECT(CONCATENATE("csv!D",$E26))</f>
        <v>1</v>
      </c>
      <c r="D26" s="2" cm="1">
        <f t="array" aca="1" ref="D26" ca="1">INDIRECT(CONCATENATE("csv!F",$E26))</f>
        <v>59.490200000000002</v>
      </c>
      <c r="E26" s="3">
        <v>6</v>
      </c>
      <c r="G26" s="6" t="str" cm="1">
        <f t="array" aca="1" ref="G26" ca="1">INDIRECT(CONCATENATE("csv!A",$K26))</f>
        <v>PVA</v>
      </c>
      <c r="H26" s="27" cm="1">
        <f t="array" aca="1" ref="H26" ca="1">INDIRECT(CONCATENATE("csv!C",$K26))</f>
        <v>1000</v>
      </c>
      <c r="I26" s="28" cm="1">
        <f t="array" aca="1" ref="I26" ca="1">INDIRECT(CONCATENATE("csv!D",$K26))</f>
        <v>1</v>
      </c>
      <c r="J26" s="33" cm="1">
        <f t="array" aca="1" ref="J26" ca="1">INDIRECT(CONCATENATE("csv!F",$K26))</f>
        <v>238.69499999999999</v>
      </c>
      <c r="K26" s="36">
        <v>36</v>
      </c>
      <c r="M26" s="6" t="str" cm="1">
        <f t="array" aca="1" ref="M26" ca="1">INDIRECT(CONCATENATE("csv!A",$Q26))</f>
        <v>SPVA</v>
      </c>
      <c r="N26" s="27" cm="1">
        <f t="array" aca="1" ref="N26" ca="1">INDIRECT(CONCATENATE("csv!C",$Q26))</f>
        <v>1000</v>
      </c>
      <c r="O26" s="28" cm="1">
        <f t="array" aca="1" ref="O26" ca="1">INDIRECT(CONCATENATE("csv!D",$Q26))</f>
        <v>1</v>
      </c>
      <c r="P26" s="33" cm="1">
        <f t="array" aca="1" ref="P26" ca="1">INDIRECT(CONCATENATE("csv!F",$Q26))</f>
        <v>218.56399999999999</v>
      </c>
      <c r="Q26" s="36">
        <v>66</v>
      </c>
      <c r="S26" s="6" t="str" cm="1">
        <f t="array" aca="1" ref="S26" ca="1">INDIRECT(CONCATENATE("csv!A",$W26))</f>
        <v>SPVA_CERTMON</v>
      </c>
      <c r="T26" s="27" cm="1">
        <f t="array" aca="1" ref="T26" ca="1">INDIRECT(CONCATENATE("csv!C",$W26))</f>
        <v>1000</v>
      </c>
      <c r="U26" s="28" cm="1">
        <f t="array" aca="1" ref="U26" ca="1">INDIRECT(CONCATENATE("csv!D",$W26))</f>
        <v>1</v>
      </c>
      <c r="V26" s="33" cm="1">
        <f t="array" aca="1" ref="V26" ca="1">INDIRECT(CONCATENATE("csv!F",$W26))</f>
        <v>227.60900000000001</v>
      </c>
      <c r="W26" s="36">
        <v>96</v>
      </c>
    </row>
    <row r="27" spans="1:23">
      <c r="A27" t="str" cm="1">
        <f t="array" aca="1" ref="A27" ca="1">INDIRECT(CONCATENATE("csv!A",$E27))</f>
        <v>CA</v>
      </c>
      <c r="B27" s="10" cm="1">
        <f t="array" aca="1" ref="B27" ca="1">INDIRECT(CONCATENATE("csv!C",$E27))</f>
        <v>1000</v>
      </c>
      <c r="C27" s="3" cm="1">
        <f t="array" aca="1" ref="C27" ca="1">INDIRECT(CONCATENATE("csv!D",$E27))</f>
        <v>10</v>
      </c>
      <c r="D27" s="2" cm="1">
        <f t="array" aca="1" ref="D27" ca="1">INDIRECT(CONCATENATE("csv!F",$E27))</f>
        <v>55.886299999999999</v>
      </c>
      <c r="E27" s="3">
        <f t="shared" ref="E27:E31" si="3">E26+5</f>
        <v>11</v>
      </c>
      <c r="G27" s="7" t="str" cm="1">
        <f t="array" aca="1" ref="G27" ca="1">INDIRECT(CONCATENATE("csv!A",$K27))</f>
        <v>PVA</v>
      </c>
      <c r="H27" s="30" cm="1">
        <f t="array" aca="1" ref="H27" ca="1">INDIRECT(CONCATENATE("csv!C",$K27))</f>
        <v>1000</v>
      </c>
      <c r="I27" s="31" cm="1">
        <f t="array" aca="1" ref="I27" ca="1">INDIRECT(CONCATENATE("csv!D",$K27))</f>
        <v>10</v>
      </c>
      <c r="J27" s="34" cm="1">
        <f t="array" aca="1" ref="J27" ca="1">INDIRECT(CONCATENATE("csv!F",$K27))</f>
        <v>227.07900000000001</v>
      </c>
      <c r="K27" s="37">
        <f>K26+5</f>
        <v>41</v>
      </c>
      <c r="M27" s="7" t="str" cm="1">
        <f t="array" aca="1" ref="M27" ca="1">INDIRECT(CONCATENATE("csv!A",$Q27))</f>
        <v>SPVA</v>
      </c>
      <c r="N27" s="30" cm="1">
        <f t="array" aca="1" ref="N27" ca="1">INDIRECT(CONCATENATE("csv!C",$Q27))</f>
        <v>1000</v>
      </c>
      <c r="O27" s="31" cm="1">
        <f t="array" aca="1" ref="O27" ca="1">INDIRECT(CONCATENATE("csv!D",$Q27))</f>
        <v>10</v>
      </c>
      <c r="P27" s="34" cm="1">
        <f t="array" aca="1" ref="P27" ca="1">INDIRECT(CONCATENATE("csv!F",$Q27))</f>
        <v>220.47800000000001</v>
      </c>
      <c r="Q27" s="37">
        <f>Q26+5</f>
        <v>71</v>
      </c>
      <c r="S27" s="7" t="str" cm="1">
        <f t="array" aca="1" ref="S27" ca="1">INDIRECT(CONCATENATE("csv!A",$W27))</f>
        <v>SPVA_CERTMON</v>
      </c>
      <c r="T27" s="30" cm="1">
        <f t="array" aca="1" ref="T27" ca="1">INDIRECT(CONCATENATE("csv!C",$W27))</f>
        <v>1000</v>
      </c>
      <c r="U27" s="31" cm="1">
        <f t="array" aca="1" ref="U27" ca="1">INDIRECT(CONCATENATE("csv!D",$W27))</f>
        <v>10</v>
      </c>
      <c r="V27" s="34" cm="1">
        <f t="array" aca="1" ref="V27" ca="1">INDIRECT(CONCATENATE("csv!F",$W27))</f>
        <v>224.10499999999999</v>
      </c>
      <c r="W27" s="37">
        <f t="shared" si="2"/>
        <v>101</v>
      </c>
    </row>
    <row r="28" spans="1:23">
      <c r="A28" t="str" cm="1">
        <f t="array" aca="1" ref="A28" ca="1">INDIRECT(CONCATENATE("csv!A",$E28))</f>
        <v>CA</v>
      </c>
      <c r="B28" s="10" cm="1">
        <f t="array" aca="1" ref="B28" ca="1">INDIRECT(CONCATENATE("csv!C",$E28))</f>
        <v>1000</v>
      </c>
      <c r="C28" s="3" cm="1">
        <f t="array" aca="1" ref="C28" ca="1">INDIRECT(CONCATENATE("csv!D",$E28))</f>
        <v>100</v>
      </c>
      <c r="D28" s="2" cm="1">
        <f t="array" aca="1" ref="D28" ca="1">INDIRECT(CONCATENATE("csv!F",$E28))</f>
        <v>55.580800000000004</v>
      </c>
      <c r="E28" s="3">
        <f t="shared" si="3"/>
        <v>16</v>
      </c>
      <c r="G28" s="6" t="str" cm="1">
        <f t="array" aca="1" ref="G28" ca="1">INDIRECT(CONCATENATE("csv!A",$K28))</f>
        <v>PVA</v>
      </c>
      <c r="H28" s="27" cm="1">
        <f t="array" aca="1" ref="H28" ca="1">INDIRECT(CONCATENATE("csv!C",$K28))</f>
        <v>1000</v>
      </c>
      <c r="I28" s="28" cm="1">
        <f t="array" aca="1" ref="I28" ca="1">INDIRECT(CONCATENATE("csv!D",$K28))</f>
        <v>100</v>
      </c>
      <c r="J28" s="33" cm="1">
        <f t="array" aca="1" ref="J28" ca="1">INDIRECT(CONCATENATE("csv!F",$K28))</f>
        <v>241.768</v>
      </c>
      <c r="K28" s="36">
        <f>K27+5</f>
        <v>46</v>
      </c>
      <c r="M28" s="6" t="str" cm="1">
        <f t="array" aca="1" ref="M28" ca="1">INDIRECT(CONCATENATE("csv!A",$Q28))</f>
        <v>SPVA</v>
      </c>
      <c r="N28" s="27" cm="1">
        <f t="array" aca="1" ref="N28" ca="1">INDIRECT(CONCATENATE("csv!C",$Q28))</f>
        <v>1000</v>
      </c>
      <c r="O28" s="28" cm="1">
        <f t="array" aca="1" ref="O28" ca="1">INDIRECT(CONCATENATE("csv!D",$Q28))</f>
        <v>100</v>
      </c>
      <c r="P28" s="33" cm="1">
        <f t="array" aca="1" ref="P28" ca="1">INDIRECT(CONCATENATE("csv!F",$Q28))</f>
        <v>241.59700000000001</v>
      </c>
      <c r="Q28" s="36">
        <f>Q27+5</f>
        <v>76</v>
      </c>
      <c r="S28" s="6" t="str" cm="1">
        <f t="array" aca="1" ref="S28" ca="1">INDIRECT(CONCATENATE("csv!A",$W28))</f>
        <v>SPVA_CERTMON</v>
      </c>
      <c r="T28" s="27" cm="1">
        <f t="array" aca="1" ref="T28" ca="1">INDIRECT(CONCATENATE("csv!C",$W28))</f>
        <v>1000</v>
      </c>
      <c r="U28" s="28" cm="1">
        <f t="array" aca="1" ref="U28" ca="1">INDIRECT(CONCATENATE("csv!D",$W28))</f>
        <v>100</v>
      </c>
      <c r="V28" s="33" cm="1">
        <f t="array" aca="1" ref="V28" ca="1">INDIRECT(CONCATENATE("csv!F",$W28))</f>
        <v>227.917</v>
      </c>
      <c r="W28" s="36">
        <f t="shared" si="2"/>
        <v>106</v>
      </c>
    </row>
    <row r="29" spans="1:23">
      <c r="A29" t="str" cm="1">
        <f t="array" aca="1" ref="A29" ca="1">INDIRECT(CONCATENATE("csv!A",$E29))</f>
        <v>CA</v>
      </c>
      <c r="B29" s="10" cm="1">
        <f t="array" aca="1" ref="B29" ca="1">INDIRECT(CONCATENATE("csv!C",$E29))</f>
        <v>1000</v>
      </c>
      <c r="C29" s="3" cm="1">
        <f t="array" aca="1" ref="C29" ca="1">INDIRECT(CONCATENATE("csv!D",$E29))</f>
        <v>1000</v>
      </c>
      <c r="D29" s="2" cm="1">
        <f t="array" aca="1" ref="D29" ca="1">INDIRECT(CONCATENATE("csv!F",$E29))</f>
        <v>53.761200000000002</v>
      </c>
      <c r="E29" s="3">
        <f t="shared" si="3"/>
        <v>21</v>
      </c>
      <c r="G29" s="7" t="str" cm="1">
        <f t="array" aca="1" ref="G29" ca="1">INDIRECT(CONCATENATE("csv!A",$K29))</f>
        <v>PVA</v>
      </c>
      <c r="H29" s="30" cm="1">
        <f t="array" aca="1" ref="H29" ca="1">INDIRECT(CONCATENATE("csv!C",$K29))</f>
        <v>1000</v>
      </c>
      <c r="I29" s="31" cm="1">
        <f t="array" aca="1" ref="I29" ca="1">INDIRECT(CONCATENATE("csv!D",$K29))</f>
        <v>1000</v>
      </c>
      <c r="J29" s="34" cm="1">
        <f t="array" aca="1" ref="J29" ca="1">INDIRECT(CONCATENATE("csv!F",$K29))</f>
        <v>119.858</v>
      </c>
      <c r="K29" s="37">
        <f>K28+5</f>
        <v>51</v>
      </c>
      <c r="M29" s="7" t="str" cm="1">
        <f t="array" aca="1" ref="M29" ca="1">INDIRECT(CONCATENATE("csv!A",$Q29))</f>
        <v>SPVA</v>
      </c>
      <c r="N29" s="30" cm="1">
        <f t="array" aca="1" ref="N29" ca="1">INDIRECT(CONCATENATE("csv!C",$Q29))</f>
        <v>1000</v>
      </c>
      <c r="O29" s="31" cm="1">
        <f t="array" aca="1" ref="O29" ca="1">INDIRECT(CONCATENATE("csv!D",$Q29))</f>
        <v>1000</v>
      </c>
      <c r="P29" s="34" cm="1">
        <f t="array" aca="1" ref="P29" ca="1">INDIRECT(CONCATENATE("csv!F",$Q29))</f>
        <v>126.791</v>
      </c>
      <c r="Q29" s="37">
        <f>Q28+5</f>
        <v>81</v>
      </c>
      <c r="S29" s="7" t="str" cm="1">
        <f t="array" aca="1" ref="S29" ca="1">INDIRECT(CONCATENATE("csv!A",$W29))</f>
        <v>SPVA_CERTMON</v>
      </c>
      <c r="T29" s="30" cm="1">
        <f t="array" aca="1" ref="T29" ca="1">INDIRECT(CONCATENATE("csv!C",$W29))</f>
        <v>1000</v>
      </c>
      <c r="U29" s="31" cm="1">
        <f t="array" aca="1" ref="U29" ca="1">INDIRECT(CONCATENATE("csv!D",$W29))</f>
        <v>1000</v>
      </c>
      <c r="V29" s="34" cm="1">
        <f t="array" aca="1" ref="V29" ca="1">INDIRECT(CONCATENATE("csv!F",$W29))</f>
        <v>122.703</v>
      </c>
      <c r="W29" s="37">
        <f t="shared" si="2"/>
        <v>111</v>
      </c>
    </row>
    <row r="30" spans="1:23">
      <c r="A30" t="str" cm="1">
        <f t="array" aca="1" ref="A30" ca="1">INDIRECT(CONCATENATE("csv!A",$E30))</f>
        <v>CA</v>
      </c>
      <c r="B30" s="10" cm="1">
        <f t="array" aca="1" ref="B30" ca="1">INDIRECT(CONCATENATE("csv!C",$E30))</f>
        <v>1000</v>
      </c>
      <c r="C30" s="3" cm="1">
        <f t="array" aca="1" ref="C30" ca="1">INDIRECT(CONCATENATE("csv!D",$E30))</f>
        <v>10000</v>
      </c>
      <c r="D30" s="2" cm="1">
        <f t="array" aca="1" ref="D30" ca="1">INDIRECT(CONCATENATE("csv!F",$E30))</f>
        <v>28.8889</v>
      </c>
      <c r="E30" s="3">
        <f t="shared" si="3"/>
        <v>26</v>
      </c>
      <c r="G30" s="6" t="str" cm="1">
        <f t="array" aca="1" ref="G30" ca="1">INDIRECT(CONCATENATE("csv!A",$K30))</f>
        <v>PVA</v>
      </c>
      <c r="H30" s="27" cm="1">
        <f t="array" aca="1" ref="H30" ca="1">INDIRECT(CONCATENATE("csv!C",$K30))</f>
        <v>1000</v>
      </c>
      <c r="I30" s="28" cm="1">
        <f t="array" aca="1" ref="I30" ca="1">INDIRECT(CONCATENATE("csv!D",$K30))</f>
        <v>10000</v>
      </c>
      <c r="J30" s="33" cm="1">
        <f t="array" aca="1" ref="J30" ca="1">INDIRECT(CONCATENATE("csv!F",$K30))</f>
        <v>62.567300000000003</v>
      </c>
      <c r="K30" s="36">
        <f>K29+5</f>
        <v>56</v>
      </c>
      <c r="M30" s="6" t="str" cm="1">
        <f t="array" aca="1" ref="M30" ca="1">INDIRECT(CONCATENATE("csv!A",$Q30))</f>
        <v>SPVA</v>
      </c>
      <c r="N30" s="27" cm="1">
        <f t="array" aca="1" ref="N30" ca="1">INDIRECT(CONCATENATE("csv!C",$Q30))</f>
        <v>1000</v>
      </c>
      <c r="O30" s="28" cm="1">
        <f t="array" aca="1" ref="O30" ca="1">INDIRECT(CONCATENATE("csv!D",$Q30))</f>
        <v>10000</v>
      </c>
      <c r="P30" s="33" cm="1">
        <f t="array" aca="1" ref="P30" ca="1">INDIRECT(CONCATENATE("csv!F",$Q30))</f>
        <v>62.594999999999999</v>
      </c>
      <c r="Q30" s="36">
        <f>Q29+5</f>
        <v>86</v>
      </c>
      <c r="S30" s="6" t="str" cm="1">
        <f t="array" aca="1" ref="S30" ca="1">INDIRECT(CONCATENATE("csv!A",$W30))</f>
        <v>SPVA_CERTMON</v>
      </c>
      <c r="T30" s="27" cm="1">
        <f t="array" aca="1" ref="T30" ca="1">INDIRECT(CONCATENATE("csv!C",$W30))</f>
        <v>1000</v>
      </c>
      <c r="U30" s="28" cm="1">
        <f t="array" aca="1" ref="U30" ca="1">INDIRECT(CONCATENATE("csv!D",$W30))</f>
        <v>10000</v>
      </c>
      <c r="V30" s="33" cm="1">
        <f t="array" aca="1" ref="V30" ca="1">INDIRECT(CONCATENATE("csv!F",$W30))</f>
        <v>64.543400000000005</v>
      </c>
      <c r="W30" s="36">
        <f t="shared" si="2"/>
        <v>116</v>
      </c>
    </row>
    <row r="31" spans="1:23">
      <c r="A31" t="str" cm="1">
        <f t="array" aca="1" ref="A31" ca="1">INDIRECT(CONCATENATE("csv!A",$E31))</f>
        <v>CA</v>
      </c>
      <c r="B31" s="10" cm="1">
        <f t="array" aca="1" ref="B31" ca="1">INDIRECT(CONCATENATE("csv!C",$E31))</f>
        <v>1000</v>
      </c>
      <c r="C31" s="3" cm="1">
        <f t="array" aca="1" ref="C31" ca="1">INDIRECT(CONCATENATE("csv!D",$E31))</f>
        <v>100000</v>
      </c>
      <c r="D31" s="2" cm="1">
        <f t="array" aca="1" ref="D31" ca="1">INDIRECT(CONCATENATE("csv!F",$E31))</f>
        <v>7.87195</v>
      </c>
      <c r="E31" s="3">
        <f t="shared" si="3"/>
        <v>31</v>
      </c>
      <c r="G31" s="7" t="str" cm="1">
        <f t="array" aca="1" ref="G31" ca="1">INDIRECT(CONCATENATE("csv!A",$K31))</f>
        <v>PVA</v>
      </c>
      <c r="H31" s="30" cm="1">
        <f t="array" aca="1" ref="H31" ca="1">INDIRECT(CONCATENATE("csv!C",$K31))</f>
        <v>1000</v>
      </c>
      <c r="I31" s="31" cm="1">
        <f t="array" aca="1" ref="I31" ca="1">INDIRECT(CONCATENATE("csv!D",$K31))</f>
        <v>100000</v>
      </c>
      <c r="J31" s="34" cm="1">
        <f t="array" aca="1" ref="J31" ca="1">INDIRECT(CONCATENATE("csv!F",$K31))</f>
        <v>15.254799999999999</v>
      </c>
      <c r="K31" s="37">
        <f>K30+5</f>
        <v>61</v>
      </c>
      <c r="M31" s="7" t="str" cm="1">
        <f t="array" aca="1" ref="M31" ca="1">INDIRECT(CONCATENATE("csv!A",$Q31))</f>
        <v>SPVA</v>
      </c>
      <c r="N31" s="30" cm="1">
        <f t="array" aca="1" ref="N31" ca="1">INDIRECT(CONCATENATE("csv!C",$Q31))</f>
        <v>1000</v>
      </c>
      <c r="O31" s="31" cm="1">
        <f t="array" aca="1" ref="O31" ca="1">INDIRECT(CONCATENATE("csv!D",$Q31))</f>
        <v>100000</v>
      </c>
      <c r="P31" s="34" cm="1">
        <f t="array" aca="1" ref="P31" ca="1">INDIRECT(CONCATENATE("csv!F",$Q31))</f>
        <v>15.6686</v>
      </c>
      <c r="Q31" s="37">
        <f>Q30+5</f>
        <v>91</v>
      </c>
      <c r="S31" s="7" t="str" cm="1">
        <f t="array" aca="1" ref="S31" ca="1">INDIRECT(CONCATENATE("csv!A",$W31))</f>
        <v>SPVA_CERTMON</v>
      </c>
      <c r="T31" s="30" cm="1">
        <f t="array" aca="1" ref="T31" ca="1">INDIRECT(CONCATENATE("csv!C",$W31))</f>
        <v>1000</v>
      </c>
      <c r="U31" s="31" cm="1">
        <f t="array" aca="1" ref="U31" ca="1">INDIRECT(CONCATENATE("csv!D",$W31))</f>
        <v>100000</v>
      </c>
      <c r="V31" s="34" cm="1">
        <f t="array" aca="1" ref="V31" ca="1">INDIRECT(CONCATENATE("csv!F",$W31))</f>
        <v>16.025300000000001</v>
      </c>
      <c r="W31" s="37">
        <f t="shared" si="2"/>
        <v>121</v>
      </c>
    </row>
  </sheetData>
  <sheetProtection sheet="1" objects="1" scenarios="1" selectLockedCells="1" selectUnlockedCell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6B3D0-15AD-EE4A-A72E-4B8855E3A394}">
  <dimension ref="A1:M121"/>
  <sheetViews>
    <sheetView workbookViewId="0">
      <selection activeCell="F2" sqref="F2"/>
    </sheetView>
  </sheetViews>
  <sheetFormatPr baseColWidth="10" defaultRowHeight="16"/>
  <cols>
    <col min="1" max="1" width="12.33203125" customWidth="1"/>
    <col min="2" max="2" width="12.83203125" bestFit="1" customWidth="1"/>
    <col min="3" max="3" width="10.5" bestFit="1" customWidth="1"/>
    <col min="4" max="4" width="12.6640625" bestFit="1" customWidth="1"/>
    <col min="5" max="5" width="18" bestFit="1" customWidth="1"/>
    <col min="6" max="6" width="25.33203125" bestFit="1" customWidth="1"/>
    <col min="7" max="7" width="12.33203125" bestFit="1" customWidth="1"/>
    <col min="8" max="8" width="9.1640625" bestFit="1" customWidth="1"/>
    <col min="9" max="9" width="6" bestFit="1" customWidth="1"/>
    <col min="10" max="10" width="15.5" bestFit="1" customWidth="1"/>
    <col min="13" max="13" width="25.83203125" customWidth="1"/>
  </cols>
  <sheetData>
    <row r="1" spans="1:13" ht="21" thickBot="1">
      <c r="A1" t="s">
        <v>0</v>
      </c>
      <c r="B1" t="s">
        <v>23</v>
      </c>
      <c r="C1" t="s">
        <v>24</v>
      </c>
      <c r="D1" t="s">
        <v>1</v>
      </c>
      <c r="E1" t="s">
        <v>2</v>
      </c>
      <c r="F1" t="s">
        <v>26</v>
      </c>
      <c r="G1" t="s">
        <v>3</v>
      </c>
      <c r="H1" t="s">
        <v>4</v>
      </c>
      <c r="I1" t="s">
        <v>5</v>
      </c>
      <c r="J1" t="s">
        <v>6</v>
      </c>
      <c r="M1" s="9" t="s">
        <v>27</v>
      </c>
    </row>
    <row r="2" spans="1:13" ht="17" thickTop="1">
      <c r="A2" t="s">
        <v>7</v>
      </c>
      <c r="B2" t="s">
        <v>25</v>
      </c>
      <c r="C2">
        <v>1</v>
      </c>
      <c r="D2">
        <v>1</v>
      </c>
      <c r="E2">
        <v>36247.699999999997</v>
      </c>
      <c r="F2">
        <v>36247.699999999997</v>
      </c>
      <c r="G2">
        <v>181295</v>
      </c>
      <c r="H2">
        <v>12082385</v>
      </c>
      <c r="I2">
        <v>0</v>
      </c>
      <c r="J2">
        <v>5.0015599999999996</v>
      </c>
    </row>
    <row r="3" spans="1:13">
      <c r="A3" t="s">
        <v>7</v>
      </c>
      <c r="B3" t="s">
        <v>25</v>
      </c>
      <c r="C3">
        <v>10</v>
      </c>
      <c r="D3">
        <v>1</v>
      </c>
      <c r="E3">
        <v>168441</v>
      </c>
      <c r="F3">
        <v>16844.099999999999</v>
      </c>
      <c r="G3">
        <v>842299</v>
      </c>
      <c r="H3">
        <v>39155391</v>
      </c>
      <c r="I3">
        <v>0</v>
      </c>
      <c r="J3">
        <v>5.0005699999999997</v>
      </c>
    </row>
    <row r="4" spans="1:13">
      <c r="A4" t="s">
        <v>7</v>
      </c>
      <c r="B4" t="s">
        <v>25</v>
      </c>
      <c r="C4">
        <v>100</v>
      </c>
      <c r="D4">
        <v>1</v>
      </c>
      <c r="E4">
        <v>16654.599999999999</v>
      </c>
      <c r="F4">
        <v>166.54599999999999</v>
      </c>
      <c r="G4">
        <v>83317</v>
      </c>
      <c r="H4">
        <v>68296937</v>
      </c>
      <c r="I4">
        <v>0</v>
      </c>
      <c r="J4">
        <v>5.0026400000000004</v>
      </c>
    </row>
    <row r="5" spans="1:13">
      <c r="A5" t="s">
        <v>7</v>
      </c>
      <c r="B5" t="s">
        <v>25</v>
      </c>
      <c r="C5">
        <v>500</v>
      </c>
      <c r="D5">
        <v>1</v>
      </c>
      <c r="E5">
        <v>61793</v>
      </c>
      <c r="F5">
        <v>123.586</v>
      </c>
      <c r="G5">
        <v>308978</v>
      </c>
      <c r="H5">
        <v>73549503</v>
      </c>
      <c r="I5">
        <v>0</v>
      </c>
      <c r="J5">
        <v>5.00021</v>
      </c>
    </row>
    <row r="6" spans="1:13">
      <c r="A6" t="s">
        <v>7</v>
      </c>
      <c r="B6" t="s">
        <v>25</v>
      </c>
      <c r="C6">
        <v>1000</v>
      </c>
      <c r="D6">
        <v>1</v>
      </c>
      <c r="E6">
        <v>59490.2</v>
      </c>
      <c r="F6">
        <v>59.490200000000002</v>
      </c>
      <c r="G6">
        <v>297697</v>
      </c>
      <c r="H6">
        <v>78304771</v>
      </c>
      <c r="I6">
        <v>0</v>
      </c>
      <c r="J6">
        <v>5.00413</v>
      </c>
    </row>
    <row r="7" spans="1:13">
      <c r="A7" t="s">
        <v>7</v>
      </c>
      <c r="B7" t="s">
        <v>25</v>
      </c>
      <c r="C7">
        <v>1</v>
      </c>
      <c r="D7">
        <v>10</v>
      </c>
      <c r="E7">
        <v>26478.5</v>
      </c>
      <c r="F7">
        <v>26478.5</v>
      </c>
      <c r="G7">
        <v>132515</v>
      </c>
      <c r="H7">
        <v>12225990</v>
      </c>
      <c r="I7">
        <v>0</v>
      </c>
      <c r="J7">
        <v>5.0046200000000001</v>
      </c>
    </row>
    <row r="8" spans="1:13">
      <c r="A8" t="s">
        <v>7</v>
      </c>
      <c r="B8" t="s">
        <v>25</v>
      </c>
      <c r="C8">
        <v>10</v>
      </c>
      <c r="D8">
        <v>10</v>
      </c>
      <c r="E8">
        <v>221235</v>
      </c>
      <c r="F8">
        <v>22123.5</v>
      </c>
      <c r="G8">
        <v>1106836</v>
      </c>
      <c r="H8">
        <v>41414762</v>
      </c>
      <c r="I8">
        <v>0</v>
      </c>
      <c r="J8">
        <v>5.0029899999999996</v>
      </c>
    </row>
    <row r="9" spans="1:13">
      <c r="A9" t="s">
        <v>7</v>
      </c>
      <c r="B9" t="s">
        <v>25</v>
      </c>
      <c r="C9">
        <v>100</v>
      </c>
      <c r="D9">
        <v>10</v>
      </c>
      <c r="E9">
        <v>15628.9</v>
      </c>
      <c r="F9">
        <v>156.28899999999999</v>
      </c>
      <c r="G9">
        <v>78224</v>
      </c>
      <c r="H9">
        <v>69695747</v>
      </c>
      <c r="I9">
        <v>0</v>
      </c>
      <c r="J9">
        <v>5.0050800000000004</v>
      </c>
    </row>
    <row r="10" spans="1:13">
      <c r="A10" t="s">
        <v>7</v>
      </c>
      <c r="B10" t="s">
        <v>25</v>
      </c>
      <c r="C10">
        <v>500</v>
      </c>
      <c r="D10">
        <v>10</v>
      </c>
      <c r="E10">
        <v>60623.4</v>
      </c>
      <c r="F10">
        <v>121.247</v>
      </c>
      <c r="G10">
        <v>303420</v>
      </c>
      <c r="H10">
        <v>72273360</v>
      </c>
      <c r="I10">
        <v>0</v>
      </c>
      <c r="J10">
        <v>5.0049999999999999</v>
      </c>
    </row>
    <row r="11" spans="1:13">
      <c r="A11" t="s">
        <v>7</v>
      </c>
      <c r="B11" t="s">
        <v>25</v>
      </c>
      <c r="C11">
        <v>1000</v>
      </c>
      <c r="D11">
        <v>10</v>
      </c>
      <c r="E11">
        <v>55886.3</v>
      </c>
      <c r="F11">
        <v>55.886299999999999</v>
      </c>
      <c r="G11">
        <v>279947</v>
      </c>
      <c r="H11">
        <v>76576723</v>
      </c>
      <c r="I11">
        <v>0</v>
      </c>
      <c r="J11">
        <v>5.00922</v>
      </c>
    </row>
    <row r="12" spans="1:13">
      <c r="A12" t="s">
        <v>7</v>
      </c>
      <c r="B12" t="s">
        <v>25</v>
      </c>
      <c r="C12">
        <v>1</v>
      </c>
      <c r="D12">
        <v>100</v>
      </c>
      <c r="E12">
        <v>26566.7</v>
      </c>
      <c r="F12">
        <v>26566.7</v>
      </c>
      <c r="G12">
        <v>132907</v>
      </c>
      <c r="H12">
        <v>11254685</v>
      </c>
      <c r="I12">
        <v>0</v>
      </c>
      <c r="J12">
        <v>5.0027699999999999</v>
      </c>
    </row>
    <row r="13" spans="1:13">
      <c r="A13" t="s">
        <v>7</v>
      </c>
      <c r="B13" t="s">
        <v>25</v>
      </c>
      <c r="C13">
        <v>10</v>
      </c>
      <c r="D13">
        <v>100</v>
      </c>
      <c r="E13">
        <v>155877</v>
      </c>
      <c r="F13">
        <v>15587.7</v>
      </c>
      <c r="G13">
        <v>779708</v>
      </c>
      <c r="H13">
        <v>40238362</v>
      </c>
      <c r="I13">
        <v>0</v>
      </c>
      <c r="J13">
        <v>5.0020699999999998</v>
      </c>
    </row>
    <row r="14" spans="1:13">
      <c r="A14" t="s">
        <v>7</v>
      </c>
      <c r="B14" t="s">
        <v>25</v>
      </c>
      <c r="C14">
        <v>100</v>
      </c>
      <c r="D14">
        <v>100</v>
      </c>
      <c r="E14">
        <v>16189</v>
      </c>
      <c r="F14">
        <v>161.88999999999999</v>
      </c>
      <c r="G14">
        <v>81009</v>
      </c>
      <c r="H14">
        <v>68565409</v>
      </c>
      <c r="I14">
        <v>0</v>
      </c>
      <c r="J14">
        <v>5.0039400000000001</v>
      </c>
    </row>
    <row r="15" spans="1:13">
      <c r="A15" t="s">
        <v>7</v>
      </c>
      <c r="B15" t="s">
        <v>25</v>
      </c>
      <c r="C15">
        <v>500</v>
      </c>
      <c r="D15">
        <v>100</v>
      </c>
      <c r="E15">
        <v>62657.599999999999</v>
      </c>
      <c r="F15">
        <v>125.315</v>
      </c>
      <c r="G15">
        <v>313596</v>
      </c>
      <c r="H15">
        <v>75078594</v>
      </c>
      <c r="I15">
        <v>0</v>
      </c>
      <c r="J15">
        <v>5.0049200000000003</v>
      </c>
    </row>
    <row r="16" spans="1:13">
      <c r="A16" t="s">
        <v>7</v>
      </c>
      <c r="B16" t="s">
        <v>25</v>
      </c>
      <c r="C16">
        <v>1000</v>
      </c>
      <c r="D16">
        <v>100</v>
      </c>
      <c r="E16">
        <v>55580.800000000003</v>
      </c>
      <c r="F16">
        <v>55.580800000000004</v>
      </c>
      <c r="G16">
        <v>278102</v>
      </c>
      <c r="H16">
        <v>76033013</v>
      </c>
      <c r="I16">
        <v>0</v>
      </c>
      <c r="J16">
        <v>5.0035600000000002</v>
      </c>
    </row>
    <row r="17" spans="1:10">
      <c r="A17" t="s">
        <v>7</v>
      </c>
      <c r="B17" t="s">
        <v>25</v>
      </c>
      <c r="C17">
        <v>1</v>
      </c>
      <c r="D17">
        <v>1000</v>
      </c>
      <c r="E17">
        <v>61700.7</v>
      </c>
      <c r="F17">
        <v>61700.7</v>
      </c>
      <c r="G17">
        <v>308813</v>
      </c>
      <c r="H17">
        <v>10885015</v>
      </c>
      <c r="I17">
        <v>0</v>
      </c>
      <c r="J17">
        <v>5.00502</v>
      </c>
    </row>
    <row r="18" spans="1:10">
      <c r="A18" t="s">
        <v>7</v>
      </c>
      <c r="B18" t="s">
        <v>25</v>
      </c>
      <c r="C18">
        <v>10</v>
      </c>
      <c r="D18">
        <v>1000</v>
      </c>
      <c r="E18">
        <v>290071</v>
      </c>
      <c r="F18">
        <v>29007.1</v>
      </c>
      <c r="G18">
        <v>1451820</v>
      </c>
      <c r="H18">
        <v>34249950</v>
      </c>
      <c r="I18">
        <v>0</v>
      </c>
      <c r="J18">
        <v>5.0050499999999998</v>
      </c>
    </row>
    <row r="19" spans="1:10">
      <c r="A19" t="s">
        <v>7</v>
      </c>
      <c r="B19" t="s">
        <v>25</v>
      </c>
      <c r="C19">
        <v>100</v>
      </c>
      <c r="D19">
        <v>1000</v>
      </c>
      <c r="E19">
        <v>12606.3</v>
      </c>
      <c r="F19">
        <v>126.063</v>
      </c>
      <c r="G19">
        <v>63095</v>
      </c>
      <c r="H19">
        <v>72454300</v>
      </c>
      <c r="I19">
        <v>0</v>
      </c>
      <c r="J19">
        <v>5.00502</v>
      </c>
    </row>
    <row r="20" spans="1:10">
      <c r="A20" t="s">
        <v>7</v>
      </c>
      <c r="B20" t="s">
        <v>25</v>
      </c>
      <c r="C20">
        <v>500</v>
      </c>
      <c r="D20">
        <v>1000</v>
      </c>
      <c r="E20">
        <v>60565.4</v>
      </c>
      <c r="F20">
        <v>121.131</v>
      </c>
      <c r="G20">
        <v>302910</v>
      </c>
      <c r="H20">
        <v>73702894</v>
      </c>
      <c r="I20">
        <v>0</v>
      </c>
      <c r="J20">
        <v>5.0013699999999996</v>
      </c>
    </row>
    <row r="21" spans="1:10">
      <c r="A21" t="s">
        <v>7</v>
      </c>
      <c r="B21" t="s">
        <v>25</v>
      </c>
      <c r="C21">
        <v>1000</v>
      </c>
      <c r="D21">
        <v>1000</v>
      </c>
      <c r="E21">
        <v>53761.2</v>
      </c>
      <c r="F21">
        <v>53.761200000000002</v>
      </c>
      <c r="G21">
        <v>269075</v>
      </c>
      <c r="H21">
        <v>77318757</v>
      </c>
      <c r="I21">
        <v>0</v>
      </c>
      <c r="J21">
        <v>5.0049999999999999</v>
      </c>
    </row>
    <row r="22" spans="1:10">
      <c r="A22" t="s">
        <v>7</v>
      </c>
      <c r="B22" t="s">
        <v>25</v>
      </c>
      <c r="C22">
        <v>1</v>
      </c>
      <c r="D22">
        <v>10000</v>
      </c>
      <c r="E22">
        <v>38166.9</v>
      </c>
      <c r="F22">
        <v>38166.9</v>
      </c>
      <c r="G22">
        <v>190949</v>
      </c>
      <c r="H22">
        <v>6496223</v>
      </c>
      <c r="I22">
        <v>0</v>
      </c>
      <c r="J22">
        <v>5.0030000000000001</v>
      </c>
    </row>
    <row r="23" spans="1:10">
      <c r="A23" t="s">
        <v>7</v>
      </c>
      <c r="B23" t="s">
        <v>25</v>
      </c>
      <c r="C23">
        <v>10</v>
      </c>
      <c r="D23">
        <v>10000</v>
      </c>
      <c r="E23">
        <v>218774</v>
      </c>
      <c r="F23">
        <v>21877.4</v>
      </c>
      <c r="G23">
        <v>1094435</v>
      </c>
      <c r="H23">
        <v>25318537</v>
      </c>
      <c r="I23">
        <v>0</v>
      </c>
      <c r="J23">
        <v>5.00258</v>
      </c>
    </row>
    <row r="24" spans="1:10">
      <c r="A24" t="s">
        <v>7</v>
      </c>
      <c r="B24" t="s">
        <v>25</v>
      </c>
      <c r="C24">
        <v>100</v>
      </c>
      <c r="D24">
        <v>10000</v>
      </c>
      <c r="E24">
        <v>23833.5</v>
      </c>
      <c r="F24">
        <v>238.33500000000001</v>
      </c>
      <c r="G24">
        <v>119287</v>
      </c>
      <c r="H24">
        <v>65958761</v>
      </c>
      <c r="I24">
        <v>0</v>
      </c>
      <c r="J24">
        <v>5.0050100000000004</v>
      </c>
    </row>
    <row r="25" spans="1:10">
      <c r="A25" t="s">
        <v>7</v>
      </c>
      <c r="B25" t="s">
        <v>25</v>
      </c>
      <c r="C25">
        <v>500</v>
      </c>
      <c r="D25">
        <v>10000</v>
      </c>
      <c r="E25">
        <v>51293.2</v>
      </c>
      <c r="F25">
        <v>102.586</v>
      </c>
      <c r="G25">
        <v>256569</v>
      </c>
      <c r="H25">
        <v>74918113</v>
      </c>
      <c r="I25">
        <v>0</v>
      </c>
      <c r="J25">
        <v>5.0020100000000003</v>
      </c>
    </row>
    <row r="26" spans="1:10">
      <c r="A26" t="s">
        <v>7</v>
      </c>
      <c r="B26" t="s">
        <v>25</v>
      </c>
      <c r="C26">
        <v>1000</v>
      </c>
      <c r="D26">
        <v>10000</v>
      </c>
      <c r="E26">
        <v>28888.9</v>
      </c>
      <c r="F26">
        <v>28.8889</v>
      </c>
      <c r="G26">
        <v>144577</v>
      </c>
      <c r="H26">
        <v>77837453</v>
      </c>
      <c r="I26">
        <v>0</v>
      </c>
      <c r="J26">
        <v>5.0045799999999998</v>
      </c>
    </row>
    <row r="27" spans="1:10">
      <c r="A27" t="s">
        <v>7</v>
      </c>
      <c r="B27" t="s">
        <v>25</v>
      </c>
      <c r="C27">
        <v>1</v>
      </c>
      <c r="D27">
        <v>100000</v>
      </c>
      <c r="E27">
        <v>23920.7</v>
      </c>
      <c r="F27">
        <v>23920.7</v>
      </c>
      <c r="G27">
        <v>119714</v>
      </c>
      <c r="H27">
        <v>893833</v>
      </c>
      <c r="I27">
        <v>0</v>
      </c>
      <c r="J27">
        <v>5.0046099999999996</v>
      </c>
    </row>
    <row r="28" spans="1:10">
      <c r="A28" t="s">
        <v>7</v>
      </c>
      <c r="B28" t="s">
        <v>25</v>
      </c>
      <c r="C28">
        <v>10</v>
      </c>
      <c r="D28">
        <v>100000</v>
      </c>
      <c r="E28">
        <v>150162</v>
      </c>
      <c r="F28">
        <v>15016.2</v>
      </c>
      <c r="G28">
        <v>751567</v>
      </c>
      <c r="H28">
        <v>4238083</v>
      </c>
      <c r="I28">
        <v>0</v>
      </c>
      <c r="J28">
        <v>5.0050600000000003</v>
      </c>
    </row>
    <row r="29" spans="1:10">
      <c r="A29" t="s">
        <v>7</v>
      </c>
      <c r="B29" t="s">
        <v>25</v>
      </c>
      <c r="C29">
        <v>100</v>
      </c>
      <c r="D29">
        <v>100000</v>
      </c>
      <c r="E29">
        <v>249791</v>
      </c>
      <c r="F29">
        <v>2497.91</v>
      </c>
      <c r="G29">
        <v>1250207</v>
      </c>
      <c r="H29">
        <v>12109028</v>
      </c>
      <c r="I29">
        <v>0</v>
      </c>
      <c r="J29">
        <v>5.0050100000000004</v>
      </c>
    </row>
    <row r="30" spans="1:10">
      <c r="A30" t="s">
        <v>7</v>
      </c>
      <c r="B30" t="s">
        <v>25</v>
      </c>
      <c r="C30">
        <v>500</v>
      </c>
      <c r="D30">
        <v>100000</v>
      </c>
      <c r="E30">
        <v>182909</v>
      </c>
      <c r="F30">
        <v>365.81799999999998</v>
      </c>
      <c r="G30">
        <v>915462</v>
      </c>
      <c r="H30">
        <v>33947077</v>
      </c>
      <c r="I30">
        <v>0</v>
      </c>
      <c r="J30">
        <v>5.00502</v>
      </c>
    </row>
    <row r="31" spans="1:10">
      <c r="A31" t="s">
        <v>7</v>
      </c>
      <c r="B31" t="s">
        <v>25</v>
      </c>
      <c r="C31">
        <v>1000</v>
      </c>
      <c r="D31">
        <v>100000</v>
      </c>
      <c r="E31">
        <v>7871.95</v>
      </c>
      <c r="F31">
        <v>7.87195</v>
      </c>
      <c r="G31">
        <v>39391</v>
      </c>
      <c r="H31">
        <v>71169181</v>
      </c>
      <c r="I31">
        <v>0</v>
      </c>
      <c r="J31">
        <v>5.0039699999999998</v>
      </c>
    </row>
    <row r="32" spans="1:10">
      <c r="A32" t="s">
        <v>8</v>
      </c>
      <c r="B32" t="s">
        <v>25</v>
      </c>
      <c r="C32">
        <v>1</v>
      </c>
      <c r="D32">
        <v>1</v>
      </c>
      <c r="E32">
        <v>39773.1</v>
      </c>
      <c r="F32">
        <v>39773.1</v>
      </c>
      <c r="G32">
        <v>198870</v>
      </c>
      <c r="H32">
        <v>500610</v>
      </c>
      <c r="I32">
        <v>0</v>
      </c>
      <c r="J32">
        <v>5.0001100000000003</v>
      </c>
    </row>
    <row r="33" spans="1:10">
      <c r="A33" t="s">
        <v>8</v>
      </c>
      <c r="B33" t="s">
        <v>25</v>
      </c>
      <c r="C33">
        <v>10</v>
      </c>
      <c r="D33">
        <v>1</v>
      </c>
      <c r="E33">
        <v>144751</v>
      </c>
      <c r="F33">
        <v>14475.1</v>
      </c>
      <c r="G33">
        <v>723786</v>
      </c>
      <c r="H33">
        <v>1945399</v>
      </c>
      <c r="I33">
        <v>0</v>
      </c>
      <c r="J33">
        <v>5.0002300000000002</v>
      </c>
    </row>
    <row r="34" spans="1:10">
      <c r="A34" t="s">
        <v>8</v>
      </c>
      <c r="B34" t="s">
        <v>25</v>
      </c>
      <c r="C34">
        <v>100</v>
      </c>
      <c r="D34">
        <v>1</v>
      </c>
      <c r="E34">
        <v>179509</v>
      </c>
      <c r="F34">
        <v>1795.09</v>
      </c>
      <c r="G34">
        <v>898444</v>
      </c>
      <c r="H34">
        <v>3620860</v>
      </c>
      <c r="I34">
        <v>0</v>
      </c>
      <c r="J34">
        <v>5.0050100000000004</v>
      </c>
    </row>
    <row r="35" spans="1:10">
      <c r="A35" t="s">
        <v>8</v>
      </c>
      <c r="B35" t="s">
        <v>25</v>
      </c>
      <c r="C35">
        <v>500</v>
      </c>
      <c r="D35">
        <v>1</v>
      </c>
      <c r="E35">
        <v>229989</v>
      </c>
      <c r="F35">
        <v>459.97800000000001</v>
      </c>
      <c r="G35">
        <v>1151104</v>
      </c>
      <c r="H35">
        <v>3469396</v>
      </c>
      <c r="I35">
        <v>0</v>
      </c>
      <c r="J35">
        <v>5.0050400000000002</v>
      </c>
    </row>
    <row r="36" spans="1:10">
      <c r="A36" t="s">
        <v>8</v>
      </c>
      <c r="B36" t="s">
        <v>25</v>
      </c>
      <c r="C36">
        <v>1000</v>
      </c>
      <c r="D36">
        <v>1</v>
      </c>
      <c r="E36">
        <v>238695</v>
      </c>
      <c r="F36">
        <v>238.69499999999999</v>
      </c>
      <c r="G36">
        <v>1194669</v>
      </c>
      <c r="H36">
        <v>3598270</v>
      </c>
      <c r="I36">
        <v>0</v>
      </c>
      <c r="J36">
        <v>5.0050100000000004</v>
      </c>
    </row>
    <row r="37" spans="1:10">
      <c r="A37" t="s">
        <v>8</v>
      </c>
      <c r="B37" t="s">
        <v>25</v>
      </c>
      <c r="C37">
        <v>1</v>
      </c>
      <c r="D37">
        <v>10</v>
      </c>
      <c r="E37">
        <v>38820.400000000001</v>
      </c>
      <c r="F37">
        <v>38820.400000000001</v>
      </c>
      <c r="G37">
        <v>194127</v>
      </c>
      <c r="H37">
        <v>497100</v>
      </c>
      <c r="I37">
        <v>0</v>
      </c>
      <c r="J37">
        <v>5.0006500000000003</v>
      </c>
    </row>
    <row r="38" spans="1:10">
      <c r="A38" t="s">
        <v>8</v>
      </c>
      <c r="B38" t="s">
        <v>25</v>
      </c>
      <c r="C38">
        <v>10</v>
      </c>
      <c r="D38">
        <v>10</v>
      </c>
      <c r="E38">
        <v>146624</v>
      </c>
      <c r="F38">
        <v>14662.4</v>
      </c>
      <c r="G38">
        <v>733855</v>
      </c>
      <c r="H38">
        <v>1986687</v>
      </c>
      <c r="I38">
        <v>0</v>
      </c>
      <c r="J38">
        <v>5.00502</v>
      </c>
    </row>
    <row r="39" spans="1:10">
      <c r="A39" t="s">
        <v>8</v>
      </c>
      <c r="B39" t="s">
        <v>25</v>
      </c>
      <c r="C39">
        <v>100</v>
      </c>
      <c r="D39">
        <v>10</v>
      </c>
      <c r="E39">
        <v>180736</v>
      </c>
      <c r="F39">
        <v>1807.36</v>
      </c>
      <c r="G39">
        <v>903827</v>
      </c>
      <c r="H39">
        <v>3578052</v>
      </c>
      <c r="I39">
        <v>0</v>
      </c>
      <c r="J39">
        <v>5.00082</v>
      </c>
    </row>
    <row r="40" spans="1:10">
      <c r="A40" t="s">
        <v>8</v>
      </c>
      <c r="B40" t="s">
        <v>25</v>
      </c>
      <c r="C40">
        <v>500</v>
      </c>
      <c r="D40">
        <v>10</v>
      </c>
      <c r="E40">
        <v>234344</v>
      </c>
      <c r="F40">
        <v>468.68799999999999</v>
      </c>
      <c r="G40">
        <v>1172898</v>
      </c>
      <c r="H40">
        <v>3562460</v>
      </c>
      <c r="I40">
        <v>0</v>
      </c>
      <c r="J40">
        <v>5.00502</v>
      </c>
    </row>
    <row r="41" spans="1:10">
      <c r="A41" t="s">
        <v>8</v>
      </c>
      <c r="B41" t="s">
        <v>25</v>
      </c>
      <c r="C41">
        <v>1000</v>
      </c>
      <c r="D41">
        <v>10</v>
      </c>
      <c r="E41">
        <v>227079</v>
      </c>
      <c r="F41">
        <v>227.07900000000001</v>
      </c>
      <c r="G41">
        <v>1136532</v>
      </c>
      <c r="H41">
        <v>3504599</v>
      </c>
      <c r="I41">
        <v>0</v>
      </c>
      <c r="J41">
        <v>5.00502</v>
      </c>
    </row>
    <row r="42" spans="1:10">
      <c r="A42" t="s">
        <v>8</v>
      </c>
      <c r="B42" t="s">
        <v>25</v>
      </c>
      <c r="C42">
        <v>1</v>
      </c>
      <c r="D42">
        <v>100</v>
      </c>
      <c r="E42">
        <v>39690.5</v>
      </c>
      <c r="F42">
        <v>39690.5</v>
      </c>
      <c r="G42">
        <v>198486</v>
      </c>
      <c r="H42">
        <v>502441</v>
      </c>
      <c r="I42">
        <v>0</v>
      </c>
      <c r="J42">
        <v>5.0008400000000002</v>
      </c>
    </row>
    <row r="43" spans="1:10">
      <c r="A43" t="s">
        <v>8</v>
      </c>
      <c r="B43" t="s">
        <v>25</v>
      </c>
      <c r="C43">
        <v>10</v>
      </c>
      <c r="D43">
        <v>100</v>
      </c>
      <c r="E43">
        <v>146004</v>
      </c>
      <c r="F43">
        <v>14600.4</v>
      </c>
      <c r="G43">
        <v>730755</v>
      </c>
      <c r="H43">
        <v>1973131</v>
      </c>
      <c r="I43">
        <v>0</v>
      </c>
      <c r="J43">
        <v>5.00502</v>
      </c>
    </row>
    <row r="44" spans="1:10">
      <c r="A44" t="s">
        <v>8</v>
      </c>
      <c r="B44" t="s">
        <v>25</v>
      </c>
      <c r="C44">
        <v>100</v>
      </c>
      <c r="D44">
        <v>100</v>
      </c>
      <c r="E44">
        <v>218762</v>
      </c>
      <c r="F44">
        <v>2187.62</v>
      </c>
      <c r="G44">
        <v>1093823</v>
      </c>
      <c r="H44">
        <v>3247928</v>
      </c>
      <c r="I44">
        <v>0</v>
      </c>
      <c r="J44">
        <v>5.00007</v>
      </c>
    </row>
    <row r="45" spans="1:10">
      <c r="A45" t="s">
        <v>8</v>
      </c>
      <c r="B45" t="s">
        <v>25</v>
      </c>
      <c r="C45">
        <v>500</v>
      </c>
      <c r="D45">
        <v>100</v>
      </c>
      <c r="E45">
        <v>250451</v>
      </c>
      <c r="F45">
        <v>500.90300000000002</v>
      </c>
      <c r="G45">
        <v>1253519</v>
      </c>
      <c r="H45">
        <v>3307883</v>
      </c>
      <c r="I45">
        <v>0</v>
      </c>
      <c r="J45">
        <v>5.0050400000000002</v>
      </c>
    </row>
    <row r="46" spans="1:10">
      <c r="A46" t="s">
        <v>8</v>
      </c>
      <c r="B46" t="s">
        <v>25</v>
      </c>
      <c r="C46">
        <v>1000</v>
      </c>
      <c r="D46">
        <v>100</v>
      </c>
      <c r="E46">
        <v>241768</v>
      </c>
      <c r="F46">
        <v>241.768</v>
      </c>
      <c r="G46">
        <v>1210051</v>
      </c>
      <c r="H46">
        <v>3322970</v>
      </c>
      <c r="I46">
        <v>0</v>
      </c>
      <c r="J46">
        <v>5.00502</v>
      </c>
    </row>
    <row r="47" spans="1:10">
      <c r="A47" t="s">
        <v>8</v>
      </c>
      <c r="B47" t="s">
        <v>25</v>
      </c>
      <c r="C47">
        <v>1</v>
      </c>
      <c r="D47">
        <v>1000</v>
      </c>
      <c r="E47">
        <v>38470.1</v>
      </c>
      <c r="F47">
        <v>38470.1</v>
      </c>
      <c r="G47">
        <v>192365</v>
      </c>
      <c r="H47">
        <v>468074</v>
      </c>
      <c r="I47">
        <v>0</v>
      </c>
      <c r="J47">
        <v>5.0003799999999998</v>
      </c>
    </row>
    <row r="48" spans="1:10">
      <c r="A48" t="s">
        <v>8</v>
      </c>
      <c r="B48" t="s">
        <v>25</v>
      </c>
      <c r="C48">
        <v>10</v>
      </c>
      <c r="D48">
        <v>1000</v>
      </c>
      <c r="E48">
        <v>135817</v>
      </c>
      <c r="F48">
        <v>13581.7</v>
      </c>
      <c r="G48">
        <v>679766</v>
      </c>
      <c r="H48">
        <v>1937048</v>
      </c>
      <c r="I48">
        <v>0</v>
      </c>
      <c r="J48">
        <v>5.0050100000000004</v>
      </c>
    </row>
    <row r="49" spans="1:10">
      <c r="A49" t="s">
        <v>8</v>
      </c>
      <c r="B49" t="s">
        <v>25</v>
      </c>
      <c r="C49">
        <v>100</v>
      </c>
      <c r="D49">
        <v>1000</v>
      </c>
      <c r="E49">
        <v>171089</v>
      </c>
      <c r="F49">
        <v>1710.89</v>
      </c>
      <c r="G49">
        <v>856289</v>
      </c>
      <c r="H49">
        <v>3288166</v>
      </c>
      <c r="I49">
        <v>0</v>
      </c>
      <c r="J49">
        <v>5.0049299999999999</v>
      </c>
    </row>
    <row r="50" spans="1:10">
      <c r="A50" t="s">
        <v>8</v>
      </c>
      <c r="B50" t="s">
        <v>25</v>
      </c>
      <c r="C50">
        <v>500</v>
      </c>
      <c r="D50">
        <v>1000</v>
      </c>
      <c r="E50">
        <v>173399</v>
      </c>
      <c r="F50">
        <v>346.79899999999998</v>
      </c>
      <c r="G50">
        <v>867867</v>
      </c>
      <c r="H50">
        <v>3367766</v>
      </c>
      <c r="I50">
        <v>0</v>
      </c>
      <c r="J50">
        <v>5.00502</v>
      </c>
    </row>
    <row r="51" spans="1:10">
      <c r="A51" t="s">
        <v>8</v>
      </c>
      <c r="B51" t="s">
        <v>25</v>
      </c>
      <c r="C51">
        <v>1000</v>
      </c>
      <c r="D51">
        <v>1000</v>
      </c>
      <c r="E51">
        <v>119858</v>
      </c>
      <c r="F51">
        <v>119.858</v>
      </c>
      <c r="G51">
        <v>599590</v>
      </c>
      <c r="H51">
        <v>3853752</v>
      </c>
      <c r="I51">
        <v>0</v>
      </c>
      <c r="J51">
        <v>5.0025000000000004</v>
      </c>
    </row>
    <row r="52" spans="1:10">
      <c r="A52" t="s">
        <v>8</v>
      </c>
      <c r="B52" t="s">
        <v>25</v>
      </c>
      <c r="C52">
        <v>1</v>
      </c>
      <c r="D52">
        <v>10000</v>
      </c>
      <c r="E52">
        <v>38071.699999999997</v>
      </c>
      <c r="F52">
        <v>38071.699999999997</v>
      </c>
      <c r="G52">
        <v>190422</v>
      </c>
      <c r="H52">
        <v>423243</v>
      </c>
      <c r="I52">
        <v>0</v>
      </c>
      <c r="J52">
        <v>5.0016699999999998</v>
      </c>
    </row>
    <row r="53" spans="1:10">
      <c r="A53" t="s">
        <v>8</v>
      </c>
      <c r="B53" t="s">
        <v>25</v>
      </c>
      <c r="C53">
        <v>10</v>
      </c>
      <c r="D53">
        <v>10000</v>
      </c>
      <c r="E53">
        <v>57551.6</v>
      </c>
      <c r="F53">
        <v>5755.16</v>
      </c>
      <c r="G53">
        <v>287809</v>
      </c>
      <c r="H53">
        <v>2084078</v>
      </c>
      <c r="I53">
        <v>0</v>
      </c>
      <c r="J53">
        <v>5.0008900000000001</v>
      </c>
    </row>
    <row r="54" spans="1:10">
      <c r="A54" t="s">
        <v>8</v>
      </c>
      <c r="B54" t="s">
        <v>25</v>
      </c>
      <c r="C54">
        <v>100</v>
      </c>
      <c r="D54">
        <v>10000</v>
      </c>
      <c r="E54">
        <v>60937.8</v>
      </c>
      <c r="F54">
        <v>609.37800000000004</v>
      </c>
      <c r="G54">
        <v>304990</v>
      </c>
      <c r="H54">
        <v>3372021</v>
      </c>
      <c r="I54">
        <v>0</v>
      </c>
      <c r="J54">
        <v>5.0049400000000004</v>
      </c>
    </row>
    <row r="55" spans="1:10">
      <c r="A55" t="s">
        <v>8</v>
      </c>
      <c r="B55" t="s">
        <v>25</v>
      </c>
      <c r="C55">
        <v>500</v>
      </c>
      <c r="D55">
        <v>10000</v>
      </c>
      <c r="E55">
        <v>61714.1</v>
      </c>
      <c r="F55">
        <v>123.428</v>
      </c>
      <c r="G55">
        <v>308602</v>
      </c>
      <c r="H55">
        <v>3665551</v>
      </c>
      <c r="I55">
        <v>0</v>
      </c>
      <c r="J55">
        <v>5.0005100000000002</v>
      </c>
    </row>
    <row r="56" spans="1:10">
      <c r="A56" t="s">
        <v>8</v>
      </c>
      <c r="B56" t="s">
        <v>25</v>
      </c>
      <c r="C56">
        <v>1000</v>
      </c>
      <c r="D56">
        <v>10000</v>
      </c>
      <c r="E56">
        <v>62567.3</v>
      </c>
      <c r="F56">
        <v>62.567300000000003</v>
      </c>
      <c r="G56">
        <v>313150</v>
      </c>
      <c r="H56">
        <v>3568411</v>
      </c>
      <c r="I56">
        <v>0</v>
      </c>
      <c r="J56">
        <v>5.0050100000000004</v>
      </c>
    </row>
    <row r="57" spans="1:10">
      <c r="A57" t="s">
        <v>8</v>
      </c>
      <c r="B57" t="s">
        <v>25</v>
      </c>
      <c r="C57">
        <v>1</v>
      </c>
      <c r="D57">
        <v>100000</v>
      </c>
      <c r="E57">
        <v>15791.7</v>
      </c>
      <c r="F57">
        <v>15791.7</v>
      </c>
      <c r="G57">
        <v>78970</v>
      </c>
      <c r="H57">
        <v>302130</v>
      </c>
      <c r="I57">
        <v>0</v>
      </c>
      <c r="J57">
        <v>5.0007299999999999</v>
      </c>
    </row>
    <row r="58" spans="1:10">
      <c r="A58" t="s">
        <v>8</v>
      </c>
      <c r="B58" t="s">
        <v>25</v>
      </c>
      <c r="C58">
        <v>10</v>
      </c>
      <c r="D58">
        <v>100000</v>
      </c>
      <c r="E58">
        <v>13801.6</v>
      </c>
      <c r="F58">
        <v>1380.16</v>
      </c>
      <c r="G58">
        <v>69028</v>
      </c>
      <c r="H58">
        <v>1818275</v>
      </c>
      <c r="I58">
        <v>0</v>
      </c>
      <c r="J58">
        <v>5.0014599999999998</v>
      </c>
    </row>
    <row r="59" spans="1:10">
      <c r="A59" t="s">
        <v>8</v>
      </c>
      <c r="B59" t="s">
        <v>25</v>
      </c>
      <c r="C59">
        <v>100</v>
      </c>
      <c r="D59">
        <v>100000</v>
      </c>
      <c r="E59">
        <v>13662.6</v>
      </c>
      <c r="F59">
        <v>136.626</v>
      </c>
      <c r="G59">
        <v>68315</v>
      </c>
      <c r="H59">
        <v>3360132</v>
      </c>
      <c r="I59">
        <v>0</v>
      </c>
      <c r="J59">
        <v>5.00014</v>
      </c>
    </row>
    <row r="60" spans="1:10">
      <c r="A60" t="s">
        <v>8</v>
      </c>
      <c r="B60" t="s">
        <v>25</v>
      </c>
      <c r="C60">
        <v>500</v>
      </c>
      <c r="D60">
        <v>100000</v>
      </c>
      <c r="E60">
        <v>14563.9</v>
      </c>
      <c r="F60">
        <v>29.1279</v>
      </c>
      <c r="G60">
        <v>72852</v>
      </c>
      <c r="H60">
        <v>3614810</v>
      </c>
      <c r="I60">
        <v>0</v>
      </c>
      <c r="J60">
        <v>5.0022200000000003</v>
      </c>
    </row>
    <row r="61" spans="1:10">
      <c r="A61" t="s">
        <v>8</v>
      </c>
      <c r="B61" t="s">
        <v>25</v>
      </c>
      <c r="C61">
        <v>1000</v>
      </c>
      <c r="D61">
        <v>100000</v>
      </c>
      <c r="E61">
        <v>15254.8</v>
      </c>
      <c r="F61">
        <v>15.254799999999999</v>
      </c>
      <c r="G61">
        <v>76307</v>
      </c>
      <c r="H61">
        <v>3635504</v>
      </c>
      <c r="I61">
        <v>0</v>
      </c>
      <c r="J61">
        <v>5.0021599999999999</v>
      </c>
    </row>
    <row r="62" spans="1:10">
      <c r="A62" t="s">
        <v>9</v>
      </c>
      <c r="B62" t="s">
        <v>25</v>
      </c>
      <c r="C62">
        <v>1</v>
      </c>
      <c r="D62">
        <v>1</v>
      </c>
      <c r="E62">
        <v>38317.300000000003</v>
      </c>
      <c r="F62">
        <v>38317.300000000003</v>
      </c>
      <c r="G62">
        <v>191598</v>
      </c>
      <c r="H62">
        <v>494000</v>
      </c>
      <c r="I62">
        <v>0</v>
      </c>
      <c r="J62">
        <v>5.0003099999999998</v>
      </c>
    </row>
    <row r="63" spans="1:10">
      <c r="A63" t="s">
        <v>9</v>
      </c>
      <c r="B63" t="s">
        <v>25</v>
      </c>
      <c r="C63">
        <v>10</v>
      </c>
      <c r="D63">
        <v>1</v>
      </c>
      <c r="E63">
        <v>136875</v>
      </c>
      <c r="F63">
        <v>13687.5</v>
      </c>
      <c r="G63">
        <v>685060</v>
      </c>
      <c r="H63">
        <v>1866578</v>
      </c>
      <c r="I63">
        <v>0</v>
      </c>
      <c r="J63">
        <v>5.0050100000000004</v>
      </c>
    </row>
    <row r="64" spans="1:10">
      <c r="A64" t="s">
        <v>9</v>
      </c>
      <c r="B64" t="s">
        <v>25</v>
      </c>
      <c r="C64">
        <v>100</v>
      </c>
      <c r="D64">
        <v>1</v>
      </c>
      <c r="E64">
        <v>180295</v>
      </c>
      <c r="F64">
        <v>1802.95</v>
      </c>
      <c r="G64">
        <v>902137</v>
      </c>
      <c r="H64">
        <v>3462498</v>
      </c>
      <c r="I64">
        <v>0</v>
      </c>
      <c r="J64">
        <v>5.0036800000000001</v>
      </c>
    </row>
    <row r="65" spans="1:10">
      <c r="A65" t="s">
        <v>9</v>
      </c>
      <c r="B65" t="s">
        <v>25</v>
      </c>
      <c r="C65">
        <v>500</v>
      </c>
      <c r="D65">
        <v>1</v>
      </c>
      <c r="E65">
        <v>234218</v>
      </c>
      <c r="F65">
        <v>468.435</v>
      </c>
      <c r="G65">
        <v>1171509</v>
      </c>
      <c r="H65">
        <v>3468468</v>
      </c>
      <c r="I65">
        <v>0</v>
      </c>
      <c r="J65">
        <v>5.0018000000000002</v>
      </c>
    </row>
    <row r="66" spans="1:10">
      <c r="A66" t="s">
        <v>9</v>
      </c>
      <c r="B66" t="s">
        <v>25</v>
      </c>
      <c r="C66">
        <v>1000</v>
      </c>
      <c r="D66">
        <v>1</v>
      </c>
      <c r="E66">
        <v>218564</v>
      </c>
      <c r="F66">
        <v>218.56399999999999</v>
      </c>
      <c r="G66">
        <v>1093508</v>
      </c>
      <c r="H66">
        <v>3374360</v>
      </c>
      <c r="I66">
        <v>0</v>
      </c>
      <c r="J66">
        <v>5.0031499999999998</v>
      </c>
    </row>
    <row r="67" spans="1:10">
      <c r="A67" t="s">
        <v>9</v>
      </c>
      <c r="B67" t="s">
        <v>25</v>
      </c>
      <c r="C67">
        <v>1</v>
      </c>
      <c r="D67">
        <v>10</v>
      </c>
      <c r="E67">
        <v>37435</v>
      </c>
      <c r="F67">
        <v>37435</v>
      </c>
      <c r="G67">
        <v>187176</v>
      </c>
      <c r="H67">
        <v>489241</v>
      </c>
      <c r="I67">
        <v>0</v>
      </c>
      <c r="J67">
        <v>5.0000299999999998</v>
      </c>
    </row>
    <row r="68" spans="1:10">
      <c r="A68" t="s">
        <v>9</v>
      </c>
      <c r="B68" t="s">
        <v>25</v>
      </c>
      <c r="C68">
        <v>10</v>
      </c>
      <c r="D68">
        <v>10</v>
      </c>
      <c r="E68">
        <v>150086</v>
      </c>
      <c r="F68">
        <v>15008.6</v>
      </c>
      <c r="G68">
        <v>751103</v>
      </c>
      <c r="H68">
        <v>2009902</v>
      </c>
      <c r="I68">
        <v>0</v>
      </c>
      <c r="J68">
        <v>5.00448</v>
      </c>
    </row>
    <row r="69" spans="1:10">
      <c r="A69" t="s">
        <v>9</v>
      </c>
      <c r="B69" t="s">
        <v>25</v>
      </c>
      <c r="C69">
        <v>100</v>
      </c>
      <c r="D69">
        <v>10</v>
      </c>
      <c r="E69">
        <v>156874</v>
      </c>
      <c r="F69">
        <v>1568.74</v>
      </c>
      <c r="G69">
        <v>784413</v>
      </c>
      <c r="H69">
        <v>2711848</v>
      </c>
      <c r="I69">
        <v>0</v>
      </c>
      <c r="J69">
        <v>5.0002599999999999</v>
      </c>
    </row>
    <row r="70" spans="1:10">
      <c r="A70" t="s">
        <v>9</v>
      </c>
      <c r="B70" t="s">
        <v>25</v>
      </c>
      <c r="C70">
        <v>500</v>
      </c>
      <c r="D70">
        <v>10</v>
      </c>
      <c r="E70">
        <v>234163</v>
      </c>
      <c r="F70">
        <v>468.32600000000002</v>
      </c>
      <c r="G70">
        <v>1171995</v>
      </c>
      <c r="H70">
        <v>3527099</v>
      </c>
      <c r="I70">
        <v>0</v>
      </c>
      <c r="J70">
        <v>5.0050400000000002</v>
      </c>
    </row>
    <row r="71" spans="1:10">
      <c r="A71" t="s">
        <v>9</v>
      </c>
      <c r="B71" t="s">
        <v>25</v>
      </c>
      <c r="C71">
        <v>1000</v>
      </c>
      <c r="D71">
        <v>10</v>
      </c>
      <c r="E71">
        <v>220478</v>
      </c>
      <c r="F71">
        <v>220.47800000000001</v>
      </c>
      <c r="G71">
        <v>1103499</v>
      </c>
      <c r="H71">
        <v>3474360</v>
      </c>
      <c r="I71">
        <v>0</v>
      </c>
      <c r="J71">
        <v>5.0050299999999996</v>
      </c>
    </row>
    <row r="72" spans="1:10">
      <c r="A72" t="s">
        <v>9</v>
      </c>
      <c r="B72" t="s">
        <v>25</v>
      </c>
      <c r="C72">
        <v>1</v>
      </c>
      <c r="D72">
        <v>100</v>
      </c>
      <c r="E72">
        <v>39228.9</v>
      </c>
      <c r="F72">
        <v>39228.9</v>
      </c>
      <c r="G72">
        <v>196217</v>
      </c>
      <c r="H72">
        <v>494908</v>
      </c>
      <c r="I72">
        <v>0</v>
      </c>
      <c r="J72">
        <v>5.0018500000000001</v>
      </c>
    </row>
    <row r="73" spans="1:10">
      <c r="A73" t="s">
        <v>9</v>
      </c>
      <c r="B73" t="s">
        <v>25</v>
      </c>
      <c r="C73">
        <v>10</v>
      </c>
      <c r="D73">
        <v>100</v>
      </c>
      <c r="E73">
        <v>146279</v>
      </c>
      <c r="F73">
        <v>14627.9</v>
      </c>
      <c r="G73">
        <v>732129</v>
      </c>
      <c r="H73">
        <v>1983305</v>
      </c>
      <c r="I73">
        <v>0</v>
      </c>
      <c r="J73">
        <v>5.0050100000000004</v>
      </c>
    </row>
    <row r="74" spans="1:10">
      <c r="A74" t="s">
        <v>9</v>
      </c>
      <c r="B74" t="s">
        <v>25</v>
      </c>
      <c r="C74">
        <v>100</v>
      </c>
      <c r="D74">
        <v>100</v>
      </c>
      <c r="E74">
        <v>222701</v>
      </c>
      <c r="F74">
        <v>2227.0100000000002</v>
      </c>
      <c r="G74">
        <v>1114297</v>
      </c>
      <c r="H74">
        <v>3323441</v>
      </c>
      <c r="I74">
        <v>0</v>
      </c>
      <c r="J74">
        <v>5.0035600000000002</v>
      </c>
    </row>
    <row r="75" spans="1:10">
      <c r="A75" t="s">
        <v>9</v>
      </c>
      <c r="B75" t="s">
        <v>25</v>
      </c>
      <c r="C75">
        <v>500</v>
      </c>
      <c r="D75">
        <v>100</v>
      </c>
      <c r="E75">
        <v>221537</v>
      </c>
      <c r="F75">
        <v>443.07499999999999</v>
      </c>
      <c r="G75">
        <v>1108264</v>
      </c>
      <c r="H75">
        <v>3322309</v>
      </c>
      <c r="I75">
        <v>0</v>
      </c>
      <c r="J75">
        <v>5.0026099999999998</v>
      </c>
    </row>
    <row r="76" spans="1:10">
      <c r="A76" t="s">
        <v>9</v>
      </c>
      <c r="B76" t="s">
        <v>25</v>
      </c>
      <c r="C76">
        <v>1000</v>
      </c>
      <c r="D76">
        <v>100</v>
      </c>
      <c r="E76">
        <v>241597</v>
      </c>
      <c r="F76">
        <v>241.59700000000001</v>
      </c>
      <c r="G76">
        <v>1208803</v>
      </c>
      <c r="H76">
        <v>3197979</v>
      </c>
      <c r="I76">
        <v>0</v>
      </c>
      <c r="J76">
        <v>5.0033799999999999</v>
      </c>
    </row>
    <row r="77" spans="1:10">
      <c r="A77" t="s">
        <v>9</v>
      </c>
      <c r="B77" t="s">
        <v>25</v>
      </c>
      <c r="C77">
        <v>1</v>
      </c>
      <c r="D77">
        <v>1000</v>
      </c>
      <c r="E77">
        <v>35499.599999999999</v>
      </c>
      <c r="F77">
        <v>35499.599999999999</v>
      </c>
      <c r="G77">
        <v>177500</v>
      </c>
      <c r="H77">
        <v>449866</v>
      </c>
      <c r="I77">
        <v>0</v>
      </c>
      <c r="J77">
        <v>5.0000600000000004</v>
      </c>
    </row>
    <row r="78" spans="1:10">
      <c r="A78" t="s">
        <v>9</v>
      </c>
      <c r="B78" t="s">
        <v>25</v>
      </c>
      <c r="C78">
        <v>10</v>
      </c>
      <c r="D78">
        <v>1000</v>
      </c>
      <c r="E78">
        <v>130999</v>
      </c>
      <c r="F78">
        <v>13099.9</v>
      </c>
      <c r="G78">
        <v>655599</v>
      </c>
      <c r="H78">
        <v>1905438</v>
      </c>
      <c r="I78">
        <v>0</v>
      </c>
      <c r="J78">
        <v>5.0046200000000001</v>
      </c>
    </row>
    <row r="79" spans="1:10">
      <c r="A79" t="s">
        <v>9</v>
      </c>
      <c r="B79" t="s">
        <v>25</v>
      </c>
      <c r="C79">
        <v>100</v>
      </c>
      <c r="D79">
        <v>1000</v>
      </c>
      <c r="E79">
        <v>157093</v>
      </c>
      <c r="F79">
        <v>1570.93</v>
      </c>
      <c r="G79">
        <v>786257</v>
      </c>
      <c r="H79">
        <v>3175522</v>
      </c>
      <c r="I79">
        <v>0</v>
      </c>
      <c r="J79">
        <v>5.0050299999999996</v>
      </c>
    </row>
    <row r="80" spans="1:10">
      <c r="A80" t="s">
        <v>9</v>
      </c>
      <c r="B80" t="s">
        <v>25</v>
      </c>
      <c r="C80">
        <v>500</v>
      </c>
      <c r="D80">
        <v>1000</v>
      </c>
      <c r="E80">
        <v>177802</v>
      </c>
      <c r="F80">
        <v>355.60300000000001</v>
      </c>
      <c r="G80">
        <v>889899</v>
      </c>
      <c r="H80">
        <v>3290798</v>
      </c>
      <c r="I80">
        <v>0</v>
      </c>
      <c r="J80">
        <v>5.0050100000000004</v>
      </c>
    </row>
    <row r="81" spans="1:10">
      <c r="A81" t="s">
        <v>9</v>
      </c>
      <c r="B81" t="s">
        <v>25</v>
      </c>
      <c r="C81">
        <v>1000</v>
      </c>
      <c r="D81">
        <v>1000</v>
      </c>
      <c r="E81">
        <v>126791</v>
      </c>
      <c r="F81">
        <v>126.791</v>
      </c>
      <c r="G81">
        <v>634154</v>
      </c>
      <c r="H81">
        <v>3605244</v>
      </c>
      <c r="I81">
        <v>0</v>
      </c>
      <c r="J81">
        <v>5.0015799999999997</v>
      </c>
    </row>
    <row r="82" spans="1:10">
      <c r="A82" t="s">
        <v>9</v>
      </c>
      <c r="B82" t="s">
        <v>25</v>
      </c>
      <c r="C82">
        <v>1</v>
      </c>
      <c r="D82">
        <v>10000</v>
      </c>
      <c r="E82">
        <v>36015.800000000003</v>
      </c>
      <c r="F82">
        <v>36015.800000000003</v>
      </c>
      <c r="G82">
        <v>180103</v>
      </c>
      <c r="H82">
        <v>393745</v>
      </c>
      <c r="I82">
        <v>0</v>
      </c>
      <c r="J82">
        <v>5.0006700000000004</v>
      </c>
    </row>
    <row r="83" spans="1:10">
      <c r="A83" t="s">
        <v>9</v>
      </c>
      <c r="B83" t="s">
        <v>25</v>
      </c>
      <c r="C83">
        <v>10</v>
      </c>
      <c r="D83">
        <v>10000</v>
      </c>
      <c r="E83">
        <v>56922.6</v>
      </c>
      <c r="F83">
        <v>5692.26</v>
      </c>
      <c r="G83">
        <v>284801</v>
      </c>
      <c r="H83">
        <v>2074655</v>
      </c>
      <c r="I83">
        <v>0</v>
      </c>
      <c r="J83">
        <v>5.0033000000000003</v>
      </c>
    </row>
    <row r="84" spans="1:10">
      <c r="A84" t="s">
        <v>9</v>
      </c>
      <c r="B84" t="s">
        <v>25</v>
      </c>
      <c r="C84">
        <v>100</v>
      </c>
      <c r="D84">
        <v>10000</v>
      </c>
      <c r="E84">
        <v>65221.599999999999</v>
      </c>
      <c r="F84">
        <v>652.21600000000001</v>
      </c>
      <c r="G84">
        <v>326436</v>
      </c>
      <c r="H84">
        <v>3438372</v>
      </c>
      <c r="I84">
        <v>0</v>
      </c>
      <c r="J84">
        <v>5.0050299999999996</v>
      </c>
    </row>
    <row r="85" spans="1:10">
      <c r="A85" t="s">
        <v>9</v>
      </c>
      <c r="B85" t="s">
        <v>25</v>
      </c>
      <c r="C85">
        <v>500</v>
      </c>
      <c r="D85">
        <v>10000</v>
      </c>
      <c r="E85">
        <v>58973.7</v>
      </c>
      <c r="F85">
        <v>117.947</v>
      </c>
      <c r="G85">
        <v>295164</v>
      </c>
      <c r="H85">
        <v>3629974</v>
      </c>
      <c r="I85">
        <v>0</v>
      </c>
      <c r="J85">
        <v>5.0050100000000004</v>
      </c>
    </row>
    <row r="86" spans="1:10">
      <c r="A86" t="s">
        <v>9</v>
      </c>
      <c r="B86" t="s">
        <v>25</v>
      </c>
      <c r="C86">
        <v>1000</v>
      </c>
      <c r="D86">
        <v>10000</v>
      </c>
      <c r="E86">
        <v>62595</v>
      </c>
      <c r="F86">
        <v>62.594999999999999</v>
      </c>
      <c r="G86">
        <v>313016</v>
      </c>
      <c r="H86">
        <v>3530606</v>
      </c>
      <c r="I86">
        <v>0</v>
      </c>
      <c r="J86">
        <v>5.0006500000000003</v>
      </c>
    </row>
    <row r="87" spans="1:10">
      <c r="A87" t="s">
        <v>9</v>
      </c>
      <c r="B87" t="s">
        <v>25</v>
      </c>
      <c r="C87">
        <v>1</v>
      </c>
      <c r="D87">
        <v>100000</v>
      </c>
      <c r="E87">
        <v>15472.7</v>
      </c>
      <c r="F87">
        <v>15472.7</v>
      </c>
      <c r="G87">
        <v>77383</v>
      </c>
      <c r="H87">
        <v>291378</v>
      </c>
      <c r="I87">
        <v>0</v>
      </c>
      <c r="J87">
        <v>5.0012699999999999</v>
      </c>
    </row>
    <row r="88" spans="1:10">
      <c r="A88" t="s">
        <v>9</v>
      </c>
      <c r="B88" t="s">
        <v>25</v>
      </c>
      <c r="C88">
        <v>10</v>
      </c>
      <c r="D88">
        <v>100000</v>
      </c>
      <c r="E88">
        <v>14208.9</v>
      </c>
      <c r="F88">
        <v>1420.89</v>
      </c>
      <c r="G88">
        <v>71081</v>
      </c>
      <c r="H88">
        <v>1856688</v>
      </c>
      <c r="I88">
        <v>0</v>
      </c>
      <c r="J88">
        <v>5.0025700000000004</v>
      </c>
    </row>
    <row r="89" spans="1:10">
      <c r="A89" t="s">
        <v>9</v>
      </c>
      <c r="B89" t="s">
        <v>25</v>
      </c>
      <c r="C89">
        <v>100</v>
      </c>
      <c r="D89">
        <v>100000</v>
      </c>
      <c r="E89">
        <v>14187.4</v>
      </c>
      <c r="F89">
        <v>141.874</v>
      </c>
      <c r="G89">
        <v>70946</v>
      </c>
      <c r="H89">
        <v>3399963</v>
      </c>
      <c r="I89">
        <v>0</v>
      </c>
      <c r="J89">
        <v>5.0006399999999998</v>
      </c>
    </row>
    <row r="90" spans="1:10">
      <c r="A90" t="s">
        <v>9</v>
      </c>
      <c r="B90" t="s">
        <v>25</v>
      </c>
      <c r="C90">
        <v>500</v>
      </c>
      <c r="D90">
        <v>100000</v>
      </c>
      <c r="E90">
        <v>15486.3</v>
      </c>
      <c r="F90">
        <v>30.9726</v>
      </c>
      <c r="G90">
        <v>77432</v>
      </c>
      <c r="H90">
        <v>3671370</v>
      </c>
      <c r="I90">
        <v>0</v>
      </c>
      <c r="J90">
        <v>5.0000400000000003</v>
      </c>
    </row>
    <row r="91" spans="1:10">
      <c r="A91" t="s">
        <v>9</v>
      </c>
      <c r="B91" t="s">
        <v>25</v>
      </c>
      <c r="C91">
        <v>1000</v>
      </c>
      <c r="D91">
        <v>100000</v>
      </c>
      <c r="E91">
        <v>15668.6</v>
      </c>
      <c r="F91">
        <v>15.6686</v>
      </c>
      <c r="G91">
        <v>78409</v>
      </c>
      <c r="H91">
        <v>3646904</v>
      </c>
      <c r="I91">
        <v>0</v>
      </c>
      <c r="J91">
        <v>5.0042099999999996</v>
      </c>
    </row>
    <row r="92" spans="1:10">
      <c r="A92" t="s">
        <v>10</v>
      </c>
      <c r="B92" t="s">
        <v>25</v>
      </c>
      <c r="C92">
        <v>1</v>
      </c>
      <c r="D92">
        <v>1</v>
      </c>
      <c r="E92">
        <v>39402.800000000003</v>
      </c>
      <c r="F92">
        <v>39402.800000000003</v>
      </c>
      <c r="G92">
        <v>197212</v>
      </c>
      <c r="H92">
        <v>496395</v>
      </c>
      <c r="I92">
        <v>0</v>
      </c>
      <c r="J92">
        <v>5.00502</v>
      </c>
    </row>
    <row r="93" spans="1:10">
      <c r="A93" t="s">
        <v>10</v>
      </c>
      <c r="B93" t="s">
        <v>25</v>
      </c>
      <c r="C93">
        <v>10</v>
      </c>
      <c r="D93">
        <v>1</v>
      </c>
      <c r="E93">
        <v>140615</v>
      </c>
      <c r="F93">
        <v>14061.5</v>
      </c>
      <c r="G93">
        <v>703275</v>
      </c>
      <c r="H93">
        <v>1901348</v>
      </c>
      <c r="I93">
        <v>0</v>
      </c>
      <c r="J93">
        <v>5.0014200000000004</v>
      </c>
    </row>
    <row r="94" spans="1:10">
      <c r="A94" t="s">
        <v>10</v>
      </c>
      <c r="B94" t="s">
        <v>25</v>
      </c>
      <c r="C94">
        <v>100</v>
      </c>
      <c r="D94">
        <v>1</v>
      </c>
      <c r="E94">
        <v>179873</v>
      </c>
      <c r="F94">
        <v>1798.73</v>
      </c>
      <c r="G94">
        <v>900268</v>
      </c>
      <c r="H94">
        <v>3602531</v>
      </c>
      <c r="I94">
        <v>0</v>
      </c>
      <c r="J94">
        <v>5.0050299999999996</v>
      </c>
    </row>
    <row r="95" spans="1:10">
      <c r="A95" t="s">
        <v>10</v>
      </c>
      <c r="B95" t="s">
        <v>25</v>
      </c>
      <c r="C95">
        <v>500</v>
      </c>
      <c r="D95">
        <v>1</v>
      </c>
      <c r="E95">
        <v>235199</v>
      </c>
      <c r="F95">
        <v>470.39699999999999</v>
      </c>
      <c r="G95">
        <v>1176903</v>
      </c>
      <c r="H95">
        <v>3541048</v>
      </c>
      <c r="I95">
        <v>0</v>
      </c>
      <c r="J95">
        <v>5.00387</v>
      </c>
    </row>
    <row r="96" spans="1:10">
      <c r="A96" t="s">
        <v>10</v>
      </c>
      <c r="B96" t="s">
        <v>25</v>
      </c>
      <c r="C96">
        <v>1000</v>
      </c>
      <c r="D96">
        <v>1</v>
      </c>
      <c r="E96">
        <v>227609</v>
      </c>
      <c r="F96">
        <v>227.60900000000001</v>
      </c>
      <c r="G96">
        <v>1138330</v>
      </c>
      <c r="H96">
        <v>3494037</v>
      </c>
      <c r="I96">
        <v>0</v>
      </c>
      <c r="J96">
        <v>5.0012499999999998</v>
      </c>
    </row>
    <row r="97" spans="1:10">
      <c r="A97" t="s">
        <v>10</v>
      </c>
      <c r="B97" t="s">
        <v>25</v>
      </c>
      <c r="C97">
        <v>1</v>
      </c>
      <c r="D97">
        <v>10</v>
      </c>
      <c r="E97">
        <v>39213.599999999999</v>
      </c>
      <c r="F97">
        <v>39213.599999999999</v>
      </c>
      <c r="G97">
        <v>196088</v>
      </c>
      <c r="H97">
        <v>489770</v>
      </c>
      <c r="I97">
        <v>0</v>
      </c>
      <c r="J97">
        <v>5.0005100000000002</v>
      </c>
    </row>
    <row r="98" spans="1:10">
      <c r="A98" t="s">
        <v>10</v>
      </c>
      <c r="B98" t="s">
        <v>25</v>
      </c>
      <c r="C98">
        <v>10</v>
      </c>
      <c r="D98">
        <v>10</v>
      </c>
      <c r="E98">
        <v>147792</v>
      </c>
      <c r="F98">
        <v>14779.2</v>
      </c>
      <c r="G98">
        <v>739270</v>
      </c>
      <c r="H98">
        <v>1987878</v>
      </c>
      <c r="I98">
        <v>0</v>
      </c>
      <c r="J98">
        <v>5.0020800000000003</v>
      </c>
    </row>
    <row r="99" spans="1:10">
      <c r="A99" t="s">
        <v>10</v>
      </c>
      <c r="B99" t="s">
        <v>25</v>
      </c>
      <c r="C99">
        <v>100</v>
      </c>
      <c r="D99">
        <v>10</v>
      </c>
      <c r="E99">
        <v>177187</v>
      </c>
      <c r="F99">
        <v>1771.87</v>
      </c>
      <c r="G99">
        <v>886827</v>
      </c>
      <c r="H99">
        <v>3465171</v>
      </c>
      <c r="I99">
        <v>0</v>
      </c>
      <c r="J99">
        <v>5.0050299999999996</v>
      </c>
    </row>
    <row r="100" spans="1:10">
      <c r="A100" t="s">
        <v>10</v>
      </c>
      <c r="B100" t="s">
        <v>25</v>
      </c>
      <c r="C100">
        <v>500</v>
      </c>
      <c r="D100">
        <v>10</v>
      </c>
      <c r="E100">
        <v>231954</v>
      </c>
      <c r="F100">
        <v>463.90800000000002</v>
      </c>
      <c r="G100">
        <v>1160611</v>
      </c>
      <c r="H100">
        <v>3429584</v>
      </c>
      <c r="I100">
        <v>0</v>
      </c>
      <c r="J100">
        <v>5.0036199999999997</v>
      </c>
    </row>
    <row r="101" spans="1:10">
      <c r="A101" t="s">
        <v>10</v>
      </c>
      <c r="B101" t="s">
        <v>25</v>
      </c>
      <c r="C101">
        <v>1000</v>
      </c>
      <c r="D101">
        <v>10</v>
      </c>
      <c r="E101">
        <v>224105</v>
      </c>
      <c r="F101">
        <v>224.10499999999999</v>
      </c>
      <c r="G101">
        <v>1121524</v>
      </c>
      <c r="H101">
        <v>3681431</v>
      </c>
      <c r="I101">
        <v>0</v>
      </c>
      <c r="J101">
        <v>5.0044599999999999</v>
      </c>
    </row>
    <row r="102" spans="1:10">
      <c r="A102" t="s">
        <v>10</v>
      </c>
      <c r="B102" t="s">
        <v>25</v>
      </c>
      <c r="C102">
        <v>1</v>
      </c>
      <c r="D102">
        <v>100</v>
      </c>
      <c r="E102">
        <v>38251.5</v>
      </c>
      <c r="F102">
        <v>38251.5</v>
      </c>
      <c r="G102">
        <v>191326</v>
      </c>
      <c r="H102">
        <v>478911</v>
      </c>
      <c r="I102">
        <v>0</v>
      </c>
      <c r="J102">
        <v>5.0018000000000002</v>
      </c>
    </row>
    <row r="103" spans="1:10">
      <c r="A103" t="s">
        <v>10</v>
      </c>
      <c r="B103" t="s">
        <v>25</v>
      </c>
      <c r="C103">
        <v>10</v>
      </c>
      <c r="D103">
        <v>100</v>
      </c>
      <c r="E103">
        <v>148293</v>
      </c>
      <c r="F103">
        <v>14829.3</v>
      </c>
      <c r="G103">
        <v>741770</v>
      </c>
      <c r="H103">
        <v>2001556</v>
      </c>
      <c r="I103">
        <v>0</v>
      </c>
      <c r="J103">
        <v>5.0020499999999997</v>
      </c>
    </row>
    <row r="104" spans="1:10">
      <c r="A104" t="s">
        <v>10</v>
      </c>
      <c r="B104" t="s">
        <v>25</v>
      </c>
      <c r="C104">
        <v>100</v>
      </c>
      <c r="D104">
        <v>100</v>
      </c>
      <c r="E104">
        <v>221568</v>
      </c>
      <c r="F104">
        <v>2215.6799999999998</v>
      </c>
      <c r="G104">
        <v>1108953</v>
      </c>
      <c r="H104">
        <v>3309533</v>
      </c>
      <c r="I104">
        <v>0</v>
      </c>
      <c r="J104">
        <v>5.00502</v>
      </c>
    </row>
    <row r="105" spans="1:10">
      <c r="A105" t="s">
        <v>10</v>
      </c>
      <c r="B105" t="s">
        <v>25</v>
      </c>
      <c r="C105">
        <v>500</v>
      </c>
      <c r="D105">
        <v>100</v>
      </c>
      <c r="E105">
        <v>234100</v>
      </c>
      <c r="F105">
        <v>468.20100000000002</v>
      </c>
      <c r="G105">
        <v>1171318</v>
      </c>
      <c r="H105">
        <v>3402751</v>
      </c>
      <c r="I105">
        <v>0</v>
      </c>
      <c r="J105">
        <v>5.0034900000000002</v>
      </c>
    </row>
    <row r="106" spans="1:10">
      <c r="A106" t="s">
        <v>10</v>
      </c>
      <c r="B106" t="s">
        <v>25</v>
      </c>
      <c r="C106">
        <v>1000</v>
      </c>
      <c r="D106">
        <v>100</v>
      </c>
      <c r="E106">
        <v>227917</v>
      </c>
      <c r="F106">
        <v>227.917</v>
      </c>
      <c r="G106">
        <v>1140728</v>
      </c>
      <c r="H106">
        <v>3381631</v>
      </c>
      <c r="I106">
        <v>0</v>
      </c>
      <c r="J106">
        <v>5.00502</v>
      </c>
    </row>
    <row r="107" spans="1:10">
      <c r="A107" t="s">
        <v>10</v>
      </c>
      <c r="B107" t="s">
        <v>25</v>
      </c>
      <c r="C107">
        <v>1</v>
      </c>
      <c r="D107">
        <v>1000</v>
      </c>
      <c r="E107">
        <v>38280.199999999997</v>
      </c>
      <c r="F107">
        <v>38280.199999999997</v>
      </c>
      <c r="G107">
        <v>191593</v>
      </c>
      <c r="H107">
        <v>467848</v>
      </c>
      <c r="I107">
        <v>0</v>
      </c>
      <c r="J107">
        <v>5.0050100000000004</v>
      </c>
    </row>
    <row r="108" spans="1:10">
      <c r="A108" t="s">
        <v>10</v>
      </c>
      <c r="B108" t="s">
        <v>25</v>
      </c>
      <c r="C108">
        <v>10</v>
      </c>
      <c r="D108">
        <v>1000</v>
      </c>
      <c r="E108">
        <v>137284</v>
      </c>
      <c r="F108">
        <v>13728.4</v>
      </c>
      <c r="G108">
        <v>686845</v>
      </c>
      <c r="H108">
        <v>2006747</v>
      </c>
      <c r="I108">
        <v>0</v>
      </c>
      <c r="J108">
        <v>5.0031100000000004</v>
      </c>
    </row>
    <row r="109" spans="1:10">
      <c r="A109" t="s">
        <v>10</v>
      </c>
      <c r="B109" t="s">
        <v>25</v>
      </c>
      <c r="C109">
        <v>100</v>
      </c>
      <c r="D109">
        <v>1000</v>
      </c>
      <c r="E109">
        <v>168440</v>
      </c>
      <c r="F109">
        <v>1684.4</v>
      </c>
      <c r="G109">
        <v>843048</v>
      </c>
      <c r="H109">
        <v>3268720</v>
      </c>
      <c r="I109">
        <v>0</v>
      </c>
      <c r="J109">
        <v>5.00502</v>
      </c>
    </row>
    <row r="110" spans="1:10">
      <c r="A110" t="s">
        <v>10</v>
      </c>
      <c r="B110" t="s">
        <v>25</v>
      </c>
      <c r="C110">
        <v>500</v>
      </c>
      <c r="D110">
        <v>1000</v>
      </c>
      <c r="E110">
        <v>176367</v>
      </c>
      <c r="F110">
        <v>352.73399999999998</v>
      </c>
      <c r="G110">
        <v>882720</v>
      </c>
      <c r="H110">
        <v>3356133</v>
      </c>
      <c r="I110">
        <v>0</v>
      </c>
      <c r="J110">
        <v>5.00502</v>
      </c>
    </row>
    <row r="111" spans="1:10">
      <c r="A111" t="s">
        <v>10</v>
      </c>
      <c r="B111" t="s">
        <v>25</v>
      </c>
      <c r="C111">
        <v>1000</v>
      </c>
      <c r="D111">
        <v>1000</v>
      </c>
      <c r="E111">
        <v>122703</v>
      </c>
      <c r="F111">
        <v>122.703</v>
      </c>
      <c r="G111">
        <v>614133</v>
      </c>
      <c r="H111">
        <v>3818585</v>
      </c>
      <c r="I111">
        <v>0</v>
      </c>
      <c r="J111">
        <v>5.0050400000000002</v>
      </c>
    </row>
    <row r="112" spans="1:10">
      <c r="A112" t="s">
        <v>10</v>
      </c>
      <c r="B112" t="s">
        <v>25</v>
      </c>
      <c r="C112">
        <v>1</v>
      </c>
      <c r="D112">
        <v>10000</v>
      </c>
      <c r="E112">
        <v>38698.9</v>
      </c>
      <c r="F112">
        <v>38698.9</v>
      </c>
      <c r="G112">
        <v>193514</v>
      </c>
      <c r="H112">
        <v>426249</v>
      </c>
      <c r="I112">
        <v>0</v>
      </c>
      <c r="J112">
        <v>5.0004999999999997</v>
      </c>
    </row>
    <row r="113" spans="1:10">
      <c r="A113" t="s">
        <v>10</v>
      </c>
      <c r="B113" t="s">
        <v>25</v>
      </c>
      <c r="C113">
        <v>10</v>
      </c>
      <c r="D113">
        <v>10000</v>
      </c>
      <c r="E113">
        <v>60019.9</v>
      </c>
      <c r="F113">
        <v>6001.99</v>
      </c>
      <c r="G113">
        <v>300400</v>
      </c>
      <c r="H113">
        <v>2101852</v>
      </c>
      <c r="I113">
        <v>0</v>
      </c>
      <c r="J113">
        <v>5.0050100000000004</v>
      </c>
    </row>
    <row r="114" spans="1:10">
      <c r="A114" t="s">
        <v>10</v>
      </c>
      <c r="B114" t="s">
        <v>25</v>
      </c>
      <c r="C114">
        <v>100</v>
      </c>
      <c r="D114">
        <v>10000</v>
      </c>
      <c r="E114">
        <v>64698.400000000001</v>
      </c>
      <c r="F114">
        <v>646.98400000000004</v>
      </c>
      <c r="G114">
        <v>323817</v>
      </c>
      <c r="H114">
        <v>3443261</v>
      </c>
      <c r="I114">
        <v>0</v>
      </c>
      <c r="J114">
        <v>5.00502</v>
      </c>
    </row>
    <row r="115" spans="1:10">
      <c r="A115" t="s">
        <v>10</v>
      </c>
      <c r="B115" t="s">
        <v>25</v>
      </c>
      <c r="C115">
        <v>500</v>
      </c>
      <c r="D115">
        <v>10000</v>
      </c>
      <c r="E115">
        <v>63136.3</v>
      </c>
      <c r="F115">
        <v>126.273</v>
      </c>
      <c r="G115">
        <v>315998</v>
      </c>
      <c r="H115">
        <v>3678092</v>
      </c>
      <c r="I115">
        <v>0</v>
      </c>
      <c r="J115">
        <v>5.0050100000000004</v>
      </c>
    </row>
    <row r="116" spans="1:10">
      <c r="A116" t="s">
        <v>10</v>
      </c>
      <c r="B116" t="s">
        <v>25</v>
      </c>
      <c r="C116">
        <v>1000</v>
      </c>
      <c r="D116">
        <v>10000</v>
      </c>
      <c r="E116">
        <v>64543.4</v>
      </c>
      <c r="F116">
        <v>64.543400000000005</v>
      </c>
      <c r="G116">
        <v>322846</v>
      </c>
      <c r="H116">
        <v>3607946</v>
      </c>
      <c r="I116">
        <v>0</v>
      </c>
      <c r="J116">
        <v>5.0019999999999998</v>
      </c>
    </row>
    <row r="117" spans="1:10">
      <c r="A117" t="s">
        <v>10</v>
      </c>
      <c r="B117" t="s">
        <v>25</v>
      </c>
      <c r="C117">
        <v>1</v>
      </c>
      <c r="D117">
        <v>100000</v>
      </c>
      <c r="E117">
        <v>15865.5</v>
      </c>
      <c r="F117">
        <v>15865.5</v>
      </c>
      <c r="G117">
        <v>79333</v>
      </c>
      <c r="H117">
        <v>304867</v>
      </c>
      <c r="I117">
        <v>0</v>
      </c>
      <c r="J117">
        <v>5.0003399999999996</v>
      </c>
    </row>
    <row r="118" spans="1:10">
      <c r="A118" t="s">
        <v>10</v>
      </c>
      <c r="B118" t="s">
        <v>25</v>
      </c>
      <c r="C118">
        <v>10</v>
      </c>
      <c r="D118">
        <v>100000</v>
      </c>
      <c r="E118">
        <v>14560.6</v>
      </c>
      <c r="F118">
        <v>1456.06</v>
      </c>
      <c r="G118">
        <v>72838</v>
      </c>
      <c r="H118">
        <v>1865148</v>
      </c>
      <c r="I118">
        <v>0</v>
      </c>
      <c r="J118">
        <v>5.0023999999999997</v>
      </c>
    </row>
    <row r="119" spans="1:10">
      <c r="A119" t="s">
        <v>10</v>
      </c>
      <c r="B119" t="s">
        <v>25</v>
      </c>
      <c r="C119">
        <v>100</v>
      </c>
      <c r="D119">
        <v>100000</v>
      </c>
      <c r="E119">
        <v>13820.4</v>
      </c>
      <c r="F119">
        <v>138.20400000000001</v>
      </c>
      <c r="G119">
        <v>69112</v>
      </c>
      <c r="H119">
        <v>3301861</v>
      </c>
      <c r="I119">
        <v>0</v>
      </c>
      <c r="J119">
        <v>5.0007200000000003</v>
      </c>
    </row>
    <row r="120" spans="1:10">
      <c r="A120" t="s">
        <v>10</v>
      </c>
      <c r="B120" t="s">
        <v>25</v>
      </c>
      <c r="C120">
        <v>500</v>
      </c>
      <c r="D120">
        <v>100000</v>
      </c>
      <c r="E120">
        <v>15498.3</v>
      </c>
      <c r="F120">
        <v>30.996500000000001</v>
      </c>
      <c r="G120">
        <v>77569</v>
      </c>
      <c r="H120">
        <v>3690396</v>
      </c>
      <c r="I120">
        <v>0</v>
      </c>
      <c r="J120">
        <v>5.0050100000000004</v>
      </c>
    </row>
    <row r="121" spans="1:10">
      <c r="A121" t="s">
        <v>10</v>
      </c>
      <c r="B121" t="s">
        <v>25</v>
      </c>
      <c r="C121">
        <v>1000</v>
      </c>
      <c r="D121">
        <v>100000</v>
      </c>
      <c r="E121">
        <v>16025.3</v>
      </c>
      <c r="F121">
        <v>16.025300000000001</v>
      </c>
      <c r="G121">
        <v>80207</v>
      </c>
      <c r="H121">
        <v>3654322</v>
      </c>
      <c r="I121">
        <v>0</v>
      </c>
      <c r="J121">
        <v>5.0050100000000004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charts</vt:lpstr>
      <vt:lpstr>pivot</vt:lpstr>
      <vt:lpstr>seq</vt:lpstr>
      <vt:lpstr>par</vt:lpstr>
      <vt:lpstr>all</vt:lpstr>
      <vt:lpstr>csv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McIntyre</dc:creator>
  <cp:lastModifiedBy>George McIntyre</cp:lastModifiedBy>
  <dcterms:created xsi:type="dcterms:W3CDTF">2026-03-02T19:58:21Z</dcterms:created>
  <dcterms:modified xsi:type="dcterms:W3CDTF">2026-03-04T20:26:57Z</dcterms:modified>
</cp:coreProperties>
</file>