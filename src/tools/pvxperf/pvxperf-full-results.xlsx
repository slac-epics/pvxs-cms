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eorge/Documents/Business/SLAC/FY26 - Deliverables/"/>
    </mc:Choice>
  </mc:AlternateContent>
  <xr:revisionPtr revIDLastSave="0" documentId="13_ncr:9_{7F7F2989-824D-5A46-831D-F9F25DD424E8}" xr6:coauthVersionLast="47" xr6:coauthVersionMax="47" xr10:uidLastSave="{00000000-0000-0000-0000-000000000000}"/>
  <bookViews>
    <workbookView xWindow="8120" yWindow="3280" windowWidth="45980" windowHeight="25300" activeTab="4" xr2:uid="{852995C9-3A88-0C47-98B1-269C06BFC988}"/>
  </bookViews>
  <sheets>
    <sheet name="Summary" sheetId="4" r:id="rId1"/>
    <sheet name="csv" sheetId="1" r:id="rId2"/>
    <sheet name="seq" sheetId="2" r:id="rId3"/>
    <sheet name="par" sheetId="5" r:id="rId4"/>
    <sheet name="charts" sheetId="3" r:id="rId5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5" l="1"/>
  <c r="E4" i="5" s="1"/>
  <c r="E5" i="5" s="1"/>
  <c r="E4" i="2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3" i="2"/>
  <c r="E2" i="2"/>
  <c r="B2" i="5" a="1"/>
  <c r="C3" i="5" a="1"/>
  <c r="C2" i="5" a="1"/>
  <c r="B3" i="5" a="1"/>
  <c r="A2" i="5" a="1"/>
  <c r="C4" i="5" a="1"/>
  <c r="A3" i="5" a="1"/>
  <c r="B25" i="2" a="1"/>
  <c r="C3" i="2" a="1"/>
  <c r="C8" i="2" a="1"/>
  <c r="C13" i="2" a="1"/>
  <c r="C18" i="2" a="1"/>
  <c r="C23" i="2" a="1"/>
  <c r="C5" i="2" a="1"/>
  <c r="C20" i="2" a="1"/>
  <c r="C11" i="2" a="1"/>
  <c r="C21" i="2" a="1"/>
  <c r="C12" i="2" a="1"/>
  <c r="C9" i="2" a="1"/>
  <c r="C24" i="2" a="1"/>
  <c r="C10" i="2" a="1"/>
  <c r="C25" i="2" a="1"/>
  <c r="C6" i="2" a="1"/>
  <c r="C17" i="2" a="1"/>
  <c r="C4" i="2" a="1"/>
  <c r="C14" i="2" a="1"/>
  <c r="C19" i="2" a="1"/>
  <c r="C15" i="2" a="1"/>
  <c r="C16" i="2" a="1"/>
  <c r="C7" i="2" a="1"/>
  <c r="C22" i="2" a="1"/>
  <c r="C2" i="2" a="1"/>
  <c r="B3" i="2" a="1"/>
  <c r="B8" i="2" a="1"/>
  <c r="B13" i="2" a="1"/>
  <c r="B18" i="2" a="1"/>
  <c r="B23" i="2" a="1"/>
  <c r="B10" i="2" a="1"/>
  <c r="B15" i="2" a="1"/>
  <c r="B11" i="2" a="1"/>
  <c r="B16" i="2" a="1"/>
  <c r="B7" i="2" a="1"/>
  <c r="B17" i="2" a="1"/>
  <c r="B4" i="2" a="1"/>
  <c r="B9" i="2" a="1"/>
  <c r="B14" i="2" a="1"/>
  <c r="B19" i="2" a="1"/>
  <c r="B24" i="2" a="1"/>
  <c r="B5" i="2" a="1"/>
  <c r="B20" i="2" a="1"/>
  <c r="B6" i="2" a="1"/>
  <c r="B21" i="2" a="1"/>
  <c r="B12" i="2" a="1"/>
  <c r="B22" i="2" a="1"/>
  <c r="B2" i="2" a="1"/>
  <c r="A3" i="2" a="1"/>
  <c r="A8" i="2" a="1"/>
  <c r="A13" i="2" a="1"/>
  <c r="A18" i="2" a="1"/>
  <c r="A23" i="2" a="1"/>
  <c r="A19" i="2" a="1"/>
  <c r="A24" i="2" a="1"/>
  <c r="A15" i="2" a="1"/>
  <c r="A20" i="2" a="1"/>
  <c r="A11" i="2" a="1"/>
  <c r="A12" i="2" a="1"/>
  <c r="A9" i="2" a="1"/>
  <c r="A10" i="2" a="1"/>
  <c r="A6" i="2" a="1"/>
  <c r="A21" i="2" a="1"/>
  <c r="A17" i="2" a="1"/>
  <c r="A4" i="2" a="1"/>
  <c r="A14" i="2" a="1"/>
  <c r="A5" i="2" a="1"/>
  <c r="A25" i="2" a="1"/>
  <c r="A16" i="2" a="1"/>
  <c r="A7" i="2" a="1"/>
  <c r="A22" i="2" a="1"/>
  <c r="A2" i="2" a="1"/>
  <c r="A3" i="5" l="1"/>
  <c r="C4" i="5"/>
  <c r="A2" i="5"/>
  <c r="B3" i="5"/>
  <c r="C2" i="5"/>
  <c r="C3" i="5"/>
  <c r="B2" i="5"/>
  <c r="E6" i="5"/>
  <c r="B25" i="2"/>
  <c r="C22" i="2"/>
  <c r="C7" i="2"/>
  <c r="C16" i="2"/>
  <c r="C15" i="2"/>
  <c r="C19" i="2"/>
  <c r="C14" i="2"/>
  <c r="C4" i="2"/>
  <c r="C17" i="2"/>
  <c r="C6" i="2"/>
  <c r="C25" i="2"/>
  <c r="C10" i="2"/>
  <c r="C24" i="2"/>
  <c r="C9" i="2"/>
  <c r="C12" i="2"/>
  <c r="C21" i="2"/>
  <c r="C11" i="2"/>
  <c r="C20" i="2"/>
  <c r="C5" i="2"/>
  <c r="C23" i="2"/>
  <c r="C18" i="2"/>
  <c r="C13" i="2"/>
  <c r="C8" i="2"/>
  <c r="C3" i="2"/>
  <c r="C2" i="2"/>
  <c r="B22" i="2"/>
  <c r="B12" i="2"/>
  <c r="B21" i="2"/>
  <c r="B6" i="2"/>
  <c r="B20" i="2"/>
  <c r="B5" i="2"/>
  <c r="B24" i="2"/>
  <c r="B19" i="2"/>
  <c r="B14" i="2"/>
  <c r="B9" i="2"/>
  <c r="B4" i="2"/>
  <c r="B17" i="2"/>
  <c r="B7" i="2"/>
  <c r="B16" i="2"/>
  <c r="B11" i="2"/>
  <c r="B15" i="2"/>
  <c r="B10" i="2"/>
  <c r="B23" i="2"/>
  <c r="B18" i="2"/>
  <c r="B13" i="2"/>
  <c r="B8" i="2"/>
  <c r="B3" i="2"/>
  <c r="B2" i="2"/>
  <c r="A22" i="2"/>
  <c r="A7" i="2"/>
  <c r="A16" i="2"/>
  <c r="A25" i="2"/>
  <c r="A5" i="2"/>
  <c r="A14" i="2"/>
  <c r="A4" i="2"/>
  <c r="A17" i="2"/>
  <c r="A21" i="2"/>
  <c r="A6" i="2"/>
  <c r="A10" i="2"/>
  <c r="A9" i="2"/>
  <c r="A12" i="2"/>
  <c r="A11" i="2"/>
  <c r="A20" i="2"/>
  <c r="A15" i="2"/>
  <c r="A24" i="2"/>
  <c r="A19" i="2"/>
  <c r="A23" i="2"/>
  <c r="A18" i="2"/>
  <c r="A13" i="2"/>
  <c r="A8" i="2"/>
  <c r="A3" i="2"/>
  <c r="A2" i="2"/>
  <c r="A5" i="5" a="1"/>
  <c r="B4" i="5" a="1"/>
  <c r="A4" i="5" a="1"/>
  <c r="B5" i="5" a="1"/>
  <c r="C5" i="5" a="1"/>
  <c r="C5" i="5" l="1"/>
  <c r="B5" i="5"/>
  <c r="A4" i="5"/>
  <c r="B4" i="5"/>
  <c r="A5" i="5"/>
  <c r="E7" i="5"/>
  <c r="C6" i="5" a="1"/>
  <c r="B6" i="5" a="1"/>
  <c r="A6" i="5" a="1"/>
  <c r="A6" i="5" l="1"/>
  <c r="B6" i="5"/>
  <c r="C6" i="5"/>
  <c r="E8" i="5"/>
  <c r="B7" i="5" a="1"/>
  <c r="A7" i="5" a="1"/>
  <c r="C7" i="5" a="1"/>
  <c r="C7" i="5" l="1"/>
  <c r="A7" i="5"/>
  <c r="B7" i="5"/>
  <c r="E9" i="5"/>
  <c r="A8" i="5" a="1"/>
  <c r="C8" i="5" a="1"/>
  <c r="B8" i="5" a="1"/>
  <c r="B8" i="5" l="1"/>
  <c r="C8" i="5"/>
  <c r="A8" i="5"/>
  <c r="E10" i="5"/>
  <c r="C9" i="5" a="1"/>
  <c r="B9" i="5" a="1"/>
  <c r="A9" i="5" a="1"/>
  <c r="A9" i="5" l="1"/>
  <c r="B9" i="5"/>
  <c r="C9" i="5"/>
  <c r="E11" i="5"/>
  <c r="C10" i="5" a="1"/>
  <c r="A10" i="5" a="1"/>
  <c r="B10" i="5" a="1"/>
  <c r="B10" i="5" l="1"/>
  <c r="A10" i="5"/>
  <c r="C10" i="5"/>
  <c r="E12" i="5"/>
  <c r="C11" i="5" a="1"/>
  <c r="A11" i="5" a="1"/>
  <c r="B11" i="5" a="1"/>
  <c r="B11" i="5" l="1"/>
  <c r="A11" i="5"/>
  <c r="C11" i="5"/>
  <c r="E13" i="5"/>
  <c r="B12" i="5" a="1"/>
  <c r="C12" i="5" a="1"/>
  <c r="A12" i="5" a="1"/>
  <c r="A12" i="5" l="1"/>
  <c r="C12" i="5"/>
  <c r="B12" i="5"/>
  <c r="E14" i="5"/>
  <c r="A13" i="5" a="1"/>
  <c r="C13" i="5" a="1"/>
  <c r="B13" i="5" a="1"/>
  <c r="B13" i="5" l="1"/>
  <c r="C13" i="5"/>
  <c r="A13" i="5"/>
  <c r="E15" i="5"/>
  <c r="C14" i="5" a="1"/>
  <c r="A14" i="5" a="1"/>
  <c r="B14" i="5" a="1"/>
  <c r="B14" i="5" l="1"/>
  <c r="A14" i="5"/>
  <c r="C14" i="5"/>
  <c r="E16" i="5"/>
  <c r="C15" i="5" a="1"/>
  <c r="B15" i="5" a="1"/>
  <c r="A15" i="5" a="1"/>
  <c r="A15" i="5" l="1"/>
  <c r="B15" i="5"/>
  <c r="C15" i="5"/>
  <c r="E17" i="5"/>
  <c r="C16" i="5" a="1"/>
  <c r="A16" i="5" a="1"/>
  <c r="B16" i="5" a="1"/>
  <c r="B16" i="5" l="1"/>
  <c r="A16" i="5"/>
  <c r="C16" i="5"/>
  <c r="E18" i="5"/>
  <c r="B17" i="5" a="1"/>
  <c r="C17" i="5" a="1"/>
  <c r="A17" i="5" a="1"/>
  <c r="A17" i="5" l="1"/>
  <c r="C17" i="5"/>
  <c r="B17" i="5"/>
  <c r="E19" i="5"/>
  <c r="A18" i="5" a="1"/>
  <c r="B18" i="5" a="1"/>
  <c r="C18" i="5" a="1"/>
  <c r="C18" i="5" l="1"/>
  <c r="B18" i="5"/>
  <c r="A18" i="5"/>
  <c r="E20" i="5"/>
  <c r="C19" i="5" a="1"/>
  <c r="B19" i="5" a="1"/>
  <c r="A19" i="5" a="1"/>
  <c r="A19" i="5" l="1"/>
  <c r="B19" i="5"/>
  <c r="C19" i="5"/>
  <c r="E21" i="5"/>
  <c r="B20" i="5" a="1"/>
  <c r="C20" i="5" a="1"/>
  <c r="A20" i="5" a="1"/>
  <c r="A20" i="5" l="1"/>
  <c r="C20" i="5"/>
  <c r="B20" i="5"/>
  <c r="E22" i="5"/>
  <c r="C21" i="5" a="1"/>
  <c r="B21" i="5" a="1"/>
  <c r="A21" i="5" a="1"/>
  <c r="A21" i="5" l="1"/>
  <c r="B21" i="5"/>
  <c r="C21" i="5"/>
  <c r="E23" i="5"/>
  <c r="C22" i="5" a="1"/>
  <c r="A22" i="5" a="1"/>
  <c r="B22" i="5" a="1"/>
  <c r="B22" i="5" l="1"/>
  <c r="A22" i="5"/>
  <c r="C22" i="5"/>
  <c r="E24" i="5"/>
  <c r="A23" i="5" a="1"/>
  <c r="B23" i="5" a="1"/>
  <c r="C23" i="5" a="1"/>
  <c r="C23" i="5" l="1"/>
  <c r="B23" i="5"/>
  <c r="A23" i="5"/>
  <c r="E25" i="5"/>
  <c r="B24" i="5" a="1"/>
  <c r="A24" i="5" a="1"/>
  <c r="C24" i="5" a="1"/>
  <c r="C24" i="5" l="1"/>
  <c r="A24" i="5"/>
  <c r="B24" i="5"/>
  <c r="B25" i="5" a="1"/>
  <c r="C25" i="5" a="1"/>
  <c r="A25" i="5" a="1"/>
  <c r="A25" i="5" l="1"/>
  <c r="C25" i="5"/>
  <c r="B25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<sst xmlns="http://schemas.openxmlformats.org/spreadsheetml/2006/main" count="150" uniqueCount="38">
  <si>
    <t>protocol</t>
  </si>
  <si>
    <t>mode</t>
  </si>
  <si>
    <t>payload_bytes</t>
  </si>
  <si>
    <t>updates_per_second</t>
  </si>
  <si>
    <t>total_updates</t>
  </si>
  <si>
    <t>drops</t>
  </si>
  <si>
    <t>errors</t>
  </si>
  <si>
    <t>duration_seconds</t>
  </si>
  <si>
    <t>CA</t>
  </si>
  <si>
    <t>sequential</t>
  </si>
  <si>
    <t>parallel</t>
  </si>
  <si>
    <t>PVA</t>
  </si>
  <si>
    <t>SPVA</t>
  </si>
  <si>
    <t>SPVA_CERTMON</t>
  </si>
  <si>
    <t>PVXS_LOG="pvxs.perf=INFO" ./bin/darwin-aarch64/pvxperf --setup-cms --keychain test/O.darwin-aarch64/server1.p12 --duration 5 --output /tmp/pvxperf-full-results.csv 2&gt;&amp;1</t>
  </si>
  <si>
    <t>cat /tmp/pvxperf-full-results.csv</t>
  </si>
  <si>
    <t>Full Benchmark Results — pvxperf</t>
  </si>
  <si>
    <t>Sequential Mode (1 subscription)</t>
  </si>
  <si>
    <t>Payload</t>
  </si>
  <si>
    <t>1B</t>
  </si>
  <si>
    <t>10B</t>
  </si>
  <si>
    <t>100B</t>
  </si>
  <si>
    <t>1KB</t>
  </si>
  <si>
    <t>10KB</t>
  </si>
  <si>
    <t>100KB</t>
  </si>
  <si>
    <t>Parallel Mode (1000 subscriptions)</t>
  </si>
  <si>
    <t>Key Observations</t>
  </si>
  <si>
    <t>Platform: macOS darwin-aarch64 (Apple Silicon)</t>
  </si>
  <si>
    <t>EPICS Base: R7.0.10 | PVXS: 1.5.0 | OpenSSL: 3.6.1</t>
  </si>
  <si>
    <t>Config: 1000 parallel subscriptions, 5s measurement per data point, 100 warm-up updates</t>
  </si>
  <si>
    <t>Transport: loopback (127.0.0.1), isolated server ↔ client in same process</t>
  </si>
  <si>
    <t>All values are updates/second (application-layer throughput). Drops are expected — they reflect squashed updates under load, not errors.</t>
  </si>
  <si>
    <t>PVA vs SPVA vs SPVA_CERTMON: Virtually identical throughput. TLS encryption and certificate monitoring add no measurable overhead.</t>
  </si>
  <si>
    <t>PVA/SPVA parallel scales ~4-7x over sequential for small payloads (1B–100B), tapering at larger sizes.</t>
  </si>
  <si>
    <t>CA parallel scales ~2-3x over sequential for small payloads but degrades faster with payload size.</t>
  </si>
  <si>
    <t>PVA/SPVA outperform CA by ~3-4x in parallel mode for small-to-medium payloads.</t>
  </si>
  <si>
    <t>100KB payloads are the equalizer — all protocols converge to ~15K/s, indicating the bottleneck shifts to memory/serialization.</t>
  </si>
  <si>
    <t>row to choose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</si>
</sst>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70" formatCode="_(* #,##0_);_(* \(#,##0\);_(* &quot;-&quot;??_);_(@_)"/>
  </numFmts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3" fontId="0" fillId="0" borderId="0" xfId="0" applyNumberFormat="1"/>
    <xf numFmtId="43" fontId="0" fillId="0" borderId="0" xfId="1" applyFont="1"/>
    <xf numFmtId="170" fontId="0" fillId="0" borderId="0" xfId="1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Max Data</a:t>
            </a:r>
            <a:r>
              <a:rPr lang="en-GB" baseline="0"/>
              <a:t> Throughput: </a:t>
            </a:r>
            <a:r>
              <a:rPr lang="en-GB"/>
              <a:t>1,000 Parallel Subscriptions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par!$A$2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par!$B$2:$B$7</c:f>
              <c:numCache>
                <c:formatCode>_(* #,##0_);_(* \(#,##0\);_(* "-"??_);_(@_)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  <c:pt idx="5">
                  <c:v>100000</c:v>
                </c:pt>
              </c:numCache>
            </c:numRef>
          </c:cat>
          <c:val>
            <c:numRef>
              <c:f>par!$C$2:$C$7</c:f>
              <c:numCache>
                <c:formatCode>_(* #,##0.00_);_(* \(#,##0.00\);_(* "-"??_);_(@_)</c:formatCode>
                <c:ptCount val="6"/>
                <c:pt idx="0">
                  <c:v>62029.3</c:v>
                </c:pt>
                <c:pt idx="1">
                  <c:v>60871.4</c:v>
                </c:pt>
                <c:pt idx="2">
                  <c:v>61039.5</c:v>
                </c:pt>
                <c:pt idx="3">
                  <c:v>57119.6</c:v>
                </c:pt>
                <c:pt idx="4">
                  <c:v>25996.400000000001</c:v>
                </c:pt>
                <c:pt idx="5">
                  <c:v>9561.98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5C-E74A-9ACB-83576166ED79}"/>
            </c:ext>
          </c:extLst>
        </c:ser>
        <c:ser>
          <c:idx val="1"/>
          <c:order val="1"/>
          <c:tx>
            <c:strRef>
              <c:f>par!$A$8</c:f>
              <c:strCache>
                <c:ptCount val="1"/>
                <c:pt idx="0">
                  <c:v>PVA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par!$B$2:$B$7</c:f>
              <c:numCache>
                <c:formatCode>_(* #,##0_);_(* \(#,##0\);_(* "-"??_);_(@_)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  <c:pt idx="5">
                  <c:v>100000</c:v>
                </c:pt>
              </c:numCache>
            </c:numRef>
          </c:cat>
          <c:val>
            <c:numRef>
              <c:f>par!$C$8:$C$13</c:f>
              <c:numCache>
                <c:formatCode>_(* #,##0.00_);_(* \(#,##0.00\);_(* "-"??_);_(@_)</c:formatCode>
                <c:ptCount val="6"/>
                <c:pt idx="0">
                  <c:v>218022</c:v>
                </c:pt>
                <c:pt idx="1">
                  <c:v>213742</c:v>
                </c:pt>
                <c:pt idx="2">
                  <c:v>231945</c:v>
                </c:pt>
                <c:pt idx="3">
                  <c:v>121495</c:v>
                </c:pt>
                <c:pt idx="4">
                  <c:v>63386.9</c:v>
                </c:pt>
                <c:pt idx="5">
                  <c:v>14413.8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5C-E74A-9ACB-83576166ED79}"/>
            </c:ext>
          </c:extLst>
        </c:ser>
        <c:ser>
          <c:idx val="2"/>
          <c:order val="2"/>
          <c:tx>
            <c:strRef>
              <c:f>par!$A$14</c:f>
              <c:strCache>
                <c:ptCount val="1"/>
                <c:pt idx="0">
                  <c:v>SPVA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par!$B$2:$B$7</c:f>
              <c:numCache>
                <c:formatCode>_(* #,##0_);_(* \(#,##0\);_(* "-"??_);_(@_)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  <c:pt idx="5">
                  <c:v>100000</c:v>
                </c:pt>
              </c:numCache>
            </c:numRef>
          </c:cat>
          <c:val>
            <c:numRef>
              <c:f>par!$C$14:$C$19</c:f>
              <c:numCache>
                <c:formatCode>_(* #,##0.00_);_(* \(#,##0.00\);_(* "-"??_);_(@_)</c:formatCode>
                <c:ptCount val="6"/>
                <c:pt idx="0">
                  <c:v>217929</c:v>
                </c:pt>
                <c:pt idx="1">
                  <c:v>224452</c:v>
                </c:pt>
                <c:pt idx="2">
                  <c:v>241168</c:v>
                </c:pt>
                <c:pt idx="3">
                  <c:v>119882</c:v>
                </c:pt>
                <c:pt idx="4">
                  <c:v>63658.6</c:v>
                </c:pt>
                <c:pt idx="5">
                  <c:v>14663.4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E5C-E74A-9ACB-83576166ED79}"/>
            </c:ext>
          </c:extLst>
        </c:ser>
        <c:ser>
          <c:idx val="3"/>
          <c:order val="3"/>
          <c:tx>
            <c:strRef>
              <c:f>par!$A$20</c:f>
              <c:strCache>
                <c:ptCount val="1"/>
                <c:pt idx="0">
                  <c:v>SPVA_CERTMON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par!$B$2:$B$7</c:f>
              <c:numCache>
                <c:formatCode>_(* #,##0_);_(* \(#,##0\);_(* "-"??_);_(@_)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  <c:pt idx="5">
                  <c:v>100000</c:v>
                </c:pt>
              </c:numCache>
            </c:numRef>
          </c:cat>
          <c:val>
            <c:numRef>
              <c:f>par!$C$20:$C$25</c:f>
              <c:numCache>
                <c:formatCode>_(* #,##0.00_);_(* \(#,##0.00\);_(* "-"??_);_(@_)</c:formatCode>
                <c:ptCount val="6"/>
                <c:pt idx="0">
                  <c:v>225735</c:v>
                </c:pt>
                <c:pt idx="1">
                  <c:v>219484</c:v>
                </c:pt>
                <c:pt idx="2">
                  <c:v>227533</c:v>
                </c:pt>
                <c:pt idx="3">
                  <c:v>115092</c:v>
                </c:pt>
                <c:pt idx="4">
                  <c:v>61420.3</c:v>
                </c:pt>
                <c:pt idx="5">
                  <c:v>14640.9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E5C-E74A-9ACB-83576166ED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1345472"/>
        <c:axId val="951348608"/>
      </c:lineChart>
      <c:catAx>
        <c:axId val="951345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Payload Size</a:t>
                </a:r>
                <a:r>
                  <a:rPr lang="en-GB" baseline="0"/>
                  <a:t> (Bytes)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348608"/>
        <c:crosses val="autoZero"/>
        <c:auto val="1"/>
        <c:lblAlgn val="ctr"/>
        <c:lblOffset val="100"/>
        <c:noMultiLvlLbl val="0"/>
      </c:catAx>
      <c:valAx>
        <c:axId val="951348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Max</a:t>
                </a:r>
                <a:r>
                  <a:rPr lang="en-GB" baseline="0"/>
                  <a:t> Updates Per Second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345472"/>
        <c:crosses val="autoZero"/>
        <c:crossBetween val="between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Max Data</a:t>
            </a:r>
            <a:r>
              <a:rPr lang="en-GB" baseline="0"/>
              <a:t> Throughput: </a:t>
            </a:r>
            <a:r>
              <a:rPr lang="en-GB"/>
              <a:t>1,000 Sequencial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seq!$A$2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seq!$B$2:$B$7</c:f>
              <c:numCache>
                <c:formatCode>_(* #,##0_);_(* \(#,##0\);_(* "-"??_);_(@_)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  <c:pt idx="5">
                  <c:v>100000</c:v>
                </c:pt>
              </c:numCache>
            </c:numRef>
          </c:cat>
          <c:val>
            <c:numRef>
              <c:f>seq!$C$2:$C$7</c:f>
              <c:numCache>
                <c:formatCode>_(* #,##0.00_);_(* \(#,##0.00\);_(* "-"??_);_(@_)</c:formatCode>
                <c:ptCount val="6"/>
                <c:pt idx="0">
                  <c:v>21101.5</c:v>
                </c:pt>
                <c:pt idx="1">
                  <c:v>19889</c:v>
                </c:pt>
                <c:pt idx="2">
                  <c:v>22383.9</c:v>
                </c:pt>
                <c:pt idx="3">
                  <c:v>46375.9</c:v>
                </c:pt>
                <c:pt idx="4">
                  <c:v>31549.599999999999</c:v>
                </c:pt>
                <c:pt idx="5">
                  <c:v>23875.3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20-FF4F-83B1-9E3B55E3FC08}"/>
            </c:ext>
          </c:extLst>
        </c:ser>
        <c:ser>
          <c:idx val="1"/>
          <c:order val="1"/>
          <c:tx>
            <c:strRef>
              <c:f>seq!$A$8</c:f>
              <c:strCache>
                <c:ptCount val="1"/>
                <c:pt idx="0">
                  <c:v>PVA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seq!$B$2:$B$7</c:f>
              <c:numCache>
                <c:formatCode>_(* #,##0_);_(* \(#,##0\);_(* "-"??_);_(@_)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  <c:pt idx="5">
                  <c:v>100000</c:v>
                </c:pt>
              </c:numCache>
            </c:numRef>
          </c:cat>
          <c:val>
            <c:numRef>
              <c:f>seq!$C$8:$C$13</c:f>
              <c:numCache>
                <c:formatCode>_(* #,##0.00_);_(* \(#,##0.00\);_(* "-"??_);_(@_)</c:formatCode>
                <c:ptCount val="6"/>
                <c:pt idx="0">
                  <c:v>34124.199999999997</c:v>
                </c:pt>
                <c:pt idx="1">
                  <c:v>35047.4</c:v>
                </c:pt>
                <c:pt idx="2">
                  <c:v>35567.800000000003</c:v>
                </c:pt>
                <c:pt idx="3">
                  <c:v>34739.300000000003</c:v>
                </c:pt>
                <c:pt idx="4">
                  <c:v>35436.9</c:v>
                </c:pt>
                <c:pt idx="5">
                  <c:v>15179.2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20-FF4F-83B1-9E3B55E3FC08}"/>
            </c:ext>
          </c:extLst>
        </c:ser>
        <c:ser>
          <c:idx val="2"/>
          <c:order val="2"/>
          <c:tx>
            <c:strRef>
              <c:f>seq!$A$14</c:f>
              <c:strCache>
                <c:ptCount val="1"/>
                <c:pt idx="0">
                  <c:v>SPVA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seq!$B$2:$B$7</c:f>
              <c:numCache>
                <c:formatCode>_(* #,##0_);_(* \(#,##0\);_(* "-"??_);_(@_)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  <c:pt idx="5">
                  <c:v>100000</c:v>
                </c:pt>
              </c:numCache>
            </c:numRef>
          </c:cat>
          <c:val>
            <c:numRef>
              <c:f>seq!$C$14:$C$19</c:f>
              <c:numCache>
                <c:formatCode>_(* #,##0.00_);_(* \(#,##0.00\);_(* "-"??_);_(@_)</c:formatCode>
                <c:ptCount val="6"/>
                <c:pt idx="0">
                  <c:v>35927.199999999997</c:v>
                </c:pt>
                <c:pt idx="1">
                  <c:v>35864.9</c:v>
                </c:pt>
                <c:pt idx="2">
                  <c:v>34567</c:v>
                </c:pt>
                <c:pt idx="3">
                  <c:v>33272.9</c:v>
                </c:pt>
                <c:pt idx="4">
                  <c:v>34857.300000000003</c:v>
                </c:pt>
                <c:pt idx="5">
                  <c:v>15067.6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20-FF4F-83B1-9E3B55E3FC08}"/>
            </c:ext>
          </c:extLst>
        </c:ser>
        <c:ser>
          <c:idx val="3"/>
          <c:order val="3"/>
          <c:tx>
            <c:strRef>
              <c:f>seq!$A$20</c:f>
              <c:strCache>
                <c:ptCount val="1"/>
                <c:pt idx="0">
                  <c:v>SPVA_CERTMON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seq!$B$2:$B$7</c:f>
              <c:numCache>
                <c:formatCode>_(* #,##0_);_(* \(#,##0\);_(* "-"??_);_(@_)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  <c:pt idx="5">
                  <c:v>100000</c:v>
                </c:pt>
              </c:numCache>
            </c:numRef>
          </c:cat>
          <c:val>
            <c:numRef>
              <c:f>seq!$C$20:$C$25</c:f>
              <c:numCache>
                <c:formatCode>_(* #,##0.00_);_(* \(#,##0.00\);_(* "-"??_);_(@_)</c:formatCode>
                <c:ptCount val="6"/>
                <c:pt idx="0">
                  <c:v>35177.599999999999</c:v>
                </c:pt>
                <c:pt idx="1">
                  <c:v>35993.800000000003</c:v>
                </c:pt>
                <c:pt idx="2">
                  <c:v>35154.9</c:v>
                </c:pt>
                <c:pt idx="3">
                  <c:v>35027.699999999997</c:v>
                </c:pt>
                <c:pt idx="4">
                  <c:v>35706.6</c:v>
                </c:pt>
                <c:pt idx="5">
                  <c:v>14931.5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20-FF4F-83B1-9E3B55E3F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1345472"/>
        <c:axId val="951348608"/>
      </c:lineChart>
      <c:catAx>
        <c:axId val="951345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Payload Size</a:t>
                </a:r>
                <a:r>
                  <a:rPr lang="en-GB" baseline="0"/>
                  <a:t> (Bytes)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348608"/>
        <c:crosses val="autoZero"/>
        <c:auto val="1"/>
        <c:lblAlgn val="ctr"/>
        <c:lblOffset val="100"/>
        <c:noMultiLvlLbl val="0"/>
      </c:catAx>
      <c:valAx>
        <c:axId val="951348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Max</a:t>
                </a:r>
                <a:r>
                  <a:rPr lang="en-GB" baseline="0"/>
                  <a:t> Updates Per Second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345472"/>
        <c:crosses val="autoZero"/>
        <c:crossBetween val="between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571500</xdr:colOff>
      <xdr:row>3</xdr:row>
      <xdr:rowOff>101600</xdr:rowOff>
    </xdr:from>
    <xdr:to>
      <xdr:col>25</xdr:col>
      <xdr:colOff>127000</xdr:colOff>
      <xdr:row>37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3F384B-E750-9B40-9DF3-3D78FCD308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698500</xdr:colOff>
      <xdr:row>3</xdr:row>
      <xdr:rowOff>25400</xdr:rowOff>
    </xdr:from>
    <xdr:to>
      <xdr:col>12</xdr:col>
      <xdr:colOff>254000</xdr:colOff>
      <xdr:row>37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7D58C6-F4F5-CA49-BCE9-0D5068D41A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4A7AE-4F31-524B-8CBA-31FFDDCC6F0F}">
  <dimension ref="B2:F39"/>
  <sheetViews>
    <sheetView workbookViewId="0">
      <selection activeCell="D9" sqref="D9"/>
    </sheetView>
  </sheetViews>
  <sheetFormatPr baseColWidth="10" defaultRowHeight="16" x14ac:dyDescent="0.2"/>
  <sheetData>
    <row r="2" spans="2:2" x14ac:dyDescent="0.2">
      <c r="B2" t="s">
        <v>14</v>
      </c>
    </row>
    <row r="3" spans="2:2" x14ac:dyDescent="0.2">
      <c r="B3" t="s">
        <v>15</v>
      </c>
    </row>
    <row r="10" spans="2:2" x14ac:dyDescent="0.2">
      <c r="B10" t="s">
        <v>16</v>
      </c>
    </row>
    <row r="11" spans="2:2" x14ac:dyDescent="0.2">
      <c r="B11" t="s">
        <v>27</v>
      </c>
    </row>
    <row r="12" spans="2:2" x14ac:dyDescent="0.2">
      <c r="B12" t="s">
        <v>28</v>
      </c>
    </row>
    <row r="13" spans="2:2" x14ac:dyDescent="0.2">
      <c r="B13" t="s">
        <v>29</v>
      </c>
    </row>
    <row r="14" spans="2:2" x14ac:dyDescent="0.2">
      <c r="B14" t="s">
        <v>30</v>
      </c>
    </row>
    <row r="16" spans="2:2" x14ac:dyDescent="0.2">
      <c r="B16" t="s">
        <v>17</v>
      </c>
    </row>
    <row r="17" spans="2:6" x14ac:dyDescent="0.2">
      <c r="B17" t="s">
        <v>18</v>
      </c>
      <c r="C17" t="s">
        <v>8</v>
      </c>
      <c r="D17" t="s">
        <v>11</v>
      </c>
      <c r="E17" t="s">
        <v>12</v>
      </c>
      <c r="F17" t="s">
        <v>13</v>
      </c>
    </row>
    <row r="18" spans="2:6" x14ac:dyDescent="0.2">
      <c r="B18" t="s">
        <v>19</v>
      </c>
      <c r="C18" s="1">
        <v>21102</v>
      </c>
      <c r="D18" s="1">
        <v>34124</v>
      </c>
      <c r="E18" s="1">
        <v>35927</v>
      </c>
      <c r="F18" s="1">
        <v>35178</v>
      </c>
    </row>
    <row r="19" spans="2:6" x14ac:dyDescent="0.2">
      <c r="B19" t="s">
        <v>20</v>
      </c>
      <c r="C19" s="1">
        <v>19889</v>
      </c>
      <c r="D19" s="1">
        <v>35047</v>
      </c>
      <c r="E19" s="1">
        <v>35865</v>
      </c>
      <c r="F19" s="1">
        <v>35994</v>
      </c>
    </row>
    <row r="20" spans="2:6" x14ac:dyDescent="0.2">
      <c r="B20" t="s">
        <v>21</v>
      </c>
      <c r="C20" s="1">
        <v>22384</v>
      </c>
      <c r="D20" s="1">
        <v>35568</v>
      </c>
      <c r="E20" s="1">
        <v>34567</v>
      </c>
      <c r="F20" s="1">
        <v>35155</v>
      </c>
    </row>
    <row r="21" spans="2:6" x14ac:dyDescent="0.2">
      <c r="B21" t="s">
        <v>22</v>
      </c>
      <c r="C21" s="1">
        <v>46376</v>
      </c>
      <c r="D21" s="1">
        <v>34739</v>
      </c>
      <c r="E21" s="1">
        <v>33273</v>
      </c>
      <c r="F21" s="1">
        <v>35028</v>
      </c>
    </row>
    <row r="22" spans="2:6" x14ac:dyDescent="0.2">
      <c r="B22" t="s">
        <v>23</v>
      </c>
      <c r="C22" s="1">
        <v>31550</v>
      </c>
      <c r="D22" s="1">
        <v>35437</v>
      </c>
      <c r="E22" s="1">
        <v>34857</v>
      </c>
      <c r="F22" s="1">
        <v>35707</v>
      </c>
    </row>
    <row r="23" spans="2:6" x14ac:dyDescent="0.2">
      <c r="B23" t="s">
        <v>24</v>
      </c>
      <c r="C23" s="1">
        <v>23875</v>
      </c>
      <c r="D23" s="1">
        <v>15179</v>
      </c>
      <c r="E23" s="1">
        <v>15068</v>
      </c>
      <c r="F23" s="1">
        <v>14932</v>
      </c>
    </row>
    <row r="24" spans="2:6" x14ac:dyDescent="0.2">
      <c r="B24" t="s">
        <v>25</v>
      </c>
    </row>
    <row r="25" spans="2:6" x14ac:dyDescent="0.2">
      <c r="B25" t="s">
        <v>18</v>
      </c>
      <c r="C25" t="s">
        <v>8</v>
      </c>
      <c r="D25" t="s">
        <v>11</v>
      </c>
      <c r="E25" t="s">
        <v>12</v>
      </c>
      <c r="F25" t="s">
        <v>13</v>
      </c>
    </row>
    <row r="26" spans="2:6" x14ac:dyDescent="0.2">
      <c r="B26" t="s">
        <v>19</v>
      </c>
      <c r="C26" s="1">
        <v>62029</v>
      </c>
      <c r="D26" s="1">
        <v>218022</v>
      </c>
      <c r="E26" s="1">
        <v>217929</v>
      </c>
      <c r="F26" s="1">
        <v>225735</v>
      </c>
    </row>
    <row r="27" spans="2:6" x14ac:dyDescent="0.2">
      <c r="B27" t="s">
        <v>20</v>
      </c>
      <c r="C27" s="1">
        <v>60871</v>
      </c>
      <c r="D27" s="1">
        <v>213742</v>
      </c>
      <c r="E27" s="1">
        <v>224452</v>
      </c>
      <c r="F27" s="1">
        <v>219484</v>
      </c>
    </row>
    <row r="28" spans="2:6" x14ac:dyDescent="0.2">
      <c r="B28" t="s">
        <v>21</v>
      </c>
      <c r="C28" s="1">
        <v>61040</v>
      </c>
      <c r="D28" s="1">
        <v>231945</v>
      </c>
      <c r="E28" s="1">
        <v>241168</v>
      </c>
      <c r="F28" s="1">
        <v>227533</v>
      </c>
    </row>
    <row r="29" spans="2:6" x14ac:dyDescent="0.2">
      <c r="B29" t="s">
        <v>22</v>
      </c>
      <c r="C29" s="1">
        <v>57120</v>
      </c>
      <c r="D29" s="1">
        <v>121495</v>
      </c>
      <c r="E29" s="1">
        <v>119882</v>
      </c>
      <c r="F29" s="1">
        <v>115092</v>
      </c>
    </row>
    <row r="30" spans="2:6" x14ac:dyDescent="0.2">
      <c r="B30" t="s">
        <v>23</v>
      </c>
      <c r="C30" s="1">
        <v>25996</v>
      </c>
      <c r="D30" s="1">
        <v>63387</v>
      </c>
      <c r="E30" s="1">
        <v>63659</v>
      </c>
      <c r="F30" s="1">
        <v>61420</v>
      </c>
    </row>
    <row r="31" spans="2:6" x14ac:dyDescent="0.2">
      <c r="B31" t="s">
        <v>24</v>
      </c>
      <c r="C31" s="1">
        <v>9562</v>
      </c>
      <c r="D31" s="1">
        <v>14414</v>
      </c>
      <c r="E31" s="1">
        <v>14663</v>
      </c>
      <c r="F31" s="1">
        <v>14641</v>
      </c>
    </row>
    <row r="32" spans="2:6" x14ac:dyDescent="0.2">
      <c r="B32" t="s">
        <v>31</v>
      </c>
    </row>
    <row r="34" spans="2:2" x14ac:dyDescent="0.2">
      <c r="B34" t="s">
        <v>26</v>
      </c>
    </row>
    <row r="35" spans="2:2" x14ac:dyDescent="0.2">
      <c r="B35" t="s">
        <v>32</v>
      </c>
    </row>
    <row r="36" spans="2:2" x14ac:dyDescent="0.2">
      <c r="B36" t="s">
        <v>33</v>
      </c>
    </row>
    <row r="37" spans="2:2" x14ac:dyDescent="0.2">
      <c r="B37" t="s">
        <v>34</v>
      </c>
    </row>
    <row r="38" spans="2:2" x14ac:dyDescent="0.2">
      <c r="B38" t="s">
        <v>35</v>
      </c>
    </row>
    <row r="39" spans="2:2" x14ac:dyDescent="0.2">
      <c r="B39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6B3D0-15AD-EE4A-A72E-4B8855E3A394}">
  <dimension ref="A1:H49"/>
  <sheetViews>
    <sheetView workbookViewId="0">
      <selection activeCell="A2" sqref="A2:D49"/>
    </sheetView>
  </sheetViews>
  <sheetFormatPr baseColWidth="10" defaultRowHeight="16" x14ac:dyDescent="0.2"/>
  <cols>
    <col min="1" max="1" width="15" bestFit="1" customWidth="1"/>
    <col min="2" max="2" width="9.6640625" bestFit="1" customWidth="1"/>
    <col min="3" max="3" width="12.83203125" bestFit="1" customWidth="1"/>
    <col min="4" max="4" width="18.1640625" bestFit="1" customWidth="1"/>
    <col min="5" max="5" width="12.5" bestFit="1" customWidth="1"/>
    <col min="6" max="6" width="9.1640625" bestFit="1" customWidth="1"/>
    <col min="7" max="7" width="6" bestFit="1" customWidth="1"/>
    <col min="8" max="8" width="15.5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8</v>
      </c>
      <c r="B2" t="s">
        <v>9</v>
      </c>
      <c r="C2">
        <v>1</v>
      </c>
      <c r="D2">
        <v>21101.5</v>
      </c>
      <c r="E2">
        <v>105604</v>
      </c>
      <c r="F2">
        <v>12584589</v>
      </c>
      <c r="G2">
        <v>0</v>
      </c>
      <c r="H2">
        <v>5.0045799999999998</v>
      </c>
    </row>
    <row r="3" spans="1:8" x14ac:dyDescent="0.2">
      <c r="A3" t="s">
        <v>8</v>
      </c>
      <c r="B3" t="s">
        <v>10</v>
      </c>
      <c r="C3">
        <v>1</v>
      </c>
      <c r="D3">
        <v>62029.3</v>
      </c>
      <c r="E3">
        <v>310453</v>
      </c>
      <c r="F3">
        <v>80888847</v>
      </c>
      <c r="G3">
        <v>0</v>
      </c>
      <c r="H3">
        <v>5.0049400000000004</v>
      </c>
    </row>
    <row r="4" spans="1:8" x14ac:dyDescent="0.2">
      <c r="A4" t="s">
        <v>8</v>
      </c>
      <c r="B4" t="s">
        <v>9</v>
      </c>
      <c r="C4">
        <v>10</v>
      </c>
      <c r="D4">
        <v>19889</v>
      </c>
      <c r="E4">
        <v>99544</v>
      </c>
      <c r="F4">
        <v>12492045</v>
      </c>
      <c r="G4">
        <v>0</v>
      </c>
      <c r="H4">
        <v>5.0049700000000001</v>
      </c>
    </row>
    <row r="5" spans="1:8" x14ac:dyDescent="0.2">
      <c r="A5" t="s">
        <v>8</v>
      </c>
      <c r="B5" t="s">
        <v>10</v>
      </c>
      <c r="C5">
        <v>10</v>
      </c>
      <c r="D5">
        <v>60871.4</v>
      </c>
      <c r="E5">
        <v>304661</v>
      </c>
      <c r="F5">
        <v>81103857</v>
      </c>
      <c r="G5">
        <v>0</v>
      </c>
      <c r="H5">
        <v>5.0049900000000003</v>
      </c>
    </row>
    <row r="6" spans="1:8" x14ac:dyDescent="0.2">
      <c r="A6" t="s">
        <v>8</v>
      </c>
      <c r="B6" t="s">
        <v>9</v>
      </c>
      <c r="C6">
        <v>100</v>
      </c>
      <c r="D6">
        <v>22383.9</v>
      </c>
      <c r="E6">
        <v>111966</v>
      </c>
      <c r="F6">
        <v>12270338</v>
      </c>
      <c r="G6">
        <v>0</v>
      </c>
      <c r="H6">
        <v>5.0020699999999998</v>
      </c>
    </row>
    <row r="7" spans="1:8" x14ac:dyDescent="0.2">
      <c r="A7" t="s">
        <v>8</v>
      </c>
      <c r="B7" t="s">
        <v>10</v>
      </c>
      <c r="C7">
        <v>100</v>
      </c>
      <c r="D7">
        <v>61039.5</v>
      </c>
      <c r="E7">
        <v>305378</v>
      </c>
      <c r="F7">
        <v>81365084</v>
      </c>
      <c r="G7">
        <v>0</v>
      </c>
      <c r="H7">
        <v>5.0029500000000002</v>
      </c>
    </row>
    <row r="8" spans="1:8" x14ac:dyDescent="0.2">
      <c r="A8" t="s">
        <v>8</v>
      </c>
      <c r="B8" t="s">
        <v>9</v>
      </c>
      <c r="C8">
        <v>1000</v>
      </c>
      <c r="D8">
        <v>46375.9</v>
      </c>
      <c r="E8">
        <v>232101</v>
      </c>
      <c r="F8">
        <v>11573893</v>
      </c>
      <c r="G8">
        <v>0</v>
      </c>
      <c r="H8">
        <v>5.0047800000000002</v>
      </c>
    </row>
    <row r="9" spans="1:8" x14ac:dyDescent="0.2">
      <c r="A9" t="s">
        <v>8</v>
      </c>
      <c r="B9" t="s">
        <v>10</v>
      </c>
      <c r="C9">
        <v>1000</v>
      </c>
      <c r="D9">
        <v>57119.6</v>
      </c>
      <c r="E9">
        <v>285849</v>
      </c>
      <c r="F9">
        <v>80871072</v>
      </c>
      <c r="G9">
        <v>0</v>
      </c>
      <c r="H9">
        <v>5.0044000000000004</v>
      </c>
    </row>
    <row r="10" spans="1:8" x14ac:dyDescent="0.2">
      <c r="A10" t="s">
        <v>8</v>
      </c>
      <c r="B10" t="s">
        <v>9</v>
      </c>
      <c r="C10">
        <v>10000</v>
      </c>
      <c r="D10">
        <v>31549.599999999999</v>
      </c>
      <c r="E10">
        <v>157753</v>
      </c>
      <c r="F10">
        <v>7389223</v>
      </c>
      <c r="G10">
        <v>0</v>
      </c>
      <c r="H10">
        <v>5.0001600000000002</v>
      </c>
    </row>
    <row r="11" spans="1:8" x14ac:dyDescent="0.2">
      <c r="A11" t="s">
        <v>8</v>
      </c>
      <c r="B11" t="s">
        <v>10</v>
      </c>
      <c r="C11">
        <v>10000</v>
      </c>
      <c r="D11">
        <v>25996.400000000001</v>
      </c>
      <c r="E11">
        <v>130065</v>
      </c>
      <c r="F11">
        <v>80424711</v>
      </c>
      <c r="G11">
        <v>0</v>
      </c>
      <c r="H11">
        <v>5.00319</v>
      </c>
    </row>
    <row r="12" spans="1:8" x14ac:dyDescent="0.2">
      <c r="A12" t="s">
        <v>8</v>
      </c>
      <c r="B12" t="s">
        <v>9</v>
      </c>
      <c r="C12">
        <v>100000</v>
      </c>
      <c r="D12">
        <v>23875.3</v>
      </c>
      <c r="E12">
        <v>119493</v>
      </c>
      <c r="F12">
        <v>798048</v>
      </c>
      <c r="G12">
        <v>0</v>
      </c>
      <c r="H12">
        <v>5.00488</v>
      </c>
    </row>
    <row r="13" spans="1:8" x14ac:dyDescent="0.2">
      <c r="A13" t="s">
        <v>8</v>
      </c>
      <c r="B13" t="s">
        <v>10</v>
      </c>
      <c r="C13">
        <v>100000</v>
      </c>
      <c r="D13">
        <v>9561.98</v>
      </c>
      <c r="E13">
        <v>47837</v>
      </c>
      <c r="F13">
        <v>75155919</v>
      </c>
      <c r="G13">
        <v>0</v>
      </c>
      <c r="H13">
        <v>5.0028300000000003</v>
      </c>
    </row>
    <row r="14" spans="1:8" x14ac:dyDescent="0.2">
      <c r="A14" t="s">
        <v>11</v>
      </c>
      <c r="B14" t="s">
        <v>9</v>
      </c>
      <c r="C14">
        <v>1</v>
      </c>
      <c r="D14">
        <v>34124.199999999997</v>
      </c>
      <c r="E14">
        <v>170695</v>
      </c>
      <c r="F14">
        <v>462090</v>
      </c>
      <c r="G14">
        <v>0</v>
      </c>
      <c r="H14">
        <v>5.0021699999999996</v>
      </c>
    </row>
    <row r="15" spans="1:8" x14ac:dyDescent="0.2">
      <c r="A15" t="s">
        <v>11</v>
      </c>
      <c r="B15" t="s">
        <v>10</v>
      </c>
      <c r="C15">
        <v>1</v>
      </c>
      <c r="D15">
        <v>218022</v>
      </c>
      <c r="E15">
        <v>1091208</v>
      </c>
      <c r="F15">
        <v>3500882</v>
      </c>
      <c r="G15">
        <v>0</v>
      </c>
      <c r="H15">
        <v>5.0050400000000002</v>
      </c>
    </row>
    <row r="16" spans="1:8" x14ac:dyDescent="0.2">
      <c r="A16" t="s">
        <v>11</v>
      </c>
      <c r="B16" t="s">
        <v>9</v>
      </c>
      <c r="C16">
        <v>10</v>
      </c>
      <c r="D16">
        <v>35047.4</v>
      </c>
      <c r="E16">
        <v>175370</v>
      </c>
      <c r="F16">
        <v>464758</v>
      </c>
      <c r="G16">
        <v>0</v>
      </c>
      <c r="H16">
        <v>5.0038</v>
      </c>
    </row>
    <row r="17" spans="1:8" x14ac:dyDescent="0.2">
      <c r="A17" t="s">
        <v>11</v>
      </c>
      <c r="B17" t="s">
        <v>10</v>
      </c>
      <c r="C17">
        <v>10</v>
      </c>
      <c r="D17">
        <v>213742</v>
      </c>
      <c r="E17">
        <v>1068891</v>
      </c>
      <c r="F17">
        <v>3435387</v>
      </c>
      <c r="G17">
        <v>0</v>
      </c>
      <c r="H17">
        <v>5.0008400000000002</v>
      </c>
    </row>
    <row r="18" spans="1:8" x14ac:dyDescent="0.2">
      <c r="A18" t="s">
        <v>11</v>
      </c>
      <c r="B18" t="s">
        <v>9</v>
      </c>
      <c r="C18">
        <v>100</v>
      </c>
      <c r="D18">
        <v>35567.800000000003</v>
      </c>
      <c r="E18">
        <v>177903</v>
      </c>
      <c r="F18">
        <v>472558</v>
      </c>
      <c r="G18">
        <v>0</v>
      </c>
      <c r="H18">
        <v>5.0017899999999997</v>
      </c>
    </row>
    <row r="19" spans="1:8" x14ac:dyDescent="0.2">
      <c r="A19" t="s">
        <v>11</v>
      </c>
      <c r="B19" t="s">
        <v>10</v>
      </c>
      <c r="C19">
        <v>100</v>
      </c>
      <c r="D19">
        <v>231945</v>
      </c>
      <c r="E19">
        <v>1160439</v>
      </c>
      <c r="F19">
        <v>3169798</v>
      </c>
      <c r="G19">
        <v>0</v>
      </c>
      <c r="H19">
        <v>5.0030700000000001</v>
      </c>
    </row>
    <row r="20" spans="1:8" x14ac:dyDescent="0.2">
      <c r="A20" t="s">
        <v>11</v>
      </c>
      <c r="B20" t="s">
        <v>9</v>
      </c>
      <c r="C20">
        <v>1000</v>
      </c>
      <c r="D20">
        <v>34739.300000000003</v>
      </c>
      <c r="E20">
        <v>173783</v>
      </c>
      <c r="F20">
        <v>458583</v>
      </c>
      <c r="G20">
        <v>0</v>
      </c>
      <c r="H20">
        <v>5.0024899999999999</v>
      </c>
    </row>
    <row r="21" spans="1:8" x14ac:dyDescent="0.2">
      <c r="A21" t="s">
        <v>11</v>
      </c>
      <c r="B21" t="s">
        <v>10</v>
      </c>
      <c r="C21">
        <v>1000</v>
      </c>
      <c r="D21">
        <v>121495</v>
      </c>
      <c r="E21">
        <v>608058</v>
      </c>
      <c r="F21">
        <v>3650977</v>
      </c>
      <c r="G21">
        <v>0</v>
      </c>
      <c r="H21">
        <v>5.00481</v>
      </c>
    </row>
    <row r="22" spans="1:8" x14ac:dyDescent="0.2">
      <c r="A22" t="s">
        <v>11</v>
      </c>
      <c r="B22" t="s">
        <v>9</v>
      </c>
      <c r="C22">
        <v>10000</v>
      </c>
      <c r="D22">
        <v>35436.9</v>
      </c>
      <c r="E22">
        <v>177285</v>
      </c>
      <c r="F22">
        <v>378326</v>
      </c>
      <c r="G22">
        <v>0</v>
      </c>
      <c r="H22">
        <v>5.0028300000000003</v>
      </c>
    </row>
    <row r="23" spans="1:8" x14ac:dyDescent="0.2">
      <c r="A23" t="s">
        <v>11</v>
      </c>
      <c r="B23" t="s">
        <v>10</v>
      </c>
      <c r="C23">
        <v>10000</v>
      </c>
      <c r="D23">
        <v>63386.9</v>
      </c>
      <c r="E23">
        <v>317066</v>
      </c>
      <c r="F23">
        <v>3607145</v>
      </c>
      <c r="G23">
        <v>0</v>
      </c>
      <c r="H23">
        <v>5.0020699999999998</v>
      </c>
    </row>
    <row r="24" spans="1:8" x14ac:dyDescent="0.2">
      <c r="A24" t="s">
        <v>11</v>
      </c>
      <c r="B24" t="s">
        <v>9</v>
      </c>
      <c r="C24">
        <v>100000</v>
      </c>
      <c r="D24">
        <v>15179.2</v>
      </c>
      <c r="E24">
        <v>75901</v>
      </c>
      <c r="F24">
        <v>293843</v>
      </c>
      <c r="G24">
        <v>0</v>
      </c>
      <c r="H24">
        <v>5.0003299999999999</v>
      </c>
    </row>
    <row r="25" spans="1:8" x14ac:dyDescent="0.2">
      <c r="A25" t="s">
        <v>11</v>
      </c>
      <c r="B25" t="s">
        <v>10</v>
      </c>
      <c r="C25">
        <v>100000</v>
      </c>
      <c r="D25">
        <v>14413.8</v>
      </c>
      <c r="E25">
        <v>72142</v>
      </c>
      <c r="F25">
        <v>3641249</v>
      </c>
      <c r="G25">
        <v>0</v>
      </c>
      <c r="H25">
        <v>5.0050499999999998</v>
      </c>
    </row>
    <row r="26" spans="1:8" x14ac:dyDescent="0.2">
      <c r="A26" t="s">
        <v>12</v>
      </c>
      <c r="B26" t="s">
        <v>9</v>
      </c>
      <c r="C26">
        <v>1</v>
      </c>
      <c r="D26">
        <v>35927.199999999997</v>
      </c>
      <c r="E26">
        <v>179715</v>
      </c>
      <c r="F26">
        <v>471217</v>
      </c>
      <c r="G26">
        <v>0</v>
      </c>
      <c r="H26">
        <v>5.0022000000000002</v>
      </c>
    </row>
    <row r="27" spans="1:8" x14ac:dyDescent="0.2">
      <c r="A27" t="s">
        <v>12</v>
      </c>
      <c r="B27" t="s">
        <v>10</v>
      </c>
      <c r="C27">
        <v>1</v>
      </c>
      <c r="D27">
        <v>217929</v>
      </c>
      <c r="E27">
        <v>1089748</v>
      </c>
      <c r="F27">
        <v>3471469</v>
      </c>
      <c r="G27">
        <v>0</v>
      </c>
      <c r="H27">
        <v>5.00047</v>
      </c>
    </row>
    <row r="28" spans="1:8" x14ac:dyDescent="0.2">
      <c r="A28" t="s">
        <v>12</v>
      </c>
      <c r="B28" t="s">
        <v>9</v>
      </c>
      <c r="C28">
        <v>10</v>
      </c>
      <c r="D28">
        <v>35864.9</v>
      </c>
      <c r="E28">
        <v>179366</v>
      </c>
      <c r="F28">
        <v>468311</v>
      </c>
      <c r="G28">
        <v>0</v>
      </c>
      <c r="H28">
        <v>5.00115</v>
      </c>
    </row>
    <row r="29" spans="1:8" x14ac:dyDescent="0.2">
      <c r="A29" t="s">
        <v>12</v>
      </c>
      <c r="B29" t="s">
        <v>10</v>
      </c>
      <c r="C29">
        <v>10</v>
      </c>
      <c r="D29">
        <v>224452</v>
      </c>
      <c r="E29">
        <v>1122541</v>
      </c>
      <c r="F29">
        <v>3402232</v>
      </c>
      <c r="G29">
        <v>0</v>
      </c>
      <c r="H29">
        <v>5.0012600000000003</v>
      </c>
    </row>
    <row r="30" spans="1:8" x14ac:dyDescent="0.2">
      <c r="A30" t="s">
        <v>12</v>
      </c>
      <c r="B30" t="s">
        <v>9</v>
      </c>
      <c r="C30">
        <v>100</v>
      </c>
      <c r="D30">
        <v>34567</v>
      </c>
      <c r="E30">
        <v>172838</v>
      </c>
      <c r="F30">
        <v>460366</v>
      </c>
      <c r="G30">
        <v>0</v>
      </c>
      <c r="H30">
        <v>5.0000900000000001</v>
      </c>
    </row>
    <row r="31" spans="1:8" x14ac:dyDescent="0.2">
      <c r="A31" t="s">
        <v>12</v>
      </c>
      <c r="B31" t="s">
        <v>10</v>
      </c>
      <c r="C31">
        <v>100</v>
      </c>
      <c r="D31">
        <v>241168</v>
      </c>
      <c r="E31">
        <v>1207047</v>
      </c>
      <c r="F31">
        <v>3072541</v>
      </c>
      <c r="G31">
        <v>0</v>
      </c>
      <c r="H31">
        <v>5.0050100000000004</v>
      </c>
    </row>
    <row r="32" spans="1:8" x14ac:dyDescent="0.2">
      <c r="A32" t="s">
        <v>12</v>
      </c>
      <c r="B32" t="s">
        <v>9</v>
      </c>
      <c r="C32">
        <v>1000</v>
      </c>
      <c r="D32">
        <v>33272.9</v>
      </c>
      <c r="E32">
        <v>166378</v>
      </c>
      <c r="F32">
        <v>446474</v>
      </c>
      <c r="G32">
        <v>0</v>
      </c>
      <c r="H32">
        <v>5.0004099999999996</v>
      </c>
    </row>
    <row r="33" spans="1:8" x14ac:dyDescent="0.2">
      <c r="A33" t="s">
        <v>12</v>
      </c>
      <c r="B33" t="s">
        <v>10</v>
      </c>
      <c r="C33">
        <v>1000</v>
      </c>
      <c r="D33">
        <v>119882</v>
      </c>
      <c r="E33">
        <v>599644</v>
      </c>
      <c r="F33">
        <v>3573838</v>
      </c>
      <c r="G33">
        <v>0</v>
      </c>
      <c r="H33">
        <v>5.0019299999999998</v>
      </c>
    </row>
    <row r="34" spans="1:8" x14ac:dyDescent="0.2">
      <c r="A34" t="s">
        <v>12</v>
      </c>
      <c r="B34" t="s">
        <v>9</v>
      </c>
      <c r="C34">
        <v>10000</v>
      </c>
      <c r="D34">
        <v>34857.300000000003</v>
      </c>
      <c r="E34">
        <v>174366</v>
      </c>
      <c r="F34">
        <v>377115</v>
      </c>
      <c r="G34">
        <v>0</v>
      </c>
      <c r="H34">
        <v>5.0022900000000003</v>
      </c>
    </row>
    <row r="35" spans="1:8" x14ac:dyDescent="0.2">
      <c r="A35" t="s">
        <v>12</v>
      </c>
      <c r="B35" t="s">
        <v>10</v>
      </c>
      <c r="C35">
        <v>10000</v>
      </c>
      <c r="D35">
        <v>63658.6</v>
      </c>
      <c r="E35">
        <v>318613</v>
      </c>
      <c r="F35">
        <v>3624988</v>
      </c>
      <c r="G35">
        <v>0</v>
      </c>
      <c r="H35">
        <v>5.00502</v>
      </c>
    </row>
    <row r="36" spans="1:8" x14ac:dyDescent="0.2">
      <c r="A36" t="s">
        <v>12</v>
      </c>
      <c r="B36" t="s">
        <v>9</v>
      </c>
      <c r="C36">
        <v>100000</v>
      </c>
      <c r="D36">
        <v>15067.6</v>
      </c>
      <c r="E36">
        <v>75382</v>
      </c>
      <c r="F36">
        <v>290823</v>
      </c>
      <c r="G36">
        <v>0</v>
      </c>
      <c r="H36">
        <v>5.00291</v>
      </c>
    </row>
    <row r="37" spans="1:8" x14ac:dyDescent="0.2">
      <c r="A37" t="s">
        <v>12</v>
      </c>
      <c r="B37" t="s">
        <v>10</v>
      </c>
      <c r="C37">
        <v>100000</v>
      </c>
      <c r="D37">
        <v>14663.4</v>
      </c>
      <c r="E37">
        <v>73341</v>
      </c>
      <c r="F37">
        <v>3638887</v>
      </c>
      <c r="G37">
        <v>0</v>
      </c>
      <c r="H37">
        <v>5.0016499999999997</v>
      </c>
    </row>
    <row r="38" spans="1:8" x14ac:dyDescent="0.2">
      <c r="A38" t="s">
        <v>13</v>
      </c>
      <c r="B38" t="s">
        <v>9</v>
      </c>
      <c r="C38">
        <v>1</v>
      </c>
      <c r="D38">
        <v>35177.599999999999</v>
      </c>
      <c r="E38">
        <v>176026</v>
      </c>
      <c r="F38">
        <v>461654</v>
      </c>
      <c r="G38">
        <v>0</v>
      </c>
      <c r="H38">
        <v>5.0039199999999999</v>
      </c>
    </row>
    <row r="39" spans="1:8" x14ac:dyDescent="0.2">
      <c r="A39" t="s">
        <v>13</v>
      </c>
      <c r="B39" t="s">
        <v>10</v>
      </c>
      <c r="C39">
        <v>1</v>
      </c>
      <c r="D39">
        <v>225735</v>
      </c>
      <c r="E39">
        <v>1129021</v>
      </c>
      <c r="F39">
        <v>3402764</v>
      </c>
      <c r="G39">
        <v>0</v>
      </c>
      <c r="H39">
        <v>5.0015400000000003</v>
      </c>
    </row>
    <row r="40" spans="1:8" x14ac:dyDescent="0.2">
      <c r="A40" t="s">
        <v>13</v>
      </c>
      <c r="B40" t="s">
        <v>9</v>
      </c>
      <c r="C40">
        <v>10</v>
      </c>
      <c r="D40">
        <v>35993.800000000003</v>
      </c>
      <c r="E40">
        <v>180085</v>
      </c>
      <c r="F40">
        <v>468402</v>
      </c>
      <c r="G40">
        <v>0</v>
      </c>
      <c r="H40">
        <v>5.0032300000000003</v>
      </c>
    </row>
    <row r="41" spans="1:8" x14ac:dyDescent="0.2">
      <c r="A41" t="s">
        <v>13</v>
      </c>
      <c r="B41" t="s">
        <v>10</v>
      </c>
      <c r="C41">
        <v>10</v>
      </c>
      <c r="D41">
        <v>219484</v>
      </c>
      <c r="E41">
        <v>1098524</v>
      </c>
      <c r="F41">
        <v>3438451</v>
      </c>
      <c r="G41">
        <v>0</v>
      </c>
      <c r="H41">
        <v>5.0050299999999996</v>
      </c>
    </row>
    <row r="42" spans="1:8" x14ac:dyDescent="0.2">
      <c r="A42" t="s">
        <v>13</v>
      </c>
      <c r="B42" t="s">
        <v>9</v>
      </c>
      <c r="C42">
        <v>100</v>
      </c>
      <c r="D42">
        <v>35154.9</v>
      </c>
      <c r="E42">
        <v>175951</v>
      </c>
      <c r="F42">
        <v>461640</v>
      </c>
      <c r="G42">
        <v>0</v>
      </c>
      <c r="H42">
        <v>5.00502</v>
      </c>
    </row>
    <row r="43" spans="1:8" x14ac:dyDescent="0.2">
      <c r="A43" t="s">
        <v>13</v>
      </c>
      <c r="B43" t="s">
        <v>10</v>
      </c>
      <c r="C43">
        <v>100</v>
      </c>
      <c r="D43">
        <v>227533</v>
      </c>
      <c r="E43">
        <v>1137713</v>
      </c>
      <c r="F43">
        <v>3203373</v>
      </c>
      <c r="G43">
        <v>0</v>
      </c>
      <c r="H43">
        <v>5.0002199999999997</v>
      </c>
    </row>
    <row r="44" spans="1:8" x14ac:dyDescent="0.2">
      <c r="A44" t="s">
        <v>13</v>
      </c>
      <c r="B44" t="s">
        <v>9</v>
      </c>
      <c r="C44">
        <v>1000</v>
      </c>
      <c r="D44">
        <v>35027.699999999997</v>
      </c>
      <c r="E44">
        <v>175310</v>
      </c>
      <c r="F44">
        <v>457377</v>
      </c>
      <c r="G44">
        <v>0</v>
      </c>
      <c r="H44">
        <v>5.0049000000000001</v>
      </c>
    </row>
    <row r="45" spans="1:8" x14ac:dyDescent="0.2">
      <c r="A45" t="s">
        <v>13</v>
      </c>
      <c r="B45" t="s">
        <v>10</v>
      </c>
      <c r="C45">
        <v>1000</v>
      </c>
      <c r="D45">
        <v>115092</v>
      </c>
      <c r="E45">
        <v>575482</v>
      </c>
      <c r="F45">
        <v>3699230</v>
      </c>
      <c r="G45">
        <v>0</v>
      </c>
      <c r="H45">
        <v>5.0001699999999998</v>
      </c>
    </row>
    <row r="46" spans="1:8" x14ac:dyDescent="0.2">
      <c r="A46" t="s">
        <v>13</v>
      </c>
      <c r="B46" t="s">
        <v>9</v>
      </c>
      <c r="C46">
        <v>10000</v>
      </c>
      <c r="D46">
        <v>35706.6</v>
      </c>
      <c r="E46">
        <v>178541</v>
      </c>
      <c r="F46">
        <v>380639</v>
      </c>
      <c r="G46">
        <v>0</v>
      </c>
      <c r="H46">
        <v>5.0002300000000002</v>
      </c>
    </row>
    <row r="47" spans="1:8" x14ac:dyDescent="0.2">
      <c r="A47" t="s">
        <v>13</v>
      </c>
      <c r="B47" t="s">
        <v>10</v>
      </c>
      <c r="C47">
        <v>10000</v>
      </c>
      <c r="D47">
        <v>61420.3</v>
      </c>
      <c r="E47">
        <v>307311</v>
      </c>
      <c r="F47">
        <v>3604982</v>
      </c>
      <c r="G47">
        <v>0</v>
      </c>
      <c r="H47">
        <v>5.0034099999999997</v>
      </c>
    </row>
    <row r="48" spans="1:8" x14ac:dyDescent="0.2">
      <c r="A48" t="s">
        <v>13</v>
      </c>
      <c r="B48" t="s">
        <v>9</v>
      </c>
      <c r="C48">
        <v>100000</v>
      </c>
      <c r="D48">
        <v>14931.5</v>
      </c>
      <c r="E48">
        <v>74674</v>
      </c>
      <c r="F48">
        <v>291394</v>
      </c>
      <c r="G48">
        <v>0</v>
      </c>
      <c r="H48">
        <v>5.0011099999999997</v>
      </c>
    </row>
    <row r="49" spans="1:8" x14ac:dyDescent="0.2">
      <c r="A49" t="s">
        <v>13</v>
      </c>
      <c r="B49" t="s">
        <v>10</v>
      </c>
      <c r="C49">
        <v>100000</v>
      </c>
      <c r="D49">
        <v>14640.9</v>
      </c>
      <c r="E49">
        <v>73278</v>
      </c>
      <c r="F49">
        <v>3635145</v>
      </c>
      <c r="G49">
        <v>0</v>
      </c>
      <c r="H49">
        <v>5.00502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963FE-D9CE-C845-ACDD-EDE07DC02DD0}">
  <dimension ref="A1:H25"/>
  <sheetViews>
    <sheetView workbookViewId="0">
      <selection activeCell="B2" sqref="B2:E25"/>
    </sheetView>
  </sheetViews>
  <sheetFormatPr baseColWidth="10" defaultRowHeight="16" x14ac:dyDescent="0.2"/>
  <cols>
    <col min="1" max="1" width="15" bestFit="1" customWidth="1"/>
    <col min="2" max="2" width="12.83203125" bestFit="1" customWidth="1"/>
    <col min="3" max="3" width="18.1640625" bestFit="1" customWidth="1"/>
    <col min="4" max="4" width="4.5" customWidth="1"/>
    <col min="5" max="5" width="4.1640625" customWidth="1"/>
    <col min="6" max="6" width="11.5" bestFit="1" customWidth="1"/>
    <col min="7" max="7" width="12.5" bestFit="1" customWidth="1"/>
    <col min="8" max="8" width="13.5" bestFit="1" customWidth="1"/>
  </cols>
  <sheetData>
    <row r="1" spans="1:8" x14ac:dyDescent="0.2">
      <c r="A1" t="s">
        <v>0</v>
      </c>
      <c r="B1" t="s">
        <v>2</v>
      </c>
      <c r="C1" t="s">
        <v>3</v>
      </c>
      <c r="D1" s="3"/>
      <c r="E1" s="3" t="s">
        <v>37</v>
      </c>
      <c r="F1" s="3"/>
      <c r="G1" s="3"/>
      <c r="H1" s="3"/>
    </row>
    <row r="2" spans="1:8" x14ac:dyDescent="0.2">
      <c r="A2" t="str" cm="1">
        <f t="array" aca="1" ref="A2" ca="1">INDIRECT(CONCATENATE("csv!A",$E2))</f>
        <v>CA</v>
      </c>
      <c r="B2" s="3" cm="1">
        <f t="array" aca="1" ref="B2" ca="1">INDIRECT(CONCATENATE("csv!C",$E2))</f>
        <v>1</v>
      </c>
      <c r="C2" s="2" cm="1">
        <f t="array" aca="1" ref="C2" ca="1">INDIRECT(CONCATENATE("csv!D",$E2))</f>
        <v>21101.5</v>
      </c>
      <c r="D2" s="2"/>
      <c r="E2" s="3">
        <f>2</f>
        <v>2</v>
      </c>
    </row>
    <row r="3" spans="1:8" x14ac:dyDescent="0.2">
      <c r="A3" t="str" cm="1">
        <f t="array" aca="1" ref="A3" ca="1">INDIRECT(CONCATENATE("csv!A",$E3))</f>
        <v>CA</v>
      </c>
      <c r="B3" s="3" cm="1">
        <f t="array" aca="1" ref="B3" ca="1">INDIRECT(CONCATENATE("csv!C",$E3))</f>
        <v>10</v>
      </c>
      <c r="C3" s="2" cm="1">
        <f t="array" aca="1" ref="C3" ca="1">INDIRECT(CONCATENATE("csv!D",$E3))</f>
        <v>19889</v>
      </c>
      <c r="D3" s="2"/>
      <c r="E3" s="3">
        <f>E2+2</f>
        <v>4</v>
      </c>
    </row>
    <row r="4" spans="1:8" x14ac:dyDescent="0.2">
      <c r="A4" t="str" cm="1">
        <f t="array" aca="1" ref="A4" ca="1">INDIRECT(CONCATENATE("csv!A",$E4))</f>
        <v>CA</v>
      </c>
      <c r="B4" s="3" cm="1">
        <f t="array" aca="1" ref="B4" ca="1">INDIRECT(CONCATENATE("csv!C",$E4))</f>
        <v>100</v>
      </c>
      <c r="C4" s="2" cm="1">
        <f t="array" aca="1" ref="C4" ca="1">INDIRECT(CONCATENATE("csv!D",$E4))</f>
        <v>22383.9</v>
      </c>
      <c r="D4" s="2"/>
      <c r="E4" s="3">
        <f t="shared" ref="E4:E43" si="0">E3+2</f>
        <v>6</v>
      </c>
    </row>
    <row r="5" spans="1:8" x14ac:dyDescent="0.2">
      <c r="A5" t="str" cm="1">
        <f t="array" aca="1" ref="A5" ca="1">INDIRECT(CONCATENATE("csv!A",$E5))</f>
        <v>CA</v>
      </c>
      <c r="B5" s="3" cm="1">
        <f t="array" aca="1" ref="B5" ca="1">INDIRECT(CONCATENATE("csv!C",$E5))</f>
        <v>1000</v>
      </c>
      <c r="C5" s="2" cm="1">
        <f t="array" aca="1" ref="C5" ca="1">INDIRECT(CONCATENATE("csv!D",$E5))</f>
        <v>46375.9</v>
      </c>
      <c r="D5" s="2"/>
      <c r="E5" s="3">
        <f t="shared" si="0"/>
        <v>8</v>
      </c>
    </row>
    <row r="6" spans="1:8" x14ac:dyDescent="0.2">
      <c r="A6" t="str" cm="1">
        <f t="array" aca="1" ref="A6" ca="1">INDIRECT(CONCATENATE("csv!A",$E6))</f>
        <v>CA</v>
      </c>
      <c r="B6" s="3" cm="1">
        <f t="array" aca="1" ref="B6" ca="1">INDIRECT(CONCATENATE("csv!C",$E6))</f>
        <v>10000</v>
      </c>
      <c r="C6" s="2" cm="1">
        <f t="array" aca="1" ref="C6" ca="1">INDIRECT(CONCATENATE("csv!D",$E6))</f>
        <v>31549.599999999999</v>
      </c>
      <c r="D6" s="2"/>
      <c r="E6" s="3">
        <f t="shared" si="0"/>
        <v>10</v>
      </c>
    </row>
    <row r="7" spans="1:8" x14ac:dyDescent="0.2">
      <c r="A7" t="str" cm="1">
        <f t="array" aca="1" ref="A7" ca="1">INDIRECT(CONCATENATE("csv!A",$E7))</f>
        <v>CA</v>
      </c>
      <c r="B7" s="3" cm="1">
        <f t="array" aca="1" ref="B7" ca="1">INDIRECT(CONCATENATE("csv!C",$E7))</f>
        <v>100000</v>
      </c>
      <c r="C7" s="2" cm="1">
        <f t="array" aca="1" ref="C7" ca="1">INDIRECT(CONCATENATE("csv!D",$E7))</f>
        <v>23875.3</v>
      </c>
      <c r="D7" s="2"/>
      <c r="E7" s="3">
        <f t="shared" si="0"/>
        <v>12</v>
      </c>
    </row>
    <row r="8" spans="1:8" x14ac:dyDescent="0.2">
      <c r="A8" t="str" cm="1">
        <f t="array" aca="1" ref="A8" ca="1">INDIRECT(CONCATENATE("csv!A",$E8))</f>
        <v>PVA</v>
      </c>
      <c r="B8" s="3" cm="1">
        <f t="array" aca="1" ref="B8" ca="1">INDIRECT(CONCATENATE("csv!C",$E8))</f>
        <v>1</v>
      </c>
      <c r="C8" s="2" cm="1">
        <f t="array" aca="1" ref="C8" ca="1">INDIRECT(CONCATENATE("csv!D",$E8))</f>
        <v>34124.199999999997</v>
      </c>
      <c r="D8" s="2"/>
      <c r="E8" s="3">
        <f t="shared" si="0"/>
        <v>14</v>
      </c>
    </row>
    <row r="9" spans="1:8" x14ac:dyDescent="0.2">
      <c r="A9" t="str" cm="1">
        <f t="array" aca="1" ref="A9" ca="1">INDIRECT(CONCATENATE("csv!A",$E9))</f>
        <v>PVA</v>
      </c>
      <c r="B9" s="3" cm="1">
        <f t="array" aca="1" ref="B9" ca="1">INDIRECT(CONCATENATE("csv!C",$E9))</f>
        <v>10</v>
      </c>
      <c r="C9" s="2" cm="1">
        <f t="array" aca="1" ref="C9" ca="1">INDIRECT(CONCATENATE("csv!D",$E9))</f>
        <v>35047.4</v>
      </c>
      <c r="D9" s="2"/>
      <c r="E9" s="3">
        <f t="shared" si="0"/>
        <v>16</v>
      </c>
    </row>
    <row r="10" spans="1:8" x14ac:dyDescent="0.2">
      <c r="A10" t="str" cm="1">
        <f t="array" aca="1" ref="A10" ca="1">INDIRECT(CONCATENATE("csv!A",$E10))</f>
        <v>PVA</v>
      </c>
      <c r="B10" s="3" cm="1">
        <f t="array" aca="1" ref="B10" ca="1">INDIRECT(CONCATENATE("csv!C",$E10))</f>
        <v>100</v>
      </c>
      <c r="C10" s="2" cm="1">
        <f t="array" aca="1" ref="C10" ca="1">INDIRECT(CONCATENATE("csv!D",$E10))</f>
        <v>35567.800000000003</v>
      </c>
      <c r="D10" s="2"/>
      <c r="E10" s="3">
        <f t="shared" si="0"/>
        <v>18</v>
      </c>
    </row>
    <row r="11" spans="1:8" x14ac:dyDescent="0.2">
      <c r="A11" t="str" cm="1">
        <f t="array" aca="1" ref="A11" ca="1">INDIRECT(CONCATENATE("csv!A",$E11))</f>
        <v>PVA</v>
      </c>
      <c r="B11" s="3" cm="1">
        <f t="array" aca="1" ref="B11" ca="1">INDIRECT(CONCATENATE("csv!C",$E11))</f>
        <v>1000</v>
      </c>
      <c r="C11" s="2" cm="1">
        <f t="array" aca="1" ref="C11" ca="1">INDIRECT(CONCATENATE("csv!D",$E11))</f>
        <v>34739.300000000003</v>
      </c>
      <c r="D11" s="2"/>
      <c r="E11" s="3">
        <f t="shared" si="0"/>
        <v>20</v>
      </c>
    </row>
    <row r="12" spans="1:8" x14ac:dyDescent="0.2">
      <c r="A12" t="str" cm="1">
        <f t="array" aca="1" ref="A12" ca="1">INDIRECT(CONCATENATE("csv!A",$E12))</f>
        <v>PVA</v>
      </c>
      <c r="B12" s="3" cm="1">
        <f t="array" aca="1" ref="B12" ca="1">INDIRECT(CONCATENATE("csv!C",$E12))</f>
        <v>10000</v>
      </c>
      <c r="C12" s="2" cm="1">
        <f t="array" aca="1" ref="C12" ca="1">INDIRECT(CONCATENATE("csv!D",$E12))</f>
        <v>35436.9</v>
      </c>
      <c r="D12" s="2"/>
      <c r="E12" s="3">
        <f t="shared" si="0"/>
        <v>22</v>
      </c>
    </row>
    <row r="13" spans="1:8" x14ac:dyDescent="0.2">
      <c r="A13" t="str" cm="1">
        <f t="array" aca="1" ref="A13" ca="1">INDIRECT(CONCATENATE("csv!A",$E13))</f>
        <v>PVA</v>
      </c>
      <c r="B13" s="3" cm="1">
        <f t="array" aca="1" ref="B13" ca="1">INDIRECT(CONCATENATE("csv!C",$E13))</f>
        <v>100000</v>
      </c>
      <c r="C13" s="2" cm="1">
        <f t="array" aca="1" ref="C13" ca="1">INDIRECT(CONCATENATE("csv!D",$E13))</f>
        <v>15179.2</v>
      </c>
      <c r="D13" s="2"/>
      <c r="E13" s="3">
        <f t="shared" si="0"/>
        <v>24</v>
      </c>
    </row>
    <row r="14" spans="1:8" x14ac:dyDescent="0.2">
      <c r="A14" t="str" cm="1">
        <f t="array" aca="1" ref="A14" ca="1">INDIRECT(CONCATENATE("csv!A",$E14))</f>
        <v>SPVA</v>
      </c>
      <c r="B14" s="3" cm="1">
        <f t="array" aca="1" ref="B14" ca="1">INDIRECT(CONCATENATE("csv!C",$E14))</f>
        <v>1</v>
      </c>
      <c r="C14" s="2" cm="1">
        <f t="array" aca="1" ref="C14" ca="1">INDIRECT(CONCATENATE("csv!D",$E14))</f>
        <v>35927.199999999997</v>
      </c>
      <c r="D14" s="2"/>
      <c r="E14" s="3">
        <f t="shared" si="0"/>
        <v>26</v>
      </c>
    </row>
    <row r="15" spans="1:8" x14ac:dyDescent="0.2">
      <c r="A15" t="str" cm="1">
        <f t="array" aca="1" ref="A15" ca="1">INDIRECT(CONCATENATE("csv!A",$E15))</f>
        <v>SPVA</v>
      </c>
      <c r="B15" s="3" cm="1">
        <f t="array" aca="1" ref="B15" ca="1">INDIRECT(CONCATENATE("csv!C",$E15))</f>
        <v>10</v>
      </c>
      <c r="C15" s="2" cm="1">
        <f t="array" aca="1" ref="C15" ca="1">INDIRECT(CONCATENATE("csv!D",$E15))</f>
        <v>35864.9</v>
      </c>
      <c r="D15" s="2"/>
      <c r="E15" s="3">
        <f t="shared" si="0"/>
        <v>28</v>
      </c>
    </row>
    <row r="16" spans="1:8" x14ac:dyDescent="0.2">
      <c r="A16" t="str" cm="1">
        <f t="array" aca="1" ref="A16" ca="1">INDIRECT(CONCATENATE("csv!A",$E16))</f>
        <v>SPVA</v>
      </c>
      <c r="B16" s="3" cm="1">
        <f t="array" aca="1" ref="B16" ca="1">INDIRECT(CONCATENATE("csv!C",$E16))</f>
        <v>100</v>
      </c>
      <c r="C16" s="2" cm="1">
        <f t="array" aca="1" ref="C16" ca="1">INDIRECT(CONCATENATE("csv!D",$E16))</f>
        <v>34567</v>
      </c>
      <c r="D16" s="2"/>
      <c r="E16" s="3">
        <f t="shared" si="0"/>
        <v>30</v>
      </c>
    </row>
    <row r="17" spans="1:5" x14ac:dyDescent="0.2">
      <c r="A17" t="str" cm="1">
        <f t="array" aca="1" ref="A17" ca="1">INDIRECT(CONCATENATE("csv!A",$E17))</f>
        <v>SPVA</v>
      </c>
      <c r="B17" s="3" cm="1">
        <f t="array" aca="1" ref="B17" ca="1">INDIRECT(CONCATENATE("csv!C",$E17))</f>
        <v>1000</v>
      </c>
      <c r="C17" s="2" cm="1">
        <f t="array" aca="1" ref="C17" ca="1">INDIRECT(CONCATENATE("csv!D",$E17))</f>
        <v>33272.9</v>
      </c>
      <c r="D17" s="2"/>
      <c r="E17" s="3">
        <f t="shared" si="0"/>
        <v>32</v>
      </c>
    </row>
    <row r="18" spans="1:5" x14ac:dyDescent="0.2">
      <c r="A18" t="str" cm="1">
        <f t="array" aca="1" ref="A18" ca="1">INDIRECT(CONCATENATE("csv!A",$E18))</f>
        <v>SPVA</v>
      </c>
      <c r="B18" s="3" cm="1">
        <f t="array" aca="1" ref="B18" ca="1">INDIRECT(CONCATENATE("csv!C",$E18))</f>
        <v>10000</v>
      </c>
      <c r="C18" s="2" cm="1">
        <f t="array" aca="1" ref="C18" ca="1">INDIRECT(CONCATENATE("csv!D",$E18))</f>
        <v>34857.300000000003</v>
      </c>
      <c r="D18" s="2"/>
      <c r="E18" s="3">
        <f t="shared" si="0"/>
        <v>34</v>
      </c>
    </row>
    <row r="19" spans="1:5" x14ac:dyDescent="0.2">
      <c r="A19" t="str" cm="1">
        <f t="array" aca="1" ref="A19" ca="1">INDIRECT(CONCATENATE("csv!A",$E19))</f>
        <v>SPVA</v>
      </c>
      <c r="B19" s="3" cm="1">
        <f t="array" aca="1" ref="B19" ca="1">INDIRECT(CONCATENATE("csv!C",$E19))</f>
        <v>100000</v>
      </c>
      <c r="C19" s="2" cm="1">
        <f t="array" aca="1" ref="C19" ca="1">INDIRECT(CONCATENATE("csv!D",$E19))</f>
        <v>15067.6</v>
      </c>
      <c r="D19" s="2"/>
      <c r="E19" s="3">
        <f t="shared" si="0"/>
        <v>36</v>
      </c>
    </row>
    <row r="20" spans="1:5" x14ac:dyDescent="0.2">
      <c r="A20" t="str" cm="1">
        <f t="array" aca="1" ref="A20" ca="1">INDIRECT(CONCATENATE("csv!A",$E20))</f>
        <v>SPVA_CERTMON</v>
      </c>
      <c r="B20" s="3" cm="1">
        <f t="array" aca="1" ref="B20" ca="1">INDIRECT(CONCATENATE("csv!C",$E20))</f>
        <v>1</v>
      </c>
      <c r="C20" s="2" cm="1">
        <f t="array" aca="1" ref="C20" ca="1">INDIRECT(CONCATENATE("csv!D",$E20))</f>
        <v>35177.599999999999</v>
      </c>
      <c r="D20" s="2"/>
      <c r="E20" s="3">
        <f t="shared" si="0"/>
        <v>38</v>
      </c>
    </row>
    <row r="21" spans="1:5" x14ac:dyDescent="0.2">
      <c r="A21" t="str" cm="1">
        <f t="array" aca="1" ref="A21" ca="1">INDIRECT(CONCATENATE("csv!A",$E21))</f>
        <v>SPVA_CERTMON</v>
      </c>
      <c r="B21" s="3" cm="1">
        <f t="array" aca="1" ref="B21" ca="1">INDIRECT(CONCATENATE("csv!C",$E21))</f>
        <v>10</v>
      </c>
      <c r="C21" s="2" cm="1">
        <f t="array" aca="1" ref="C21" ca="1">INDIRECT(CONCATENATE("csv!D",$E21))</f>
        <v>35993.800000000003</v>
      </c>
      <c r="D21" s="2"/>
      <c r="E21" s="3">
        <f t="shared" si="0"/>
        <v>40</v>
      </c>
    </row>
    <row r="22" spans="1:5" x14ac:dyDescent="0.2">
      <c r="A22" t="str" cm="1">
        <f t="array" aca="1" ref="A22" ca="1">INDIRECT(CONCATENATE("csv!A",$E22))</f>
        <v>SPVA_CERTMON</v>
      </c>
      <c r="B22" s="3" cm="1">
        <f t="array" aca="1" ref="B22" ca="1">INDIRECT(CONCATENATE("csv!C",$E22))</f>
        <v>100</v>
      </c>
      <c r="C22" s="2" cm="1">
        <f t="array" aca="1" ref="C22" ca="1">INDIRECT(CONCATENATE("csv!D",$E22))</f>
        <v>35154.9</v>
      </c>
      <c r="D22" s="2"/>
      <c r="E22" s="3">
        <f t="shared" si="0"/>
        <v>42</v>
      </c>
    </row>
    <row r="23" spans="1:5" x14ac:dyDescent="0.2">
      <c r="A23" t="str" cm="1">
        <f t="array" aca="1" ref="A23" ca="1">INDIRECT(CONCATENATE("csv!A",$E23))</f>
        <v>SPVA_CERTMON</v>
      </c>
      <c r="B23" s="3" cm="1">
        <f t="array" aca="1" ref="B23" ca="1">INDIRECT(CONCATENATE("csv!C",$E23))</f>
        <v>1000</v>
      </c>
      <c r="C23" s="2" cm="1">
        <f t="array" aca="1" ref="C23" ca="1">INDIRECT(CONCATENATE("csv!D",$E23))</f>
        <v>35027.699999999997</v>
      </c>
      <c r="D23" s="2"/>
      <c r="E23" s="3">
        <f t="shared" si="0"/>
        <v>44</v>
      </c>
    </row>
    <row r="24" spans="1:5" x14ac:dyDescent="0.2">
      <c r="A24" t="str" cm="1">
        <f t="array" aca="1" ref="A24" ca="1">INDIRECT(CONCATENATE("csv!A",$E24))</f>
        <v>SPVA_CERTMON</v>
      </c>
      <c r="B24" s="3" cm="1">
        <f t="array" aca="1" ref="B24" ca="1">INDIRECT(CONCATENATE("csv!C",$E24))</f>
        <v>10000</v>
      </c>
      <c r="C24" s="2" cm="1">
        <f t="array" aca="1" ref="C24" ca="1">INDIRECT(CONCATENATE("csv!D",$E24))</f>
        <v>35706.6</v>
      </c>
      <c r="D24" s="2"/>
      <c r="E24" s="3">
        <f t="shared" si="0"/>
        <v>46</v>
      </c>
    </row>
    <row r="25" spans="1:5" x14ac:dyDescent="0.2">
      <c r="A25" t="str" cm="1">
        <f t="array" aca="1" ref="A25" ca="1">INDIRECT(CONCATENATE("csv!A",$E25))</f>
        <v>SPVA_CERTMON</v>
      </c>
      <c r="B25" s="3" cm="1">
        <f t="array" aca="1" ref="B25" ca="1">INDIRECT(CONCATENATE("csv!C",$E25))</f>
        <v>100000</v>
      </c>
      <c r="C25" s="2" cm="1">
        <f t="array" aca="1" ref="C25" ca="1">INDIRECT(CONCATENATE("csv!D",$E25))</f>
        <v>14931.5</v>
      </c>
      <c r="D25" s="2"/>
      <c r="E25" s="3">
        <f t="shared" si="0"/>
        <v>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CCFA0-6F6B-9E49-8E81-46280049C3D8}">
  <dimension ref="A1:H25"/>
  <sheetViews>
    <sheetView workbookViewId="0">
      <selection activeCell="J44" sqref="J44"/>
    </sheetView>
  </sheetViews>
  <sheetFormatPr baseColWidth="10" defaultRowHeight="16" x14ac:dyDescent="0.2"/>
  <cols>
    <col min="1" max="1" width="15" bestFit="1" customWidth="1"/>
    <col min="2" max="2" width="12.83203125" bestFit="1" customWidth="1"/>
    <col min="3" max="3" width="18.1640625" bestFit="1" customWidth="1"/>
    <col min="4" max="4" width="4.5" customWidth="1"/>
    <col min="5" max="5" width="5" customWidth="1"/>
    <col min="6" max="6" width="11.5" bestFit="1" customWidth="1"/>
    <col min="7" max="7" width="12.5" bestFit="1" customWidth="1"/>
    <col min="8" max="8" width="13.5" bestFit="1" customWidth="1"/>
  </cols>
  <sheetData>
    <row r="1" spans="1:8" x14ac:dyDescent="0.2">
      <c r="A1" t="s">
        <v>0</v>
      </c>
      <c r="B1" t="s">
        <v>2</v>
      </c>
      <c r="C1" t="s">
        <v>3</v>
      </c>
      <c r="D1" s="3"/>
      <c r="E1" s="3" t="s">
        <v>37</v>
      </c>
      <c r="F1" s="3"/>
      <c r="G1" s="3"/>
      <c r="H1" s="3"/>
    </row>
    <row r="2" spans="1:8" x14ac:dyDescent="0.2">
      <c r="A2" t="str" cm="1">
        <f t="array" aca="1" ref="A2" ca="1">INDIRECT(CONCATENATE("csv!A",$E2))</f>
        <v>CA</v>
      </c>
      <c r="B2" s="3" cm="1">
        <f t="array" aca="1" ref="B2" ca="1">INDIRECT(CONCATENATE("csv!C",$E2))</f>
        <v>1</v>
      </c>
      <c r="C2" s="2" cm="1">
        <f t="array" aca="1" ref="C2" ca="1">INDIRECT(CONCATENATE("csv!D",$E2))</f>
        <v>62029.3</v>
      </c>
      <c r="D2" s="2"/>
      <c r="E2" s="3">
        <v>3</v>
      </c>
    </row>
    <row r="3" spans="1:8" x14ac:dyDescent="0.2">
      <c r="A3" t="str" cm="1">
        <f t="array" aca="1" ref="A3" ca="1">INDIRECT(CONCATENATE("csv!A",$E3))</f>
        <v>CA</v>
      </c>
      <c r="B3" s="3" cm="1">
        <f t="array" aca="1" ref="B3" ca="1">INDIRECT(CONCATENATE("csv!C",$E3))</f>
        <v>10</v>
      </c>
      <c r="C3" s="2" cm="1">
        <f t="array" aca="1" ref="C3" ca="1">INDIRECT(CONCATENATE("csv!D",$E3))</f>
        <v>60871.4</v>
      </c>
      <c r="D3" s="2"/>
      <c r="E3" s="3">
        <f>E2+2</f>
        <v>5</v>
      </c>
    </row>
    <row r="4" spans="1:8" x14ac:dyDescent="0.2">
      <c r="A4" t="str" cm="1">
        <f t="array" aca="1" ref="A4" ca="1">INDIRECT(CONCATENATE("csv!A",$E4))</f>
        <v>CA</v>
      </c>
      <c r="B4" s="3" cm="1">
        <f t="array" aca="1" ref="B4" ca="1">INDIRECT(CONCATENATE("csv!C",$E4))</f>
        <v>100</v>
      </c>
      <c r="C4" s="2" cm="1">
        <f t="array" aca="1" ref="C4" ca="1">INDIRECT(CONCATENATE("csv!D",$E4))</f>
        <v>61039.5</v>
      </c>
      <c r="D4" s="2"/>
      <c r="E4" s="3">
        <f t="shared" ref="E4:E43" si="0">E3+2</f>
        <v>7</v>
      </c>
    </row>
    <row r="5" spans="1:8" x14ac:dyDescent="0.2">
      <c r="A5" t="str" cm="1">
        <f t="array" aca="1" ref="A5" ca="1">INDIRECT(CONCATENATE("csv!A",$E5))</f>
        <v>CA</v>
      </c>
      <c r="B5" s="3" cm="1">
        <f t="array" aca="1" ref="B5" ca="1">INDIRECT(CONCATENATE("csv!C",$E5))</f>
        <v>1000</v>
      </c>
      <c r="C5" s="2" cm="1">
        <f t="array" aca="1" ref="C5" ca="1">INDIRECT(CONCATENATE("csv!D",$E5))</f>
        <v>57119.6</v>
      </c>
      <c r="D5" s="2"/>
      <c r="E5" s="3">
        <f t="shared" si="0"/>
        <v>9</v>
      </c>
    </row>
    <row r="6" spans="1:8" x14ac:dyDescent="0.2">
      <c r="A6" t="str" cm="1">
        <f t="array" aca="1" ref="A6" ca="1">INDIRECT(CONCATENATE("csv!A",$E6))</f>
        <v>CA</v>
      </c>
      <c r="B6" s="3" cm="1">
        <f t="array" aca="1" ref="B6" ca="1">INDIRECT(CONCATENATE("csv!C",$E6))</f>
        <v>10000</v>
      </c>
      <c r="C6" s="2" cm="1">
        <f t="array" aca="1" ref="C6" ca="1">INDIRECT(CONCATENATE("csv!D",$E6))</f>
        <v>25996.400000000001</v>
      </c>
      <c r="D6" s="2"/>
      <c r="E6" s="3">
        <f t="shared" si="0"/>
        <v>11</v>
      </c>
    </row>
    <row r="7" spans="1:8" x14ac:dyDescent="0.2">
      <c r="A7" t="str" cm="1">
        <f t="array" aca="1" ref="A7" ca="1">INDIRECT(CONCATENATE("csv!A",$E7))</f>
        <v>CA</v>
      </c>
      <c r="B7" s="3" cm="1">
        <f t="array" aca="1" ref="B7" ca="1">INDIRECT(CONCATENATE("csv!C",$E7))</f>
        <v>100000</v>
      </c>
      <c r="C7" s="2" cm="1">
        <f t="array" aca="1" ref="C7" ca="1">INDIRECT(CONCATENATE("csv!D",$E7))</f>
        <v>9561.98</v>
      </c>
      <c r="D7" s="2"/>
      <c r="E7" s="3">
        <f t="shared" si="0"/>
        <v>13</v>
      </c>
    </row>
    <row r="8" spans="1:8" x14ac:dyDescent="0.2">
      <c r="A8" t="str" cm="1">
        <f t="array" aca="1" ref="A8" ca="1">INDIRECT(CONCATENATE("csv!A",$E8))</f>
        <v>PVA</v>
      </c>
      <c r="B8" s="3" cm="1">
        <f t="array" aca="1" ref="B8" ca="1">INDIRECT(CONCATENATE("csv!C",$E8))</f>
        <v>1</v>
      </c>
      <c r="C8" s="2" cm="1">
        <f t="array" aca="1" ref="C8" ca="1">INDIRECT(CONCATENATE("csv!D",$E8))</f>
        <v>218022</v>
      </c>
      <c r="D8" s="2"/>
      <c r="E8" s="3">
        <f t="shared" si="0"/>
        <v>15</v>
      </c>
    </row>
    <row r="9" spans="1:8" x14ac:dyDescent="0.2">
      <c r="A9" t="str" cm="1">
        <f t="array" aca="1" ref="A9" ca="1">INDIRECT(CONCATENATE("csv!A",$E9))</f>
        <v>PVA</v>
      </c>
      <c r="B9" s="3" cm="1">
        <f t="array" aca="1" ref="B9" ca="1">INDIRECT(CONCATENATE("csv!C",$E9))</f>
        <v>10</v>
      </c>
      <c r="C9" s="2" cm="1">
        <f t="array" aca="1" ref="C9" ca="1">INDIRECT(CONCATENATE("csv!D",$E9))</f>
        <v>213742</v>
      </c>
      <c r="D9" s="2"/>
      <c r="E9" s="3">
        <f t="shared" si="0"/>
        <v>17</v>
      </c>
    </row>
    <row r="10" spans="1:8" x14ac:dyDescent="0.2">
      <c r="A10" t="str" cm="1">
        <f t="array" aca="1" ref="A10" ca="1">INDIRECT(CONCATENATE("csv!A",$E10))</f>
        <v>PVA</v>
      </c>
      <c r="B10" s="3" cm="1">
        <f t="array" aca="1" ref="B10" ca="1">INDIRECT(CONCATENATE("csv!C",$E10))</f>
        <v>100</v>
      </c>
      <c r="C10" s="2" cm="1">
        <f t="array" aca="1" ref="C10" ca="1">INDIRECT(CONCATENATE("csv!D",$E10))</f>
        <v>231945</v>
      </c>
      <c r="D10" s="2"/>
      <c r="E10" s="3">
        <f t="shared" si="0"/>
        <v>19</v>
      </c>
    </row>
    <row r="11" spans="1:8" x14ac:dyDescent="0.2">
      <c r="A11" t="str" cm="1">
        <f t="array" aca="1" ref="A11" ca="1">INDIRECT(CONCATENATE("csv!A",$E11))</f>
        <v>PVA</v>
      </c>
      <c r="B11" s="3" cm="1">
        <f t="array" aca="1" ref="B11" ca="1">INDIRECT(CONCATENATE("csv!C",$E11))</f>
        <v>1000</v>
      </c>
      <c r="C11" s="2" cm="1">
        <f t="array" aca="1" ref="C11" ca="1">INDIRECT(CONCATENATE("csv!D",$E11))</f>
        <v>121495</v>
      </c>
      <c r="D11" s="2"/>
      <c r="E11" s="3">
        <f t="shared" si="0"/>
        <v>21</v>
      </c>
    </row>
    <row r="12" spans="1:8" x14ac:dyDescent="0.2">
      <c r="A12" t="str" cm="1">
        <f t="array" aca="1" ref="A12" ca="1">INDIRECT(CONCATENATE("csv!A",$E12))</f>
        <v>PVA</v>
      </c>
      <c r="B12" s="3" cm="1">
        <f t="array" aca="1" ref="B12" ca="1">INDIRECT(CONCATENATE("csv!C",$E12))</f>
        <v>10000</v>
      </c>
      <c r="C12" s="2" cm="1">
        <f t="array" aca="1" ref="C12" ca="1">INDIRECT(CONCATENATE("csv!D",$E12))</f>
        <v>63386.9</v>
      </c>
      <c r="D12" s="2"/>
      <c r="E12" s="3">
        <f t="shared" si="0"/>
        <v>23</v>
      </c>
    </row>
    <row r="13" spans="1:8" x14ac:dyDescent="0.2">
      <c r="A13" t="str" cm="1">
        <f t="array" aca="1" ref="A13" ca="1">INDIRECT(CONCATENATE("csv!A",$E13))</f>
        <v>PVA</v>
      </c>
      <c r="B13" s="3" cm="1">
        <f t="array" aca="1" ref="B13" ca="1">INDIRECT(CONCATENATE("csv!C",$E13))</f>
        <v>100000</v>
      </c>
      <c r="C13" s="2" cm="1">
        <f t="array" aca="1" ref="C13" ca="1">INDIRECT(CONCATENATE("csv!D",$E13))</f>
        <v>14413.8</v>
      </c>
      <c r="D13" s="2"/>
      <c r="E13" s="3">
        <f t="shared" si="0"/>
        <v>25</v>
      </c>
    </row>
    <row r="14" spans="1:8" x14ac:dyDescent="0.2">
      <c r="A14" t="str" cm="1">
        <f t="array" aca="1" ref="A14" ca="1">INDIRECT(CONCATENATE("csv!A",$E14))</f>
        <v>SPVA</v>
      </c>
      <c r="B14" s="3" cm="1">
        <f t="array" aca="1" ref="B14" ca="1">INDIRECT(CONCATENATE("csv!C",$E14))</f>
        <v>1</v>
      </c>
      <c r="C14" s="2" cm="1">
        <f t="array" aca="1" ref="C14" ca="1">INDIRECT(CONCATENATE("csv!D",$E14))</f>
        <v>217929</v>
      </c>
      <c r="D14" s="2"/>
      <c r="E14" s="3">
        <f t="shared" si="0"/>
        <v>27</v>
      </c>
    </row>
    <row r="15" spans="1:8" x14ac:dyDescent="0.2">
      <c r="A15" t="str" cm="1">
        <f t="array" aca="1" ref="A15" ca="1">INDIRECT(CONCATENATE("csv!A",$E15))</f>
        <v>SPVA</v>
      </c>
      <c r="B15" s="3" cm="1">
        <f t="array" aca="1" ref="B15" ca="1">INDIRECT(CONCATENATE("csv!C",$E15))</f>
        <v>10</v>
      </c>
      <c r="C15" s="2" cm="1">
        <f t="array" aca="1" ref="C15" ca="1">INDIRECT(CONCATENATE("csv!D",$E15))</f>
        <v>224452</v>
      </c>
      <c r="D15" s="2"/>
      <c r="E15" s="3">
        <f t="shared" si="0"/>
        <v>29</v>
      </c>
    </row>
    <row r="16" spans="1:8" x14ac:dyDescent="0.2">
      <c r="A16" t="str" cm="1">
        <f t="array" aca="1" ref="A16" ca="1">INDIRECT(CONCATENATE("csv!A",$E16))</f>
        <v>SPVA</v>
      </c>
      <c r="B16" s="3" cm="1">
        <f t="array" aca="1" ref="B16" ca="1">INDIRECT(CONCATENATE("csv!C",$E16))</f>
        <v>100</v>
      </c>
      <c r="C16" s="2" cm="1">
        <f t="array" aca="1" ref="C16" ca="1">INDIRECT(CONCATENATE("csv!D",$E16))</f>
        <v>241168</v>
      </c>
      <c r="D16" s="2"/>
      <c r="E16" s="3">
        <f t="shared" si="0"/>
        <v>31</v>
      </c>
    </row>
    <row r="17" spans="1:5" x14ac:dyDescent="0.2">
      <c r="A17" t="str" cm="1">
        <f t="array" aca="1" ref="A17" ca="1">INDIRECT(CONCATENATE("csv!A",$E17))</f>
        <v>SPVA</v>
      </c>
      <c r="B17" s="3" cm="1">
        <f t="array" aca="1" ref="B17" ca="1">INDIRECT(CONCATENATE("csv!C",$E17))</f>
        <v>1000</v>
      </c>
      <c r="C17" s="2" cm="1">
        <f t="array" aca="1" ref="C17" ca="1">INDIRECT(CONCATENATE("csv!D",$E17))</f>
        <v>119882</v>
      </c>
      <c r="D17" s="2"/>
      <c r="E17" s="3">
        <f t="shared" si="0"/>
        <v>33</v>
      </c>
    </row>
    <row r="18" spans="1:5" x14ac:dyDescent="0.2">
      <c r="A18" t="str" cm="1">
        <f t="array" aca="1" ref="A18" ca="1">INDIRECT(CONCATENATE("csv!A",$E18))</f>
        <v>SPVA</v>
      </c>
      <c r="B18" s="3" cm="1">
        <f t="array" aca="1" ref="B18" ca="1">INDIRECT(CONCATENATE("csv!C",$E18))</f>
        <v>10000</v>
      </c>
      <c r="C18" s="2" cm="1">
        <f t="array" aca="1" ref="C18" ca="1">INDIRECT(CONCATENATE("csv!D",$E18))</f>
        <v>63658.6</v>
      </c>
      <c r="D18" s="2"/>
      <c r="E18" s="3">
        <f t="shared" si="0"/>
        <v>35</v>
      </c>
    </row>
    <row r="19" spans="1:5" x14ac:dyDescent="0.2">
      <c r="A19" t="str" cm="1">
        <f t="array" aca="1" ref="A19" ca="1">INDIRECT(CONCATENATE("csv!A",$E19))</f>
        <v>SPVA</v>
      </c>
      <c r="B19" s="3" cm="1">
        <f t="array" aca="1" ref="B19" ca="1">INDIRECT(CONCATENATE("csv!C",$E19))</f>
        <v>100000</v>
      </c>
      <c r="C19" s="2" cm="1">
        <f t="array" aca="1" ref="C19" ca="1">INDIRECT(CONCATENATE("csv!D",$E19))</f>
        <v>14663.4</v>
      </c>
      <c r="D19" s="2"/>
      <c r="E19" s="3">
        <f t="shared" si="0"/>
        <v>37</v>
      </c>
    </row>
    <row r="20" spans="1:5" x14ac:dyDescent="0.2">
      <c r="A20" t="str" cm="1">
        <f t="array" aca="1" ref="A20" ca="1">INDIRECT(CONCATENATE("csv!A",$E20))</f>
        <v>SPVA_CERTMON</v>
      </c>
      <c r="B20" s="3" cm="1">
        <f t="array" aca="1" ref="B20" ca="1">INDIRECT(CONCATENATE("csv!C",$E20))</f>
        <v>1</v>
      </c>
      <c r="C20" s="2" cm="1">
        <f t="array" aca="1" ref="C20" ca="1">INDIRECT(CONCATENATE("csv!D",$E20))</f>
        <v>225735</v>
      </c>
      <c r="D20" s="2"/>
      <c r="E20" s="3">
        <f t="shared" si="0"/>
        <v>39</v>
      </c>
    </row>
    <row r="21" spans="1:5" x14ac:dyDescent="0.2">
      <c r="A21" t="str" cm="1">
        <f t="array" aca="1" ref="A21" ca="1">INDIRECT(CONCATENATE("csv!A",$E21))</f>
        <v>SPVA_CERTMON</v>
      </c>
      <c r="B21" s="3" cm="1">
        <f t="array" aca="1" ref="B21" ca="1">INDIRECT(CONCATENATE("csv!C",$E21))</f>
        <v>10</v>
      </c>
      <c r="C21" s="2" cm="1">
        <f t="array" aca="1" ref="C21" ca="1">INDIRECT(CONCATENATE("csv!D",$E21))</f>
        <v>219484</v>
      </c>
      <c r="D21" s="2"/>
      <c r="E21" s="3">
        <f t="shared" si="0"/>
        <v>41</v>
      </c>
    </row>
    <row r="22" spans="1:5" x14ac:dyDescent="0.2">
      <c r="A22" t="str" cm="1">
        <f t="array" aca="1" ref="A22" ca="1">INDIRECT(CONCATENATE("csv!A",$E22))</f>
        <v>SPVA_CERTMON</v>
      </c>
      <c r="B22" s="3" cm="1">
        <f t="array" aca="1" ref="B22" ca="1">INDIRECT(CONCATENATE("csv!C",$E22))</f>
        <v>100</v>
      </c>
      <c r="C22" s="2" cm="1">
        <f t="array" aca="1" ref="C22" ca="1">INDIRECT(CONCATENATE("csv!D",$E22))</f>
        <v>227533</v>
      </c>
      <c r="D22" s="2"/>
      <c r="E22" s="3">
        <f t="shared" si="0"/>
        <v>43</v>
      </c>
    </row>
    <row r="23" spans="1:5" x14ac:dyDescent="0.2">
      <c r="A23" t="str" cm="1">
        <f t="array" aca="1" ref="A23" ca="1">INDIRECT(CONCATENATE("csv!A",$E23))</f>
        <v>SPVA_CERTMON</v>
      </c>
      <c r="B23" s="3" cm="1">
        <f t="array" aca="1" ref="B23" ca="1">INDIRECT(CONCATENATE("csv!C",$E23))</f>
        <v>1000</v>
      </c>
      <c r="C23" s="2" cm="1">
        <f t="array" aca="1" ref="C23" ca="1">INDIRECT(CONCATENATE("csv!D",$E23))</f>
        <v>115092</v>
      </c>
      <c r="D23" s="2"/>
      <c r="E23" s="3">
        <f t="shared" si="0"/>
        <v>45</v>
      </c>
    </row>
    <row r="24" spans="1:5" x14ac:dyDescent="0.2">
      <c r="A24" t="str" cm="1">
        <f t="array" aca="1" ref="A24" ca="1">INDIRECT(CONCATENATE("csv!A",$E24))</f>
        <v>SPVA_CERTMON</v>
      </c>
      <c r="B24" s="3" cm="1">
        <f t="array" aca="1" ref="B24" ca="1">INDIRECT(CONCATENATE("csv!C",$E24))</f>
        <v>10000</v>
      </c>
      <c r="C24" s="2" cm="1">
        <f t="array" aca="1" ref="C24" ca="1">INDIRECT(CONCATENATE("csv!D",$E24))</f>
        <v>61420.3</v>
      </c>
      <c r="D24" s="2"/>
      <c r="E24" s="3">
        <f t="shared" si="0"/>
        <v>47</v>
      </c>
    </row>
    <row r="25" spans="1:5" x14ac:dyDescent="0.2">
      <c r="A25" t="str" cm="1">
        <f t="array" aca="1" ref="A25" ca="1">INDIRECT(CONCATENATE("csv!A",$E25))</f>
        <v>SPVA_CERTMON</v>
      </c>
      <c r="B25" s="3" cm="1">
        <f t="array" aca="1" ref="B25" ca="1">INDIRECT(CONCATENATE("csv!C",$E25))</f>
        <v>100000</v>
      </c>
      <c r="C25" s="2" cm="1">
        <f t="array" aca="1" ref="C25" ca="1">INDIRECT(CONCATENATE("csv!D",$E25))</f>
        <v>14640.9</v>
      </c>
      <c r="D25" s="2"/>
      <c r="E25" s="3">
        <f t="shared" si="0"/>
        <v>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B54F5-2985-4644-A10D-A5AF12C8ED8F}">
  <dimension ref="A1"/>
  <sheetViews>
    <sheetView tabSelected="1" workbookViewId="0">
      <selection activeCell="J44" sqref="J4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csv</vt:lpstr>
      <vt:lpstr>seq</vt:lpstr>
      <vt:lpstr>par</vt:lpstr>
      <vt:lpstr>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McIntyre</dc:creator>
  <cp:lastModifiedBy>George McIntyre</cp:lastModifiedBy>
  <dcterms:created xsi:type="dcterms:W3CDTF">2026-03-02T19:58:21Z</dcterms:created>
  <dcterms:modified xsi:type="dcterms:W3CDTF">2026-03-02T20:42:19Z</dcterms:modified>
</cp:coreProperties>
</file>