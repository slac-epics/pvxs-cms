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/Projects/com/slac/pvxs-cms/src/tools/pvxperf/"/>
    </mc:Choice>
  </mc:AlternateContent>
  <xr:revisionPtr revIDLastSave="0" documentId="13_ncr:2001_{81999352-AD53-5B4B-AF01-FBC9D7258F58}" xr6:coauthVersionLast="47" xr6:coauthVersionMax="47" xr10:uidLastSave="{00000000-0000-0000-0000-000000000000}"/>
  <bookViews>
    <workbookView xWindow="7700" yWindow="600" windowWidth="62560" windowHeight="31400" activeTab="1" xr2:uid="{852995C9-3A88-0C47-98B1-269C06BFC988}"/>
  </bookViews>
  <sheets>
    <sheet name="Summary" sheetId="4" r:id="rId1"/>
    <sheet name="charts" sheetId="3" r:id="rId2"/>
    <sheet name="3d charts" sheetId="10" r:id="rId3"/>
    <sheet name="Connection Phase Timing" sheetId="12" r:id="rId4"/>
    <sheet name="seq" sheetId="2" r:id="rId5"/>
    <sheet name="par" sheetId="5" r:id="rId6"/>
    <sheet name="all" sheetId="8" r:id="rId7"/>
    <sheet name="Throughput Summary" sheetId="11" r:id="rId8"/>
    <sheet name="csv" sheetId="1" r:id="rId9"/>
    <sheet name="csv_phase" sheetId="13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2" l="1"/>
  <c r="B49" i="12"/>
  <c r="K1" i="13"/>
  <c r="L1" i="13"/>
  <c r="M1" i="13"/>
  <c r="N1" i="13"/>
  <c r="O1" i="13"/>
  <c r="J3" i="11"/>
  <c r="J4" i="11" s="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E2" i="8"/>
  <c r="E3" i="8" s="1"/>
  <c r="E3" i="5"/>
  <c r="E4" i="5" s="1"/>
  <c r="K3" i="13" a="1"/>
  <c r="K4" i="13" a="1"/>
  <c r="K5" i="13" a="1"/>
  <c r="K6" i="13" a="1"/>
  <c r="K7" i="13" a="1"/>
  <c r="K8" i="13" a="1"/>
  <c r="K9" i="13" a="1"/>
  <c r="K10" i="13" a="1"/>
  <c r="K11" i="13" a="1"/>
  <c r="K12" i="13" a="1"/>
  <c r="K13" i="13" a="1"/>
  <c r="K14" i="13" a="1"/>
  <c r="K15" i="13" a="1"/>
  <c r="K16" i="13" a="1"/>
  <c r="K17" i="13" a="1"/>
  <c r="K18" i="13" a="1"/>
  <c r="K19" i="13" a="1"/>
  <c r="K20" i="13" a="1"/>
  <c r="K21" i="13" a="1"/>
  <c r="M3" i="13" a="1"/>
  <c r="L3" i="13" a="1"/>
  <c r="N4" i="13" a="1"/>
  <c r="O5" i="13" a="1"/>
  <c r="L7" i="13" a="1"/>
  <c r="M8" i="13" a="1"/>
  <c r="N9" i="13" a="1"/>
  <c r="O10" i="13" a="1"/>
  <c r="L12" i="13" a="1"/>
  <c r="M13" i="13" a="1"/>
  <c r="N14" i="13" a="1"/>
  <c r="O15" i="13" a="1"/>
  <c r="L17" i="13" a="1"/>
  <c r="M18" i="13" a="1"/>
  <c r="N19" i="13" a="1"/>
  <c r="O20" i="13" a="1"/>
  <c r="K22" i="13" a="1"/>
  <c r="L23" i="13" a="1"/>
  <c r="M25" i="13" a="1"/>
  <c r="N27" i="13" a="1"/>
  <c r="O29" i="13" a="1"/>
  <c r="K32" i="13" a="1"/>
  <c r="L33" i="13" a="1"/>
  <c r="M35" i="13" a="1"/>
  <c r="N37" i="13" a="1"/>
  <c r="O39" i="13" a="1"/>
  <c r="K42" i="13" a="1"/>
  <c r="L43" i="13" a="1"/>
  <c r="M45" i="13" a="1"/>
  <c r="N47" i="13" a="1"/>
  <c r="O49" i="13" a="1"/>
  <c r="K52" i="13" a="1"/>
  <c r="L53" i="13" a="1"/>
  <c r="M55" i="13" a="1"/>
  <c r="N57" i="13" a="1"/>
  <c r="O59" i="13" a="1"/>
  <c r="K62" i="13" a="1"/>
  <c r="L63" i="13" a="1"/>
  <c r="M65" i="13" a="1"/>
  <c r="N67" i="13" a="1"/>
  <c r="O69" i="13" a="1"/>
  <c r="K72" i="13" a="1"/>
  <c r="L73" i="13" a="1"/>
  <c r="M75" i="13" a="1"/>
  <c r="N77" i="13" a="1"/>
  <c r="O79" i="13" a="1"/>
  <c r="K82" i="13" a="1"/>
  <c r="L83" i="13" a="1"/>
  <c r="M85" i="13" a="1"/>
  <c r="N87" i="13" a="1"/>
  <c r="N88" i="13" a="1"/>
  <c r="N89" i="13" a="1"/>
  <c r="N90" i="13" a="1"/>
  <c r="L22" i="13" a="1"/>
  <c r="M24" i="13" a="1"/>
  <c r="N26" i="13" a="1"/>
  <c r="O28" i="13" a="1"/>
  <c r="K31" i="13" a="1"/>
  <c r="L32" i="13" a="1"/>
  <c r="M34" i="13" a="1"/>
  <c r="N36" i="13" a="1"/>
  <c r="O38" i="13" a="1"/>
  <c r="K41" i="13" a="1"/>
  <c r="L42" i="13" a="1"/>
  <c r="M44" i="13" a="1"/>
  <c r="N46" i="13" a="1"/>
  <c r="O48" i="13" a="1"/>
  <c r="K51" i="13" a="1"/>
  <c r="L52" i="13" a="1"/>
  <c r="M54" i="13" a="1"/>
  <c r="N56" i="13" a="1"/>
  <c r="O58" i="13" a="1"/>
  <c r="K61" i="13" a="1"/>
  <c r="L62" i="13" a="1"/>
  <c r="N3" i="13" a="1"/>
  <c r="O4" i="13" a="1"/>
  <c r="L6" i="13" a="1"/>
  <c r="M7" i="13" a="1"/>
  <c r="N8" i="13" a="1"/>
  <c r="O9" i="13" a="1"/>
  <c r="L11" i="13" a="1"/>
  <c r="M12" i="13" a="1"/>
  <c r="N13" i="13" a="1"/>
  <c r="O14" i="13" a="1"/>
  <c r="L16" i="13" a="1"/>
  <c r="M17" i="13" a="1"/>
  <c r="N18" i="13" a="1"/>
  <c r="O19" i="13" a="1"/>
  <c r="L21" i="13" a="1"/>
  <c r="M23" i="13" a="1"/>
  <c r="N25" i="13" a="1"/>
  <c r="O27" i="13" a="1"/>
  <c r="K30" i="13" a="1"/>
  <c r="L31" i="13" a="1"/>
  <c r="M33" i="13" a="1"/>
  <c r="M22" i="13" a="1"/>
  <c r="O3" i="13" a="1"/>
  <c r="L5" i="13" a="1"/>
  <c r="M6" i="13" a="1"/>
  <c r="N7" i="13" a="1"/>
  <c r="O8" i="13" a="1"/>
  <c r="L10" i="13" a="1"/>
  <c r="M11" i="13" a="1"/>
  <c r="N12" i="13" a="1"/>
  <c r="O13" i="13" a="1"/>
  <c r="L15" i="13" a="1"/>
  <c r="M16" i="13" a="1"/>
  <c r="N17" i="13" a="1"/>
  <c r="O18" i="13" a="1"/>
  <c r="L20" i="13" a="1"/>
  <c r="M21" i="13" a="1"/>
  <c r="N23" i="13" a="1"/>
  <c r="O25" i="13" a="1"/>
  <c r="K28" i="13" a="1"/>
  <c r="L29" i="13" a="1"/>
  <c r="M31" i="13" a="1"/>
  <c r="N33" i="13" a="1"/>
  <c r="O35" i="13" a="1"/>
  <c r="K38" i="13" a="1"/>
  <c r="L39" i="13" a="1"/>
  <c r="M41" i="13" a="1"/>
  <c r="N43" i="13" a="1"/>
  <c r="O45" i="13" a="1"/>
  <c r="K48" i="13" a="1"/>
  <c r="L49" i="13" a="1"/>
  <c r="M51" i="13" a="1"/>
  <c r="N53" i="13" a="1"/>
  <c r="O55" i="13" a="1"/>
  <c r="K58" i="13" a="1"/>
  <c r="L59" i="13" a="1"/>
  <c r="M61" i="13" a="1"/>
  <c r="N63" i="13" a="1"/>
  <c r="O65" i="13" a="1"/>
  <c r="K68" i="13" a="1"/>
  <c r="L69" i="13" a="1"/>
  <c r="M71" i="13" a="1"/>
  <c r="N73" i="13" a="1"/>
  <c r="O75" i="13" a="1"/>
  <c r="K78" i="13" a="1"/>
  <c r="L79" i="13" a="1"/>
  <c r="M81" i="13" a="1"/>
  <c r="N83" i="13" a="1"/>
  <c r="O85" i="13" a="1"/>
  <c r="N22" i="13" a="1"/>
  <c r="O24" i="13" a="1"/>
  <c r="K27" i="13" a="1"/>
  <c r="L28" i="13" a="1"/>
  <c r="M30" i="13" a="1"/>
  <c r="N32" i="13" a="1"/>
  <c r="O34" i="13" a="1"/>
  <c r="K37" i="13" a="1"/>
  <c r="L38" i="13" a="1"/>
  <c r="M40" i="13" a="1"/>
  <c r="N42" i="13" a="1"/>
  <c r="O44" i="13" a="1"/>
  <c r="K47" i="13" a="1"/>
  <c r="L48" i="13" a="1"/>
  <c r="M50" i="13" a="1"/>
  <c r="N52" i="13" a="1"/>
  <c r="O54" i="13" a="1"/>
  <c r="K57" i="13" a="1"/>
  <c r="L58" i="13" a="1"/>
  <c r="M60" i="13" a="1"/>
  <c r="N62" i="13" a="1"/>
  <c r="O64" i="13" a="1"/>
  <c r="K67" i="13" a="1"/>
  <c r="L68" i="13" a="1"/>
  <c r="M70" i="13" a="1"/>
  <c r="N72" i="13" a="1"/>
  <c r="O74" i="13" a="1"/>
  <c r="K77" i="13" a="1"/>
  <c r="L78" i="13" a="1"/>
  <c r="M80" i="13" a="1"/>
  <c r="N82" i="13" a="1"/>
  <c r="O84" i="13" a="1"/>
  <c r="K87" i="13" a="1"/>
  <c r="L4" i="13" a="1"/>
  <c r="M5" i="13" a="1"/>
  <c r="N6" i="13" a="1"/>
  <c r="O7" i="13" a="1"/>
  <c r="L9" i="13" a="1"/>
  <c r="M10" i="13" a="1"/>
  <c r="N11" i="13" a="1"/>
  <c r="O12" i="13" a="1"/>
  <c r="L14" i="13" a="1"/>
  <c r="M15" i="13" a="1"/>
  <c r="N16" i="13" a="1"/>
  <c r="O17" i="13" a="1"/>
  <c r="L19" i="13" a="1"/>
  <c r="M20" i="13" a="1"/>
  <c r="N21" i="13" a="1"/>
  <c r="O23" i="13" a="1"/>
  <c r="K26" i="13" a="1"/>
  <c r="L27" i="13" a="1"/>
  <c r="M29" i="13" a="1"/>
  <c r="N31" i="13" a="1"/>
  <c r="O33" i="13" a="1"/>
  <c r="K36" i="13" a="1"/>
  <c r="L37" i="13" a="1"/>
  <c r="M39" i="13" a="1"/>
  <c r="N41" i="13" a="1"/>
  <c r="O43" i="13" a="1"/>
  <c r="K46" i="13" a="1"/>
  <c r="L47" i="13" a="1"/>
  <c r="M49" i="13" a="1"/>
  <c r="N51" i="13" a="1"/>
  <c r="M4" i="13" a="1"/>
  <c r="N10" i="13" a="1"/>
  <c r="N15" i="13" a="1"/>
  <c r="K29" i="13" a="1"/>
  <c r="O31" i="13" a="1"/>
  <c r="N34" i="13" a="1"/>
  <c r="O36" i="13" a="1"/>
  <c r="K39" i="13" a="1"/>
  <c r="L50" i="13" a="1"/>
  <c r="M52" i="13" a="1"/>
  <c r="L54" i="13" a="1"/>
  <c r="L56" i="13" a="1"/>
  <c r="M63" i="13" a="1"/>
  <c r="K65" i="13" a="1"/>
  <c r="M26" i="13" a="1"/>
  <c r="K35" i="13" a="1"/>
  <c r="L46" i="13" a="1"/>
  <c r="M48" i="13" a="1"/>
  <c r="N50" i="13" a="1"/>
  <c r="K60" i="13" a="1"/>
  <c r="O61" i="13" a="1"/>
  <c r="L65" i="13" a="1"/>
  <c r="N5" i="13" a="1"/>
  <c r="O11" i="13" a="1"/>
  <c r="N20" i="13" a="1"/>
  <c r="K24" i="13" a="1"/>
  <c r="O26" i="13" a="1"/>
  <c r="N29" i="13" a="1"/>
  <c r="M32" i="13" a="1"/>
  <c r="L35" i="13" a="1"/>
  <c r="M37" i="13" a="1"/>
  <c r="N39" i="13" a="1"/>
  <c r="O41" i="13" a="1"/>
  <c r="K44" i="13" a="1"/>
  <c r="O52" i="13" a="1"/>
  <c r="N54" i="13" a="1"/>
  <c r="M56" i="13" a="1"/>
  <c r="M58" i="13" a="1"/>
  <c r="O16" i="13" a="1"/>
  <c r="L24" i="13" a="1"/>
  <c r="O32" i="13" a="1"/>
  <c r="L44" i="13" a="1"/>
  <c r="M46" i="13" a="1"/>
  <c r="N48" i="13" a="1"/>
  <c r="O50" i="13" a="1"/>
  <c r="L67" i="13" a="1"/>
  <c r="N68" i="13" a="1"/>
  <c r="O6" i="13" a="1"/>
  <c r="L13" i="13" a="1"/>
  <c r="N24" i="13" a="1"/>
  <c r="M27" i="13" a="1"/>
  <c r="L30" i="13" a="1"/>
  <c r="N35" i="13" a="1"/>
  <c r="O37" i="13" a="1"/>
  <c r="K40" i="13" a="1"/>
  <c r="L51" i="13" a="1"/>
  <c r="K53" i="13" a="1"/>
  <c r="K55" i="13" a="1"/>
  <c r="O56" i="13" a="1"/>
  <c r="N58" i="13" a="1"/>
  <c r="N60" i="13" a="1"/>
  <c r="M62" i="13" a="1"/>
  <c r="K64" i="13" a="1"/>
  <c r="N65" i="13" a="1"/>
  <c r="O68" i="13" a="1"/>
  <c r="L75" i="13" a="1"/>
  <c r="M78" i="13" a="1"/>
  <c r="N81" i="13" a="1"/>
  <c r="K83" i="13" a="1"/>
  <c r="N84" i="13" a="1"/>
  <c r="L90" i="13" a="1"/>
  <c r="M91" i="13" a="1"/>
  <c r="N93" i="13" a="1"/>
  <c r="O95" i="13" a="1"/>
  <c r="K98" i="13" a="1"/>
  <c r="L99" i="13" a="1"/>
  <c r="M101" i="13" a="1"/>
  <c r="N103" i="13" a="1"/>
  <c r="O105" i="13" a="1"/>
  <c r="K108" i="13" a="1"/>
  <c r="L109" i="13" a="1"/>
  <c r="L110" i="13" a="1"/>
  <c r="L111" i="13" a="1"/>
  <c r="L112" i="13" a="1"/>
  <c r="L113" i="13" a="1"/>
  <c r="L114" i="13" a="1"/>
  <c r="L115" i="13" a="1"/>
  <c r="L116" i="13" a="1"/>
  <c r="L117" i="13" a="1"/>
  <c r="L118" i="13" a="1"/>
  <c r="L119" i="13" a="1"/>
  <c r="L120" i="13" a="1"/>
  <c r="L121" i="13" a="1"/>
  <c r="L122" i="13" a="1"/>
  <c r="L123" i="13" a="1"/>
  <c r="O21" i="13" a="1"/>
  <c r="K25" i="13" a="1"/>
  <c r="N30" i="13" a="1"/>
  <c r="K33" i="13" a="1"/>
  <c r="L40" i="13" a="1"/>
  <c r="M42" i="13" a="1"/>
  <c r="N44" i="13" a="1"/>
  <c r="O46" i="13" a="1"/>
  <c r="K49" i="13" a="1"/>
  <c r="M53" i="13" a="1"/>
  <c r="L55" i="13" a="1"/>
  <c r="L57" i="13" a="1"/>
  <c r="L64" i="13" a="1"/>
  <c r="M67" i="13" a="1"/>
  <c r="N70" i="13" a="1"/>
  <c r="L72" i="13" a="1"/>
  <c r="O73" i="13" a="1"/>
  <c r="O76" i="13" a="1"/>
  <c r="K80" i="13" a="1"/>
  <c r="M86" i="13" a="1"/>
  <c r="O87" i="13" a="1"/>
  <c r="K89" i="13" a="1"/>
  <c r="N92" i="13" a="1"/>
  <c r="O94" i="13" a="1"/>
  <c r="K97" i="13" a="1"/>
  <c r="L98" i="13" a="1"/>
  <c r="M100" i="13" a="1"/>
  <c r="N102" i="13" a="1"/>
  <c r="O104" i="13" a="1"/>
  <c r="K107" i="13" a="1"/>
  <c r="L108" i="13" a="1"/>
  <c r="L8" i="13" a="1"/>
  <c r="L18" i="13" a="1"/>
  <c r="L25" i="13" a="1"/>
  <c r="L36" i="13" a="1"/>
  <c r="M38" i="13" a="1"/>
  <c r="N40" i="13" a="1"/>
  <c r="O42" i="13" a="1"/>
  <c r="K45" i="13" a="1"/>
  <c r="K59" i="13" a="1"/>
  <c r="O60" i="13" a="1"/>
  <c r="O62" i="13" a="1"/>
  <c r="M64" i="13" a="1"/>
  <c r="K66" i="13" a="1"/>
  <c r="K69" i="13" a="1"/>
  <c r="L77" i="13" a="1"/>
  <c r="N78" i="13" a="1"/>
  <c r="L80" i="13" a="1"/>
  <c r="O81" i="13" a="1"/>
  <c r="M83" i="13" a="1"/>
  <c r="K85" i="13" a="1"/>
  <c r="N86" i="13" a="1"/>
  <c r="L89" i="13" a="1"/>
  <c r="M90" i="13" a="1"/>
  <c r="N91" i="13" a="1"/>
  <c r="O93" i="13" a="1"/>
  <c r="K96" i="13" a="1"/>
  <c r="L97" i="13" a="1"/>
  <c r="M99" i="13" a="1"/>
  <c r="N101" i="13" a="1"/>
  <c r="O103" i="13" a="1"/>
  <c r="K54" i="13" a="1"/>
  <c r="L60" i="13" a="1"/>
  <c r="N64" i="13" a="1"/>
  <c r="L70" i="13" a="1"/>
  <c r="O72" i="13" a="1"/>
  <c r="M77" i="13" a="1"/>
  <c r="K84" i="13" a="1"/>
  <c r="L86" i="13" a="1"/>
  <c r="O91" i="13" a="1"/>
  <c r="K95" i="13" a="1"/>
  <c r="L101" i="13" a="1"/>
  <c r="M104" i="13" a="1"/>
  <c r="N108" i="13" a="1"/>
  <c r="O124" i="13" a="1"/>
  <c r="K127" i="13" a="1"/>
  <c r="L129" i="13" a="1"/>
  <c r="M130" i="13" a="1"/>
  <c r="N132" i="13" a="1"/>
  <c r="O134" i="13" a="1"/>
  <c r="K137" i="13" a="1"/>
  <c r="L139" i="13" a="1"/>
  <c r="M140" i="13" a="1"/>
  <c r="N142" i="13" a="1"/>
  <c r="O144" i="13" a="1"/>
  <c r="K147" i="13" a="1"/>
  <c r="L149" i="13" a="1"/>
  <c r="M150" i="13" a="1"/>
  <c r="N152" i="13" a="1"/>
  <c r="O154" i="13" a="1"/>
  <c r="K157" i="13" a="1"/>
  <c r="L159" i="13" a="1"/>
  <c r="M160" i="13" a="1"/>
  <c r="N162" i="13" a="1"/>
  <c r="O164" i="13" a="1"/>
  <c r="K167" i="13" a="1"/>
  <c r="L169" i="13" a="1"/>
  <c r="M170" i="13" a="1"/>
  <c r="N172" i="13" a="1"/>
  <c r="O174" i="13" a="1"/>
  <c r="K177" i="13" a="1"/>
  <c r="L179" i="13" a="1"/>
  <c r="M180" i="13" a="1"/>
  <c r="N182" i="13" a="1"/>
  <c r="O184" i="13" a="1"/>
  <c r="K187" i="13" a="1"/>
  <c r="M9" i="13" a="1"/>
  <c r="K23" i="13" a="1"/>
  <c r="O40" i="13" a="1"/>
  <c r="O47" i="13" a="1"/>
  <c r="N55" i="13" a="1"/>
  <c r="L61" i="13" a="1"/>
  <c r="O70" i="13" a="1"/>
  <c r="K75" i="13" a="1"/>
  <c r="N79" i="13" a="1"/>
  <c r="L82" i="13" a="1"/>
  <c r="L84" i="13" a="1"/>
  <c r="M88" i="13" a="1"/>
  <c r="K90" i="13" a="1"/>
  <c r="M93" i="13" a="1"/>
  <c r="L95" i="13" a="1"/>
  <c r="N96" i="13" a="1"/>
  <c r="M98" i="13" a="1"/>
  <c r="K34" i="13" a="1"/>
  <c r="L41" i="13" a="1"/>
  <c r="N49" i="13" a="1"/>
  <c r="M68" i="13" a="1"/>
  <c r="K71" i="13" a="1"/>
  <c r="K73" i="13" a="1"/>
  <c r="N75" i="13" a="1"/>
  <c r="M84" i="13" a="1"/>
  <c r="O86" i="13" a="1"/>
  <c r="K92" i="13" a="1"/>
  <c r="L103" i="13" a="1"/>
  <c r="M14" i="13" a="1"/>
  <c r="L34" i="13" a="1"/>
  <c r="K56" i="13" a="1"/>
  <c r="N61" i="13" a="1"/>
  <c r="L66" i="13" a="1"/>
  <c r="L71" i="13" a="1"/>
  <c r="O77" i="13" a="1"/>
  <c r="M82" i="13" a="1"/>
  <c r="L92" i="13" a="1"/>
  <c r="M95" i="13" a="1"/>
  <c r="O96" i="13" a="1"/>
  <c r="N98" i="13" a="1"/>
  <c r="K100" i="13" a="1"/>
  <c r="O101" i="13" a="1"/>
  <c r="N107" i="13" a="1"/>
  <c r="M110" i="13" a="1"/>
  <c r="N111" i="13" a="1"/>
  <c r="O112" i="13" a="1"/>
  <c r="K114" i="13" a="1"/>
  <c r="M115" i="13" a="1"/>
  <c r="N116" i="13" a="1"/>
  <c r="O117" i="13" a="1"/>
  <c r="K119" i="13" a="1"/>
  <c r="M120" i="13" a="1"/>
  <c r="N121" i="13" a="1"/>
  <c r="O122" i="13" a="1"/>
  <c r="K124" i="13" a="1"/>
  <c r="L126" i="13" a="1"/>
  <c r="M127" i="13" a="1"/>
  <c r="N129" i="13" a="1"/>
  <c r="O131" i="13" a="1"/>
  <c r="K134" i="13" a="1"/>
  <c r="L136" i="13" a="1"/>
  <c r="M137" i="13" a="1"/>
  <c r="N139" i="13" a="1"/>
  <c r="O141" i="13" a="1"/>
  <c r="L26" i="13" a="1"/>
  <c r="K43" i="13" a="1"/>
  <c r="K50" i="13" a="1"/>
  <c r="M57" i="13" a="1"/>
  <c r="M69" i="13" a="1"/>
  <c r="M73" i="13" a="1"/>
  <c r="K76" i="13" a="1"/>
  <c r="N80" i="13" a="1"/>
  <c r="L85" i="13" a="1"/>
  <c r="L87" i="13" a="1"/>
  <c r="O88" i="13" a="1"/>
  <c r="O90" i="13" a="1"/>
  <c r="K94" i="13" a="1"/>
  <c r="L100" i="13" a="1"/>
  <c r="M103" i="13" a="1"/>
  <c r="K105" i="13" a="1"/>
  <c r="M106" i="13" a="1"/>
  <c r="K109" i="13" a="1"/>
  <c r="L125" i="13" a="1"/>
  <c r="M126" i="13" a="1"/>
  <c r="N128" i="13" a="1"/>
  <c r="O130" i="13" a="1"/>
  <c r="K133" i="13" a="1"/>
  <c r="L135" i="13" a="1"/>
  <c r="M136" i="13" a="1"/>
  <c r="N138" i="13" a="1"/>
  <c r="O140" i="13" a="1"/>
  <c r="K143" i="13" a="1"/>
  <c r="L145" i="13" a="1"/>
  <c r="M146" i="13" a="1"/>
  <c r="N148" i="13" a="1"/>
  <c r="O150" i="13" a="1"/>
  <c r="K153" i="13" a="1"/>
  <c r="L155" i="13" a="1"/>
  <c r="M156" i="13" a="1"/>
  <c r="N158" i="13" a="1"/>
  <c r="O160" i="13" a="1"/>
  <c r="M28" i="13" a="1"/>
  <c r="M36" i="13" a="1"/>
  <c r="M43" i="13" a="1"/>
  <c r="O51" i="13" a="1"/>
  <c r="M66" i="13" a="1"/>
  <c r="N71" i="13" a="1"/>
  <c r="K74" i="13" a="1"/>
  <c r="L76" i="13" a="1"/>
  <c r="O82" i="13" a="1"/>
  <c r="M92" i="13" a="1"/>
  <c r="L94" i="13" a="1"/>
  <c r="N95" i="13" a="1"/>
  <c r="M97" i="13" a="1"/>
  <c r="O98" i="13" a="1"/>
  <c r="N100" i="13" a="1"/>
  <c r="K102" i="13" a="1"/>
  <c r="L105" i="13" a="1"/>
  <c r="O107" i="13" a="1"/>
  <c r="M109" i="13" a="1"/>
  <c r="N110" i="13" a="1"/>
  <c r="O111" i="13" a="1"/>
  <c r="K113" i="13" a="1"/>
  <c r="M114" i="13" a="1"/>
  <c r="N115" i="13" a="1"/>
  <c r="O116" i="13" a="1"/>
  <c r="K118" i="13" a="1"/>
  <c r="L45" i="13" a="1"/>
  <c r="O57" i="13" a="1"/>
  <c r="K63" i="13" a="1"/>
  <c r="N66" i="13" a="1"/>
  <c r="N69" i="13" a="1"/>
  <c r="L74" i="13" a="1"/>
  <c r="O78" i="13" a="1"/>
  <c r="O80" i="13" a="1"/>
  <c r="M87" i="13" a="1"/>
  <c r="M89" i="13" a="1"/>
  <c r="K91" i="13" a="1"/>
  <c r="O92" i="13" a="1"/>
  <c r="L102" i="13" a="1"/>
  <c r="N106" i="13" a="1"/>
  <c r="M124" i="13" a="1"/>
  <c r="N126" i="13" a="1"/>
  <c r="O128" i="13" a="1"/>
  <c r="K131" i="13" a="1"/>
  <c r="L133" i="13" a="1"/>
  <c r="M134" i="13" a="1"/>
  <c r="N136" i="13" a="1"/>
  <c r="N28" i="13" a="1"/>
  <c r="M59" i="13" a="1"/>
  <c r="O66" i="13" a="1"/>
  <c r="O71" i="13" a="1"/>
  <c r="M74" i="13" a="1"/>
  <c r="M76" i="13" a="1"/>
  <c r="K81" i="13" a="1"/>
  <c r="N85" i="13" a="1"/>
  <c r="L91" i="13" a="1"/>
  <c r="M94" i="13" a="1"/>
  <c r="L96" i="13" a="1"/>
  <c r="N97" i="13" a="1"/>
  <c r="K99" i="13" a="1"/>
  <c r="M19" i="13" a="1"/>
  <c r="M107" i="13" a="1"/>
  <c r="K110" i="13" a="1"/>
  <c r="N112" i="13" a="1"/>
  <c r="K115" i="13" a="1"/>
  <c r="N117" i="13" a="1"/>
  <c r="O119" i="13" a="1"/>
  <c r="K122" i="13" a="1"/>
  <c r="O125" i="13" a="1"/>
  <c r="O127" i="13" a="1"/>
  <c r="M131" i="13" a="1"/>
  <c r="M133" i="13" a="1"/>
  <c r="K135" i="13" a="1"/>
  <c r="L143" i="13" a="1"/>
  <c r="N144" i="13" a="1"/>
  <c r="K146" i="13" a="1"/>
  <c r="M147" i="13" a="1"/>
  <c r="O148" i="13" a="1"/>
  <c r="N151" i="13" a="1"/>
  <c r="M154" i="13" a="1"/>
  <c r="L161" i="13" a="1"/>
  <c r="O163" i="13" a="1"/>
  <c r="K165" i="13" a="1"/>
  <c r="L166" i="13" a="1"/>
  <c r="M172" i="13" a="1"/>
  <c r="N173" i="13" a="1"/>
  <c r="M177" i="13" a="1"/>
  <c r="N178" i="13" a="1"/>
  <c r="O179" i="13" a="1"/>
  <c r="K181" i="13" a="1"/>
  <c r="L182" i="13" a="1"/>
  <c r="K186" i="13" a="1"/>
  <c r="L187" i="13" a="1"/>
  <c r="M188" i="13" a="1"/>
  <c r="N190" i="13" a="1"/>
  <c r="O192" i="13" a="1"/>
  <c r="K195" i="13" a="1"/>
  <c r="L197" i="13" a="1"/>
  <c r="M198" i="13" a="1"/>
  <c r="N200" i="13" a="1"/>
  <c r="O202" i="13" a="1"/>
  <c r="K205" i="13" a="1"/>
  <c r="L207" i="13" a="1"/>
  <c r="M208" i="13" a="1"/>
  <c r="N210" i="13" a="1"/>
  <c r="O212" i="13" a="1"/>
  <c r="K215" i="13" a="1"/>
  <c r="L217" i="13" a="1"/>
  <c r="M218" i="13" a="1"/>
  <c r="N220" i="13" a="1"/>
  <c r="O222" i="13" a="1"/>
  <c r="K225" i="13" a="1"/>
  <c r="L227" i="13" a="1"/>
  <c r="M228" i="13" a="1"/>
  <c r="N230" i="13" a="1"/>
  <c r="O232" i="13" a="1"/>
  <c r="O22" i="13" a="1"/>
  <c r="O30" i="13" a="1"/>
  <c r="O63" i="13" a="1"/>
  <c r="N76" i="13" a="1"/>
  <c r="K88" i="13" a="1"/>
  <c r="M105" i="13" a="1"/>
  <c r="O110" i="13" a="1"/>
  <c r="M113" i="13" a="1"/>
  <c r="O115" i="13" a="1"/>
  <c r="M118" i="13" a="1"/>
  <c r="M122" i="13" a="1"/>
  <c r="K128" i="13" a="1"/>
  <c r="K130" i="13" a="1"/>
  <c r="N133" i="13" a="1"/>
  <c r="N135" i="13" a="1"/>
  <c r="L137" i="13" a="1"/>
  <c r="L146" i="13" a="1"/>
  <c r="K149" i="13" a="1"/>
  <c r="O151" i="13" a="1"/>
  <c r="L153" i="13" a="1"/>
  <c r="N154" i="13" a="1"/>
  <c r="K156" i="13" a="1"/>
  <c r="M157" i="13" a="1"/>
  <c r="O158" i="13" a="1"/>
  <c r="N161" i="13" a="1"/>
  <c r="O162" i="13" a="1"/>
  <c r="K164" i="13" a="1"/>
  <c r="L165" i="13" a="1"/>
  <c r="M171" i="13" a="1"/>
  <c r="L88" i="13" a="1"/>
  <c r="M96" i="13" a="1"/>
  <c r="M108" i="13" a="1"/>
  <c r="N120" i="13" a="1"/>
  <c r="N122" i="13" a="1"/>
  <c r="N124" i="13" a="1"/>
  <c r="L128" i="13" a="1"/>
  <c r="K132" i="13" a="1"/>
  <c r="O133" i="13" a="1"/>
  <c r="N137" i="13" a="1"/>
  <c r="K139" i="13" a="1"/>
  <c r="N140" i="13" a="1"/>
  <c r="L142" i="13" a="1"/>
  <c r="N143" i="13" a="1"/>
  <c r="K145" i="13" a="1"/>
  <c r="O147" i="13" a="1"/>
  <c r="N150" i="13" a="1"/>
  <c r="K152" i="13" a="1"/>
  <c r="M153" i="13" a="1"/>
  <c r="N157" i="13" a="1"/>
  <c r="L160" i="13" a="1"/>
  <c r="M165" i="13" a="1"/>
  <c r="N166" i="13" a="1"/>
  <c r="O167" i="13" a="1"/>
  <c r="K169" i="13" a="1"/>
  <c r="L170" i="13" a="1"/>
  <c r="N171" i="13" a="1"/>
  <c r="O172" i="13" a="1"/>
  <c r="K174" i="13" a="1"/>
  <c r="L175" i="13" a="1"/>
  <c r="M181" i="13" a="1"/>
  <c r="M186" i="13" a="1"/>
  <c r="N187" i="13" a="1"/>
  <c r="O189" i="13" a="1"/>
  <c r="K192" i="13" a="1"/>
  <c r="L194" i="13" a="1"/>
  <c r="M195" i="13" a="1"/>
  <c r="N197" i="13" a="1"/>
  <c r="O199" i="13" a="1"/>
  <c r="K202" i="13" a="1"/>
  <c r="L204" i="13" a="1"/>
  <c r="M205" i="13" a="1"/>
  <c r="N207" i="13" a="1"/>
  <c r="O209" i="13" a="1"/>
  <c r="K212" i="13" a="1"/>
  <c r="L214" i="13" a="1"/>
  <c r="M215" i="13" a="1"/>
  <c r="N217" i="13" a="1"/>
  <c r="N38" i="13" a="1"/>
  <c r="K79" i="13" a="1"/>
  <c r="M102" i="13" a="1"/>
  <c r="N105" i="13" a="1"/>
  <c r="K111" i="13" a="1"/>
  <c r="N113" i="13" a="1"/>
  <c r="K116" i="13" a="1"/>
  <c r="N118" i="13" a="1"/>
  <c r="O120" i="13" a="1"/>
  <c r="M128" i="13" a="1"/>
  <c r="L130" i="13" a="1"/>
  <c r="L132" i="13" a="1"/>
  <c r="O135" i="13" a="1"/>
  <c r="M142" i="13" a="1"/>
  <c r="O143" i="13" a="1"/>
  <c r="N146" i="13" a="1"/>
  <c r="M149" i="13" a="1"/>
  <c r="L156" i="13" a="1"/>
  <c r="K159" i="13" a="1"/>
  <c r="O161" i="13" a="1"/>
  <c r="K163" i="13" a="1"/>
  <c r="L164" i="13" a="1"/>
  <c r="M175" i="13" a="1"/>
  <c r="N176" i="13" a="1"/>
  <c r="O177" i="13" a="1"/>
  <c r="K179" i="13" a="1"/>
  <c r="L180" i="13" a="1"/>
  <c r="N181" i="13" a="1"/>
  <c r="O182" i="13" a="1"/>
  <c r="K184" i="13" a="1"/>
  <c r="L185" i="13" a="1"/>
  <c r="O188" i="13" a="1"/>
  <c r="K191" i="13" a="1"/>
  <c r="L193" i="13" a="1"/>
  <c r="M194" i="13" a="1"/>
  <c r="N196" i="13" a="1"/>
  <c r="O198" i="13" a="1"/>
  <c r="K201" i="13" a="1"/>
  <c r="L203" i="13" a="1"/>
  <c r="M204" i="13" a="1"/>
  <c r="N206" i="13" a="1"/>
  <c r="O208" i="13" a="1"/>
  <c r="K211" i="13" a="1"/>
  <c r="L213" i="13" a="1"/>
  <c r="M214" i="13" a="1"/>
  <c r="N216" i="13" a="1"/>
  <c r="O218" i="13" a="1"/>
  <c r="K221" i="13" a="1"/>
  <c r="L223" i="13" a="1"/>
  <c r="M224" i="13" a="1"/>
  <c r="N226" i="13" a="1"/>
  <c r="O228" i="13" a="1"/>
  <c r="K231" i="13" a="1"/>
  <c r="L233" i="13" a="1"/>
  <c r="O67" i="13" a="1"/>
  <c r="M79" i="13" a="1"/>
  <c r="O89" i="13" a="1"/>
  <c r="O97" i="13" a="1"/>
  <c r="O102" i="13" a="1"/>
  <c r="K106" i="13" a="1"/>
  <c r="M111" i="13" a="1"/>
  <c r="O113" i="13" a="1"/>
  <c r="M116" i="13" a="1"/>
  <c r="O118" i="13" a="1"/>
  <c r="K123" i="13" a="1"/>
  <c r="O126" i="13" a="1"/>
  <c r="M132" i="13" a="1"/>
  <c r="L134" i="13" a="1"/>
  <c r="K136" i="13" a="1"/>
  <c r="O137" i="13" a="1"/>
  <c r="M139" i="13" a="1"/>
  <c r="K141" i="13" a="1"/>
  <c r="M145" i="13" a="1"/>
  <c r="K148" i="13" a="1"/>
  <c r="L152" i="13" a="1"/>
  <c r="N153" i="13" a="1"/>
  <c r="K155" i="13" a="1"/>
  <c r="O157" i="13" a="1"/>
  <c r="N160" i="13" a="1"/>
  <c r="M164" i="13" a="1"/>
  <c r="N165" i="13" a="1"/>
  <c r="O166" i="13" a="1"/>
  <c r="K168" i="13" a="1"/>
  <c r="M169" i="13" a="1"/>
  <c r="N170" i="13" a="1"/>
  <c r="O171" i="13" a="1"/>
  <c r="K173" i="13" a="1"/>
  <c r="L174" i="13" a="1"/>
  <c r="M185" i="13" a="1"/>
  <c r="N186" i="13" a="1"/>
  <c r="O187" i="13" a="1"/>
  <c r="K190" i="13" a="1"/>
  <c r="L192" i="13" a="1"/>
  <c r="M193" i="13" a="1"/>
  <c r="N195" i="13" a="1"/>
  <c r="O197" i="13" a="1"/>
  <c r="N45" i="13" a="1"/>
  <c r="L81" i="13" a="1"/>
  <c r="K103" i="13" a="1"/>
  <c r="L106" i="13" a="1"/>
  <c r="O108" i="13" a="1"/>
  <c r="K121" i="13" a="1"/>
  <c r="M123" i="13" a="1"/>
  <c r="K125" i="13" a="1"/>
  <c r="N130" i="13" a="1"/>
  <c r="K144" i="13" a="1"/>
  <c r="O146" i="13" a="1"/>
  <c r="L148" i="13" a="1"/>
  <c r="N149" i="13" a="1"/>
  <c r="K151" i="13" a="1"/>
  <c r="M152" i="13" a="1"/>
  <c r="O153" i="13" a="1"/>
  <c r="N156" i="13" a="1"/>
  <c r="M159" i="13" a="1"/>
  <c r="K162" i="13" a="1"/>
  <c r="L163" i="13" a="1"/>
  <c r="L168" i="13" a="1"/>
  <c r="M174" i="13" a="1"/>
  <c r="N175" i="13" a="1"/>
  <c r="O176" i="13" a="1"/>
  <c r="K178" i="13" a="1"/>
  <c r="M179" i="13" a="1"/>
  <c r="N180" i="13" a="1"/>
  <c r="O181" i="13" a="1"/>
  <c r="K183" i="13" a="1"/>
  <c r="L184" i="13" a="1"/>
  <c r="K189" i="13" a="1"/>
  <c r="L191" i="13" a="1"/>
  <c r="M192" i="13" a="1"/>
  <c r="N194" i="13" a="1"/>
  <c r="O196" i="13" a="1"/>
  <c r="K199" i="13" a="1"/>
  <c r="M47" i="13" a="1"/>
  <c r="K70" i="13" a="1"/>
  <c r="N99" i="13" a="1"/>
  <c r="K104" i="13" a="1"/>
  <c r="N109" i="13" a="1"/>
  <c r="K112" i="13" a="1"/>
  <c r="N114" i="13" a="1"/>
  <c r="K117" i="13" a="1"/>
  <c r="M119" i="13" a="1"/>
  <c r="M121" i="13" a="1"/>
  <c r="M125" i="13" a="1"/>
  <c r="K129" i="13" a="1"/>
  <c r="N134" i="13" a="1"/>
  <c r="K138" i="13" a="1"/>
  <c r="O139" i="13" a="1"/>
  <c r="L141" i="13" a="1"/>
  <c r="O142" i="13" a="1"/>
  <c r="L144" i="13" a="1"/>
  <c r="N145" i="13" a="1"/>
  <c r="M148" i="13" a="1"/>
  <c r="O149" i="13" a="1"/>
  <c r="M155" i="13" a="1"/>
  <c r="K158" i="13" a="1"/>
  <c r="M163" i="13" a="1"/>
  <c r="N164" i="13" a="1"/>
  <c r="O165" i="13" a="1"/>
  <c r="M168" i="13" a="1"/>
  <c r="N169" i="13" a="1"/>
  <c r="O170" i="13" a="1"/>
  <c r="K172" i="13" a="1"/>
  <c r="L173" i="13" a="1"/>
  <c r="L178" i="13" a="1"/>
  <c r="O53" i="13" a="1"/>
  <c r="L93" i="13" a="1"/>
  <c r="O123" i="13" a="1"/>
  <c r="O129" i="13" a="1"/>
  <c r="N141" i="13" a="1"/>
  <c r="L151" i="13" a="1"/>
  <c r="N155" i="13" a="1"/>
  <c r="K160" i="13" a="1"/>
  <c r="N168" i="13" a="1"/>
  <c r="O175" i="13" a="1"/>
  <c r="K182" i="13" a="1"/>
  <c r="L189" i="13" a="1"/>
  <c r="K200" i="13" a="1"/>
  <c r="K203" i="13" a="1"/>
  <c r="L206" i="13" a="1"/>
  <c r="M209" i="13" a="1"/>
  <c r="N212" i="13" a="1"/>
  <c r="O215" i="13" a="1"/>
  <c r="M217" i="13" a="1"/>
  <c r="K219" i="13" a="1"/>
  <c r="M220" i="13" a="1"/>
  <c r="O221" i="13" a="1"/>
  <c r="N224" i="13" a="1"/>
  <c r="M227" i="13" a="1"/>
  <c r="L234" i="13" a="1"/>
  <c r="N236" i="13" a="1"/>
  <c r="O238" i="13" a="1"/>
  <c r="K240" i="13" a="1"/>
  <c r="L242" i="13" a="1"/>
  <c r="M244" i="13" a="1"/>
  <c r="M245" i="13" a="1"/>
  <c r="M246" i="13" a="1"/>
  <c r="M247" i="13" a="1"/>
  <c r="M248" i="13" a="1"/>
  <c r="M249" i="13" a="1"/>
  <c r="M250" i="13" a="1"/>
  <c r="M251" i="13" a="1"/>
  <c r="M252" i="13" a="1"/>
  <c r="M253" i="13" a="1"/>
  <c r="M254" i="13" a="1"/>
  <c r="M255" i="13" a="1"/>
  <c r="M256" i="13" a="1"/>
  <c r="M257" i="13" a="1"/>
  <c r="M258" i="13" a="1"/>
  <c r="M259" i="13" a="1"/>
  <c r="M260" i="13" a="1"/>
  <c r="M261" i="13" a="1"/>
  <c r="M262" i="13" a="1"/>
  <c r="M263" i="13" a="1"/>
  <c r="M264" i="13" a="1"/>
  <c r="M265" i="13" a="1"/>
  <c r="M266" i="13" a="1"/>
  <c r="N59" i="13" a="1"/>
  <c r="O99" i="13" a="1"/>
  <c r="O109" i="13" a="1"/>
  <c r="N125" i="13" a="1"/>
  <c r="L131" i="13" a="1"/>
  <c r="L147" i="13" a="1"/>
  <c r="O156" i="13" a="1"/>
  <c r="M173" i="13" a="1"/>
  <c r="L176" i="13" a="1"/>
  <c r="N179" i="13" a="1"/>
  <c r="M182" i="13" a="1"/>
  <c r="M187" i="13" a="1"/>
  <c r="N189" i="13" a="1"/>
  <c r="O191" i="13" a="1"/>
  <c r="K194" i="13" a="1"/>
  <c r="L196" i="13" a="1"/>
  <c r="L200" i="13" a="1"/>
  <c r="O201" i="13" a="1"/>
  <c r="M211" i="13" a="1"/>
  <c r="N214" i="13" a="1"/>
  <c r="K216" i="13" a="1"/>
  <c r="O217" i="13" a="1"/>
  <c r="L219" i="13" a="1"/>
  <c r="K222" i="13" a="1"/>
  <c r="O224" i="13" a="1"/>
  <c r="L226" i="13" a="1"/>
  <c r="N227" i="13" a="1"/>
  <c r="K229" i="13" a="1"/>
  <c r="M230" i="13" a="1"/>
  <c r="O231" i="13" a="1"/>
  <c r="O236" i="13" a="1"/>
  <c r="K238" i="13" a="1"/>
  <c r="L240" i="13" a="1"/>
  <c r="M242" i="13" a="1"/>
  <c r="N244" i="13" a="1"/>
  <c r="M72" i="13" a="1"/>
  <c r="O100" i="13" a="1"/>
  <c r="N119" i="13" a="1"/>
  <c r="N131" i="13" a="1"/>
  <c r="L138" i="13" a="1"/>
  <c r="N147" i="13" a="1"/>
  <c r="M161" i="13" a="1"/>
  <c r="K166" i="13" a="1"/>
  <c r="O169" i="13" a="1"/>
  <c r="M176" i="13" a="1"/>
  <c r="K185" i="13" a="1"/>
  <c r="M196" i="13" a="1"/>
  <c r="N198" i="13" a="1"/>
  <c r="M200" i="13" a="1"/>
  <c r="N203" i="13" a="1"/>
  <c r="O206" i="13" a="1"/>
  <c r="L208" i="13" a="1"/>
  <c r="K210" i="13" a="1"/>
  <c r="K213" i="13" a="1"/>
  <c r="L216" i="13" a="1"/>
  <c r="M219" i="13" a="1"/>
  <c r="O220" i="13" a="1"/>
  <c r="L222" i="13" a="1"/>
  <c r="N223" i="13" a="1"/>
  <c r="M226" i="13" a="1"/>
  <c r="O227" i="13" a="1"/>
  <c r="M233" i="13" a="1"/>
  <c r="N234" i="13" a="1"/>
  <c r="O235" i="13" a="1"/>
  <c r="K237" i="13" a="1"/>
  <c r="L239" i="13" a="1"/>
  <c r="M241" i="13" a="1"/>
  <c r="N243" i="13" a="1"/>
  <c r="K101" i="13" a="1"/>
  <c r="K126" i="13" a="1"/>
  <c r="O132" i="13" a="1"/>
  <c r="M138" i="13" a="1"/>
  <c r="M143" i="13" a="1"/>
  <c r="O152" i="13" a="1"/>
  <c r="L157" i="13" a="1"/>
  <c r="L162" i="13" a="1"/>
  <c r="K170" i="13" a="1"/>
  <c r="O173" i="13" a="1"/>
  <c r="N185" i="13" a="1"/>
  <c r="K188" i="13" a="1"/>
  <c r="L190" i="13" a="1"/>
  <c r="L202" i="13" a="1"/>
  <c r="L205" i="13" a="1"/>
  <c r="N211" i="13" a="1"/>
  <c r="M213" i="13" a="1"/>
  <c r="O214" i="13" a="1"/>
  <c r="M216" i="13" a="1"/>
  <c r="K218" i="13" a="1"/>
  <c r="N219" i="13" a="1"/>
  <c r="M222" i="13" a="1"/>
  <c r="L229" i="13" a="1"/>
  <c r="K232" i="13" a="1"/>
  <c r="K236" i="13" a="1"/>
  <c r="L238" i="13" a="1"/>
  <c r="M240" i="13" a="1"/>
  <c r="N242" i="13" a="1"/>
  <c r="O244" i="13" a="1"/>
  <c r="N74" i="13" a="1"/>
  <c r="L104" i="13" a="1"/>
  <c r="M112" i="13" a="1"/>
  <c r="K120" i="13" a="1"/>
  <c r="L127" i="13" a="1"/>
  <c r="O138" i="13" a="1"/>
  <c r="M144" i="13" a="1"/>
  <c r="L158" i="13" a="1"/>
  <c r="M162" i="13" a="1"/>
  <c r="M166" i="13" a="1"/>
  <c r="L177" i="13" a="1"/>
  <c r="K180" i="13" a="1"/>
  <c r="L183" i="13" a="1"/>
  <c r="M190" i="13" a="1"/>
  <c r="N192" i="13" a="1"/>
  <c r="O194" i="13" a="1"/>
  <c r="K197" i="13" a="1"/>
  <c r="M202" i="13" a="1"/>
  <c r="O203" i="13" a="1"/>
  <c r="N205" i="13" a="1"/>
  <c r="K207" i="13" a="1"/>
  <c r="N208" i="13" a="1"/>
  <c r="L210" i="13" a="1"/>
  <c r="O211" i="13" a="1"/>
  <c r="O223" i="13" a="1"/>
  <c r="L225" i="13" a="1"/>
  <c r="K228" i="13" a="1"/>
  <c r="M229" i="13" a="1"/>
  <c r="O83" i="13" a="1"/>
  <c r="N127" i="13" a="1"/>
  <c r="M158" i="13" a="1"/>
  <c r="L167" i="13" a="1"/>
  <c r="N174" i="13" a="1"/>
  <c r="O180" i="13" a="1"/>
  <c r="O185" i="13" a="1"/>
  <c r="L199" i="13" a="1"/>
  <c r="L218" i="13" a="1"/>
  <c r="L221" i="13" a="1"/>
  <c r="K224" i="13" a="1"/>
  <c r="O226" i="13" a="1"/>
  <c r="N229" i="13" a="1"/>
  <c r="N231" i="13" a="1"/>
  <c r="K234" i="13" a="1"/>
  <c r="L236" i="13" a="1"/>
  <c r="O237" i="13" a="1"/>
  <c r="M243" i="13" a="1"/>
  <c r="K140" i="13" a="1"/>
  <c r="M167" i="13" a="1"/>
  <c r="M199" i="13" a="1"/>
  <c r="N202" i="13" a="1"/>
  <c r="O205" i="13" a="1"/>
  <c r="K209" i="13" a="1"/>
  <c r="L212" i="13" a="1"/>
  <c r="L215" i="13" a="1"/>
  <c r="M221" i="13" a="1"/>
  <c r="L232" i="13" a="1"/>
  <c r="O239" i="13" a="1"/>
  <c r="O241" i="13" a="1"/>
  <c r="O243" i="13" a="1"/>
  <c r="N246" i="13" a="1"/>
  <c r="N251" i="13" a="1"/>
  <c r="K86" i="13" a="1"/>
  <c r="O114" i="13" a="1"/>
  <c r="L140" i="13" a="1"/>
  <c r="K150" i="13" a="1"/>
  <c r="N159" i="13" a="1"/>
  <c r="N167" i="13" a="1"/>
  <c r="K175" i="13" a="1"/>
  <c r="L186" i="13" a="1"/>
  <c r="O190" i="13" a="1"/>
  <c r="L195" i="13" a="1"/>
  <c r="N199" i="13" a="1"/>
  <c r="M212" i="13" a="1"/>
  <c r="N215" i="13" a="1"/>
  <c r="N218" i="13" a="1"/>
  <c r="L224" i="13" a="1"/>
  <c r="K227" i="13" a="1"/>
  <c r="O229" i="13" a="1"/>
  <c r="M232" i="13" a="1"/>
  <c r="M234" i="13" a="1"/>
  <c r="M236" i="13" a="1"/>
  <c r="M238" i="13" a="1"/>
  <c r="K242" i="13" a="1"/>
  <c r="K244" i="13" a="1"/>
  <c r="O246" i="13" a="1"/>
  <c r="K248" i="13" a="1"/>
  <c r="L249" i="13" a="1"/>
  <c r="O251" i="13" a="1"/>
  <c r="K253" i="13" a="1"/>
  <c r="L254" i="13" a="1"/>
  <c r="O256" i="13" a="1"/>
  <c r="K258" i="13" a="1"/>
  <c r="L259" i="13" a="1"/>
  <c r="O261" i="13" a="1"/>
  <c r="K263" i="13" a="1"/>
  <c r="L264" i="13" a="1"/>
  <c r="O266" i="13" a="1"/>
  <c r="K269" i="13" a="1"/>
  <c r="L271" i="13" a="1"/>
  <c r="M273" i="13" a="1"/>
  <c r="N275" i="13" a="1"/>
  <c r="O276" i="13" a="1"/>
  <c r="K279" i="13" a="1"/>
  <c r="L281" i="13" a="1"/>
  <c r="M283" i="13" a="1"/>
  <c r="K93" i="13" a="1"/>
  <c r="M129" i="13" a="1"/>
  <c r="M141" i="13" a="1"/>
  <c r="L150" i="13" a="1"/>
  <c r="O159" i="13" a="1"/>
  <c r="L181" i="13" a="1"/>
  <c r="O186" i="13" a="1"/>
  <c r="M191" i="13" a="1"/>
  <c r="O195" i="13" a="1"/>
  <c r="K206" i="13" a="1"/>
  <c r="L209" i="13" a="1"/>
  <c r="N221" i="13" a="1"/>
  <c r="K230" i="13" a="1"/>
  <c r="O234" i="13" a="1"/>
  <c r="N245" i="13" a="1"/>
  <c r="N250" i="13" a="1"/>
  <c r="N255" i="13" a="1"/>
  <c r="N260" i="13" a="1"/>
  <c r="N265" i="13" a="1"/>
  <c r="K268" i="13" a="1"/>
  <c r="L270" i="13" a="1"/>
  <c r="M272" i="13" a="1"/>
  <c r="N274" i="13" a="1"/>
  <c r="O275" i="13" a="1"/>
  <c r="K278" i="13" a="1"/>
  <c r="L280" i="13" a="1"/>
  <c r="M282" i="13" a="1"/>
  <c r="N94" i="13" a="1"/>
  <c r="M117" i="13" a="1"/>
  <c r="K142" i="13" a="1"/>
  <c r="M151" i="13" a="1"/>
  <c r="K161" i="13" a="1"/>
  <c r="O168" i="13" a="1"/>
  <c r="K176" i="13" a="1"/>
  <c r="N191" i="13" a="1"/>
  <c r="K196" i="13" a="1"/>
  <c r="M203" i="13" a="1"/>
  <c r="M206" i="13" a="1"/>
  <c r="N209" i="13" a="1"/>
  <c r="L230" i="13" a="1"/>
  <c r="N232" i="13" a="1"/>
  <c r="K235" i="13" a="1"/>
  <c r="N238" i="13" a="1"/>
  <c r="N240" i="13" a="1"/>
  <c r="L244" i="13" a="1"/>
  <c r="O245" i="13" a="1"/>
  <c r="K247" i="13" a="1"/>
  <c r="L248" i="13" a="1"/>
  <c r="O250" i="13" a="1"/>
  <c r="K252" i="13" a="1"/>
  <c r="L253" i="13" a="1"/>
  <c r="O255" i="13" a="1"/>
  <c r="K257" i="13" a="1"/>
  <c r="L258" i="13" a="1"/>
  <c r="O260" i="13" a="1"/>
  <c r="K262" i="13" a="1"/>
  <c r="L263" i="13" a="1"/>
  <c r="O265" i="13" a="1"/>
  <c r="K267" i="13" a="1"/>
  <c r="L269" i="13" a="1"/>
  <c r="M271" i="13" a="1"/>
  <c r="K154" i="13" a="1"/>
  <c r="K171" i="13" a="1"/>
  <c r="M183" i="13" a="1"/>
  <c r="L188" i="13" a="1"/>
  <c r="O200" i="13" a="1"/>
  <c r="K204" i="13" a="1"/>
  <c r="M210" i="13" a="1"/>
  <c r="N213" i="13" a="1"/>
  <c r="O216" i="13" a="1"/>
  <c r="O219" i="13" a="1"/>
  <c r="N222" i="13" a="1"/>
  <c r="M225" i="13" a="1"/>
  <c r="O230" i="13" a="1"/>
  <c r="L237" i="13" a="1"/>
  <c r="N249" i="13" a="1"/>
  <c r="N254" i="13" a="1"/>
  <c r="N259" i="13" a="1"/>
  <c r="N264" i="13" a="1"/>
  <c r="L268" i="13" a="1"/>
  <c r="M270" i="13" a="1"/>
  <c r="N272" i="13" a="1"/>
  <c r="O273" i="13" a="1"/>
  <c r="K276" i="13" a="1"/>
  <c r="L278" i="13" a="1"/>
  <c r="M280" i="13" a="1"/>
  <c r="N282" i="13" a="1"/>
  <c r="N104" i="13" a="1"/>
  <c r="O121" i="13" a="1"/>
  <c r="O106" i="13" a="1"/>
  <c r="L107" i="13" a="1"/>
  <c r="O145" i="13" a="1"/>
  <c r="L171" i="13" a="1"/>
  <c r="M184" i="13" a="1"/>
  <c r="M197" i="13" a="1"/>
  <c r="N204" i="13" a="1"/>
  <c r="L220" i="13" a="1"/>
  <c r="L228" i="13" a="1"/>
  <c r="K239" i="13" a="1"/>
  <c r="O253" i="13" a="1"/>
  <c r="K256" i="13" a="1"/>
  <c r="O257" i="13" a="1"/>
  <c r="K260" i="13" a="1"/>
  <c r="L262" i="13" a="1"/>
  <c r="K264" i="13" a="1"/>
  <c r="L266" i="13" a="1"/>
  <c r="O279" i="13" a="1"/>
  <c r="M281" i="13" a="1"/>
  <c r="K283" i="13" a="1"/>
  <c r="L284" i="13" a="1"/>
  <c r="M286" i="13" a="1"/>
  <c r="N287" i="13" a="1"/>
  <c r="O289" i="13" a="1"/>
  <c r="K292" i="13" a="1"/>
  <c r="L294" i="13" a="1"/>
  <c r="M296" i="13" a="1"/>
  <c r="N297" i="13" a="1"/>
  <c r="O299" i="13" a="1"/>
  <c r="K302" i="13" a="1"/>
  <c r="L304" i="13" a="1"/>
  <c r="M306" i="13" a="1"/>
  <c r="N307" i="13" a="1"/>
  <c r="O309" i="13" a="1"/>
  <c r="K312" i="13" a="1"/>
  <c r="L314" i="13" a="1"/>
  <c r="M316" i="13" a="1"/>
  <c r="N317" i="13" a="1"/>
  <c r="O319" i="13" a="1"/>
  <c r="K322" i="13" a="1"/>
  <c r="L324" i="13" a="1"/>
  <c r="M326" i="13" a="1"/>
  <c r="N327" i="13" a="1"/>
  <c r="O329" i="13" a="1"/>
  <c r="K332" i="13" a="1"/>
  <c r="L334" i="13" a="1"/>
  <c r="M336" i="13" a="1"/>
  <c r="N337" i="13" a="1"/>
  <c r="O339" i="13" a="1"/>
  <c r="K342" i="13" a="1"/>
  <c r="L344" i="13" a="1"/>
  <c r="M346" i="13" a="1"/>
  <c r="N347" i="13" a="1"/>
  <c r="O349" i="13" a="1"/>
  <c r="K352" i="13" a="1"/>
  <c r="L354" i="13" a="1"/>
  <c r="M356" i="13" a="1"/>
  <c r="N357" i="13" a="1"/>
  <c r="O359" i="13" a="1"/>
  <c r="K362" i="13" a="1"/>
  <c r="L364" i="13" a="1"/>
  <c r="M366" i="13" a="1"/>
  <c r="N367" i="13" a="1"/>
  <c r="N184" i="13" a="1"/>
  <c r="O204" i="13" a="1"/>
  <c r="O213" i="13" a="1"/>
  <c r="O233" i="13" a="1"/>
  <c r="M239" i="13" a="1"/>
  <c r="L243" i="13" a="1"/>
  <c r="K249" i="13" a="1"/>
  <c r="M268" i="13" a="1"/>
  <c r="K270" i="13" a="1"/>
  <c r="K272" i="13" a="1"/>
  <c r="N273" i="13" a="1"/>
  <c r="L275" i="13" a="1"/>
  <c r="N276" i="13" a="1"/>
  <c r="M278" i="13" a="1"/>
  <c r="N281" i="13" a="1"/>
  <c r="M285" i="13" a="1"/>
  <c r="N286" i="13" a="1"/>
  <c r="O288" i="13" a="1"/>
  <c r="K291" i="13" a="1"/>
  <c r="L293" i="13" a="1"/>
  <c r="M295" i="13" a="1"/>
  <c r="N296" i="13" a="1"/>
  <c r="O298" i="13" a="1"/>
  <c r="K301" i="13" a="1"/>
  <c r="L303" i="13" a="1"/>
  <c r="M305" i="13" a="1"/>
  <c r="N306" i="13" a="1"/>
  <c r="O308" i="13" a="1"/>
  <c r="K311" i="13" a="1"/>
  <c r="L313" i="13" a="1"/>
  <c r="M315" i="13" a="1"/>
  <c r="N316" i="13" a="1"/>
  <c r="O318" i="13" a="1"/>
  <c r="K321" i="13" a="1"/>
  <c r="L323" i="13" a="1"/>
  <c r="M325" i="13" a="1"/>
  <c r="N326" i="13" a="1"/>
  <c r="O328" i="13" a="1"/>
  <c r="K331" i="13" a="1"/>
  <c r="L333" i="13" a="1"/>
  <c r="M335" i="13" a="1"/>
  <c r="N336" i="13" a="1"/>
  <c r="O338" i="13" a="1"/>
  <c r="K341" i="13" a="1"/>
  <c r="L343" i="13" a="1"/>
  <c r="M345" i="13" a="1"/>
  <c r="N346" i="13" a="1"/>
  <c r="O348" i="13" a="1"/>
  <c r="K351" i="13" a="1"/>
  <c r="L353" i="13" a="1"/>
  <c r="M355" i="13" a="1"/>
  <c r="N356" i="13" a="1"/>
  <c r="O358" i="13" a="1"/>
  <c r="K361" i="13" a="1"/>
  <c r="L363" i="13" a="1"/>
  <c r="M365" i="13" a="1"/>
  <c r="N366" i="13" a="1"/>
  <c r="O368" i="13" a="1"/>
  <c r="N123" i="13" a="1"/>
  <c r="L154" i="13" a="1"/>
  <c r="L172" i="13" a="1"/>
  <c r="K198" i="13" a="1"/>
  <c r="M207" i="13" a="1"/>
  <c r="K214" i="13" a="1"/>
  <c r="N228" i="13" a="1"/>
  <c r="L235" i="13" a="1"/>
  <c r="L247" i="13" a="1"/>
  <c r="O249" i="13" a="1"/>
  <c r="L252" i="13" a="1"/>
  <c r="K254" i="13" a="1"/>
  <c r="L256" i="13" a="1"/>
  <c r="L260" i="13" a="1"/>
  <c r="O264" i="13" a="1"/>
  <c r="K277" i="13" a="1"/>
  <c r="K280" i="13" a="1"/>
  <c r="O281" i="13" a="1"/>
  <c r="L283" i="13" a="1"/>
  <c r="M284" i="13" a="1"/>
  <c r="N285" i="13" a="1"/>
  <c r="O287" i="13" a="1"/>
  <c r="K290" i="13" a="1"/>
  <c r="L292" i="13" a="1"/>
  <c r="M294" i="13" a="1"/>
  <c r="N295" i="13" a="1"/>
  <c r="O297" i="13" a="1"/>
  <c r="K300" i="13" a="1"/>
  <c r="L302" i="13" a="1"/>
  <c r="M304" i="13" a="1"/>
  <c r="N305" i="13" a="1"/>
  <c r="O307" i="13" a="1"/>
  <c r="K310" i="13" a="1"/>
  <c r="L312" i="13" a="1"/>
  <c r="M314" i="13" a="1"/>
  <c r="N315" i="13" a="1"/>
  <c r="O317" i="13" a="1"/>
  <c r="K320" i="13" a="1"/>
  <c r="L322" i="13" a="1"/>
  <c r="M324" i="13" a="1"/>
  <c r="N325" i="13" a="1"/>
  <c r="O327" i="13" a="1"/>
  <c r="K330" i="13" a="1"/>
  <c r="L332" i="13" a="1"/>
  <c r="M334" i="13" a="1"/>
  <c r="N335" i="13" a="1"/>
  <c r="O337" i="13" a="1"/>
  <c r="K340" i="13" a="1"/>
  <c r="L342" i="13" a="1"/>
  <c r="M344" i="13" a="1"/>
  <c r="N345" i="13" a="1"/>
  <c r="O347" i="13" a="1"/>
  <c r="K350" i="13" a="1"/>
  <c r="L352" i="13" a="1"/>
  <c r="M354" i="13" a="1"/>
  <c r="N355" i="13" a="1"/>
  <c r="O357" i="13" a="1"/>
  <c r="K360" i="13" a="1"/>
  <c r="L362" i="13" a="1"/>
  <c r="M364" i="13" a="1"/>
  <c r="L124" i="13" a="1"/>
  <c r="N188" i="13" a="1"/>
  <c r="L198" i="13" a="1"/>
  <c r="M235" i="13" a="1"/>
  <c r="N239" i="13" a="1"/>
  <c r="N258" i="13" a="1"/>
  <c r="N262" i="13" a="1"/>
  <c r="N266" i="13" a="1"/>
  <c r="N268" i="13" a="1"/>
  <c r="N270" i="13" a="1"/>
  <c r="L272" i="13" a="1"/>
  <c r="K274" i="13" a="1"/>
  <c r="M275" i="13" a="1"/>
  <c r="L277" i="13" a="1"/>
  <c r="N278" i="13" a="1"/>
  <c r="N284" i="13" a="1"/>
  <c r="O286" i="13" a="1"/>
  <c r="K289" i="13" a="1"/>
  <c r="L291" i="13" a="1"/>
  <c r="M293" i="13" a="1"/>
  <c r="N294" i="13" a="1"/>
  <c r="O296" i="13" a="1"/>
  <c r="K299" i="13" a="1"/>
  <c r="L301" i="13" a="1"/>
  <c r="M303" i="13" a="1"/>
  <c r="N304" i="13" a="1"/>
  <c r="O306" i="13" a="1"/>
  <c r="K309" i="13" a="1"/>
  <c r="L311" i="13" a="1"/>
  <c r="M313" i="13" a="1"/>
  <c r="N314" i="13" a="1"/>
  <c r="O316" i="13" a="1"/>
  <c r="K319" i="13" a="1"/>
  <c r="L321" i="13" a="1"/>
  <c r="M323" i="13" a="1"/>
  <c r="N324" i="13" a="1"/>
  <c r="O326" i="13" a="1"/>
  <c r="K329" i="13" a="1"/>
  <c r="L331" i="13" a="1"/>
  <c r="M333" i="13" a="1"/>
  <c r="N334" i="13" a="1"/>
  <c r="O336" i="13" a="1"/>
  <c r="K339" i="13" a="1"/>
  <c r="L341" i="13" a="1"/>
  <c r="M343" i="13" a="1"/>
  <c r="N344" i="13" a="1"/>
  <c r="O346" i="13" a="1"/>
  <c r="K349" i="13" a="1"/>
  <c r="L351" i="13" a="1"/>
  <c r="M353" i="13" a="1"/>
  <c r="N354" i="13" a="1"/>
  <c r="O356" i="13" a="1"/>
  <c r="K359" i="13" a="1"/>
  <c r="L361" i="13" a="1"/>
  <c r="M363" i="13" a="1"/>
  <c r="N364" i="13" a="1"/>
  <c r="O366" i="13" a="1"/>
  <c r="K369" i="13" a="1"/>
  <c r="N177" i="13" a="1"/>
  <c r="O207" i="13" a="1"/>
  <c r="K223" i="13" a="1"/>
  <c r="N235" i="13" a="1"/>
  <c r="O240" i="13" a="1"/>
  <c r="K245" i="13" a="1"/>
  <c r="K250" i="13" a="1"/>
  <c r="O254" i="13" a="1"/>
  <c r="O258" i="13" a="1"/>
  <c r="K261" i="13" a="1"/>
  <c r="O262" i="13" a="1"/>
  <c r="K265" i="13" a="1"/>
  <c r="L267" i="13" a="1"/>
  <c r="O268" i="13" a="1"/>
  <c r="O270" i="13" a="1"/>
  <c r="O278" i="13" a="1"/>
  <c r="K282" i="13" a="1"/>
  <c r="N283" i="13" a="1"/>
  <c r="O285" i="13" a="1"/>
  <c r="K288" i="13" a="1"/>
  <c r="L290" i="13" a="1"/>
  <c r="M292" i="13" a="1"/>
  <c r="N293" i="13" a="1"/>
  <c r="O295" i="13" a="1"/>
  <c r="K298" i="13" a="1"/>
  <c r="L300" i="13" a="1"/>
  <c r="M302" i="13" a="1"/>
  <c r="N303" i="13" a="1"/>
  <c r="O305" i="13" a="1"/>
  <c r="K308" i="13" a="1"/>
  <c r="L310" i="13" a="1"/>
  <c r="M312" i="13" a="1"/>
  <c r="N313" i="13" a="1"/>
  <c r="O315" i="13" a="1"/>
  <c r="K318" i="13" a="1"/>
  <c r="L320" i="13" a="1"/>
  <c r="M322" i="13" a="1"/>
  <c r="N323" i="13" a="1"/>
  <c r="O325" i="13" a="1"/>
  <c r="K328" i="13" a="1"/>
  <c r="L330" i="13" a="1"/>
  <c r="M332" i="13" a="1"/>
  <c r="N333" i="13" a="1"/>
  <c r="O335" i="13" a="1"/>
  <c r="K338" i="13" a="1"/>
  <c r="L340" i="13" a="1"/>
  <c r="M342" i="13" a="1"/>
  <c r="N343" i="13" a="1"/>
  <c r="O345" i="13" a="1"/>
  <c r="K348" i="13" a="1"/>
  <c r="L350" i="13" a="1"/>
  <c r="M352" i="13" a="1"/>
  <c r="N353" i="13" a="1"/>
  <c r="O355" i="13" a="1"/>
  <c r="K358" i="13" a="1"/>
  <c r="L360" i="13" a="1"/>
  <c r="M362" i="13" a="1"/>
  <c r="N363" i="13" a="1"/>
  <c r="O365" i="13" a="1"/>
  <c r="K368" i="13" a="1"/>
  <c r="L370" i="13" a="1"/>
  <c r="O155" i="13" a="1"/>
  <c r="M178" i="13" a="1"/>
  <c r="M189" i="13" a="1"/>
  <c r="L201" i="13" a="1"/>
  <c r="K208" i="13" a="1"/>
  <c r="K217" i="13" a="1"/>
  <c r="M223" i="13" a="1"/>
  <c r="K241" i="13" a="1"/>
  <c r="N247" i="13" a="1"/>
  <c r="N252" i="13" a="1"/>
  <c r="N256" i="13" a="1"/>
  <c r="O272" i="13" a="1"/>
  <c r="L274" i="13" a="1"/>
  <c r="M277" i="13" a="1"/>
  <c r="N280" i="13" a="1"/>
  <c r="O284" i="13" a="1"/>
  <c r="K287" i="13" a="1"/>
  <c r="L289" i="13" a="1"/>
  <c r="M291" i="13" a="1"/>
  <c r="N292" i="13" a="1"/>
  <c r="O294" i="13" a="1"/>
  <c r="K297" i="13" a="1"/>
  <c r="L299" i="13" a="1"/>
  <c r="M301" i="13" a="1"/>
  <c r="N302" i="13" a="1"/>
  <c r="O304" i="13" a="1"/>
  <c r="K307" i="13" a="1"/>
  <c r="L309" i="13" a="1"/>
  <c r="M311" i="13" a="1"/>
  <c r="N312" i="13" a="1"/>
  <c r="O314" i="13" a="1"/>
  <c r="K317" i="13" a="1"/>
  <c r="L319" i="13" a="1"/>
  <c r="M321" i="13" a="1"/>
  <c r="N322" i="13" a="1"/>
  <c r="O324" i="13" a="1"/>
  <c r="K327" i="13" a="1"/>
  <c r="L329" i="13" a="1"/>
  <c r="M331" i="13" a="1"/>
  <c r="N332" i="13" a="1"/>
  <c r="O334" i="13" a="1"/>
  <c r="K337" i="13" a="1"/>
  <c r="L339" i="13" a="1"/>
  <c r="M341" i="13" a="1"/>
  <c r="N342" i="13" a="1"/>
  <c r="O344" i="13" a="1"/>
  <c r="K347" i="13" a="1"/>
  <c r="L349" i="13" a="1"/>
  <c r="M351" i="13" a="1"/>
  <c r="N352" i="13" a="1"/>
  <c r="O354" i="13" a="1"/>
  <c r="K357" i="13" a="1"/>
  <c r="L359" i="13" a="1"/>
  <c r="M361" i="13" a="1"/>
  <c r="N362" i="13" a="1"/>
  <c r="O364" i="13" a="1"/>
  <c r="K367" i="13" a="1"/>
  <c r="L369" i="13" a="1"/>
  <c r="M135" i="13" a="1"/>
  <c r="M201" i="13" a="1"/>
  <c r="N225" i="13" a="1"/>
  <c r="L231" i="13" a="1"/>
  <c r="L241" i="13" a="1"/>
  <c r="L245" i="13" a="1"/>
  <c r="O247" i="13" a="1"/>
  <c r="L250" i="13" a="1"/>
  <c r="O252" i="13" a="1"/>
  <c r="K255" i="13" a="1"/>
  <c r="L257" i="13" a="1"/>
  <c r="K259" i="13" a="1"/>
  <c r="L261" i="13" a="1"/>
  <c r="L265" i="13" a="1"/>
  <c r="M267" i="13" a="1"/>
  <c r="M269" i="13" a="1"/>
  <c r="O136" i="13" a="1"/>
  <c r="N163" i="13" a="1"/>
  <c r="O178" i="13" a="1"/>
  <c r="K193" i="13" a="1"/>
  <c r="N201" i="13" a="1"/>
  <c r="M231" i="13" a="1"/>
  <c r="M237" i="13" a="1"/>
  <c r="N241" i="13" a="1"/>
  <c r="K246" i="13" a="1"/>
  <c r="K251" i="13" a="1"/>
  <c r="N263" i="13" a="1"/>
  <c r="K273" i="13" a="1"/>
  <c r="M274" i="13" a="1"/>
  <c r="L276" i="13" a="1"/>
  <c r="N277" i="13" a="1"/>
  <c r="M279" i="13" a="1"/>
  <c r="N183" i="13" a="1"/>
  <c r="N193" i="13" a="1"/>
  <c r="O210" i="13" a="1"/>
  <c r="K220" i="13" a="1"/>
  <c r="O225" i="13" a="1"/>
  <c r="K233" i="13" a="1"/>
  <c r="O242" i="13" a="1"/>
  <c r="N248" i="13" a="1"/>
  <c r="L255" i="13" a="1"/>
  <c r="O259" i="13" a="1"/>
  <c r="O263" i="13" a="1"/>
  <c r="K266" i="13" a="1"/>
  <c r="N267" i="13" a="1"/>
  <c r="N269" i="13" a="1"/>
  <c r="N271" i="13" a="1"/>
  <c r="O274" i="13" a="1"/>
  <c r="O277" i="13" a="1"/>
  <c r="K281" i="13" a="1"/>
  <c r="O282" i="13" a="1"/>
  <c r="K284" i="13" a="1"/>
  <c r="L286" i="13" a="1"/>
  <c r="M288" i="13" a="1"/>
  <c r="N289" i="13" a="1"/>
  <c r="O291" i="13" a="1"/>
  <c r="K294" i="13" a="1"/>
  <c r="L296" i="13" a="1"/>
  <c r="M298" i="13" a="1"/>
  <c r="N299" i="13" a="1"/>
  <c r="O301" i="13" a="1"/>
  <c r="K304" i="13" a="1"/>
  <c r="L306" i="13" a="1"/>
  <c r="M308" i="13" a="1"/>
  <c r="N309" i="13" a="1"/>
  <c r="O311" i="13" a="1"/>
  <c r="K314" i="13" a="1"/>
  <c r="L316" i="13" a="1"/>
  <c r="M318" i="13" a="1"/>
  <c r="N319" i="13" a="1"/>
  <c r="O321" i="13" a="1"/>
  <c r="K324" i="13" a="1"/>
  <c r="L326" i="13" a="1"/>
  <c r="M328" i="13" a="1"/>
  <c r="N329" i="13" a="1"/>
  <c r="O331" i="13" a="1"/>
  <c r="K334" i="13" a="1"/>
  <c r="L336" i="13" a="1"/>
  <c r="M338" i="13" a="1"/>
  <c r="N339" i="13" a="1"/>
  <c r="O341" i="13" a="1"/>
  <c r="K344" i="13" a="1"/>
  <c r="K243" i="13" a="1"/>
  <c r="M276" i="13" a="1"/>
  <c r="N290" i="13" a="1"/>
  <c r="L298" i="13" a="1"/>
  <c r="L305" i="13" a="1"/>
  <c r="O312" i="13" a="1"/>
  <c r="M320" i="13" a="1"/>
  <c r="M327" i="13" a="1"/>
  <c r="N331" i="13" a="1"/>
  <c r="K335" i="13" a="1"/>
  <c r="N338" i="13" a="1"/>
  <c r="K346" i="13" a="1"/>
  <c r="M348" i="13" a="1"/>
  <c r="N351" i="13" a="1"/>
  <c r="K354" i="13" a="1"/>
  <c r="N359" i="13" a="1"/>
  <c r="M369" i="13" a="1"/>
  <c r="O371" i="13" a="1"/>
  <c r="K374" i="13" a="1"/>
  <c r="L376" i="13" a="1"/>
  <c r="M378" i="13" a="1"/>
  <c r="N379" i="13" a="1"/>
  <c r="O381" i="13" a="1"/>
  <c r="K384" i="13" a="1"/>
  <c r="L386" i="13" a="1"/>
  <c r="M388" i="13" a="1"/>
  <c r="N389" i="13" a="1"/>
  <c r="O391" i="13" a="1"/>
  <c r="K394" i="13" a="1"/>
  <c r="L396" i="13" a="1"/>
  <c r="M398" i="13" a="1"/>
  <c r="N399" i="13" a="1"/>
  <c r="N400" i="13" a="1"/>
  <c r="N401" i="13" a="1"/>
  <c r="N402" i="13" a="1"/>
  <c r="N403" i="13" a="1"/>
  <c r="N404" i="13" a="1"/>
  <c r="N405" i="13" a="1"/>
  <c r="N406" i="13" a="1"/>
  <c r="N407" i="13" a="1"/>
  <c r="N408" i="13" a="1"/>
  <c r="N409" i="13" a="1"/>
  <c r="N410" i="13" a="1"/>
  <c r="N411" i="13" a="1"/>
  <c r="N412" i="13" a="1"/>
  <c r="N413" i="13" a="1"/>
  <c r="N414" i="13" a="1"/>
  <c r="N415" i="13" a="1"/>
  <c r="N416" i="13" a="1"/>
  <c r="N417" i="13" a="1"/>
  <c r="N418" i="13" a="1"/>
  <c r="N419" i="13" a="1"/>
  <c r="N420" i="13" a="1"/>
  <c r="N421" i="13" a="1"/>
  <c r="N422" i="13" a="1"/>
  <c r="N423" i="13" a="1"/>
  <c r="N424" i="13" a="1"/>
  <c r="N425" i="13" a="1"/>
  <c r="N426" i="13" a="1"/>
  <c r="N427" i="13" a="1"/>
  <c r="L246" i="13" a="1"/>
  <c r="O267" i="13" a="1"/>
  <c r="O283" i="13" a="1"/>
  <c r="L287" i="13" a="1"/>
  <c r="O290" i="13" a="1"/>
  <c r="K306" i="13" a="1"/>
  <c r="M309" i="13" a="1"/>
  <c r="K313" i="13" a="1"/>
  <c r="N320" i="13" a="1"/>
  <c r="L328" i="13" a="1"/>
  <c r="L335" i="13" a="1"/>
  <c r="O342" i="13" a="1"/>
  <c r="N348" i="13" a="1"/>
  <c r="L357" i="13" a="1"/>
  <c r="O362" i="13" a="1"/>
  <c r="L365" i="13" a="1"/>
  <c r="M367" i="13" a="1"/>
  <c r="N369" i="13" a="1"/>
  <c r="O370" i="13" a="1"/>
  <c r="K373" i="13" a="1"/>
  <c r="L375" i="13" a="1"/>
  <c r="M377" i="13" a="1"/>
  <c r="N378" i="13" a="1"/>
  <c r="O380" i="13" a="1"/>
  <c r="K383" i="13" a="1"/>
  <c r="L385" i="13" a="1"/>
  <c r="M387" i="13" a="1"/>
  <c r="N388" i="13" a="1"/>
  <c r="O390" i="13" a="1"/>
  <c r="K393" i="13" a="1"/>
  <c r="L395" i="13" a="1"/>
  <c r="M397" i="13" a="1"/>
  <c r="N398" i="13" a="1"/>
  <c r="O183" i="13" a="1"/>
  <c r="O248" i="13" a="1"/>
  <c r="O269" i="13" a="1"/>
  <c r="M287" i="13" a="1"/>
  <c r="N291" i="13" a="1"/>
  <c r="K295" i="13" a="1"/>
  <c r="N298" i="13" a="1"/>
  <c r="O313" i="13" a="1"/>
  <c r="L317" i="13" a="1"/>
  <c r="O320" i="13" a="1"/>
  <c r="K336" i="13" a="1"/>
  <c r="M339" i="13" a="1"/>
  <c r="K343" i="13" a="1"/>
  <c r="L346" i="13" a="1"/>
  <c r="O351" i="13" a="1"/>
  <c r="M360" i="13" a="1"/>
  <c r="N365" i="13" a="1"/>
  <c r="O367" i="13" a="1"/>
  <c r="K372" i="13" a="1"/>
  <c r="L374" i="13" a="1"/>
  <c r="M376" i="13" a="1"/>
  <c r="N377" i="13" a="1"/>
  <c r="O379" i="13" a="1"/>
  <c r="K382" i="13" a="1"/>
  <c r="L384" i="13" a="1"/>
  <c r="M386" i="13" a="1"/>
  <c r="N387" i="13" a="1"/>
  <c r="O389" i="13" a="1"/>
  <c r="K392" i="13" a="1"/>
  <c r="L394" i="13" a="1"/>
  <c r="M396" i="13" a="1"/>
  <c r="N397" i="13" a="1"/>
  <c r="O399" i="13" a="1"/>
  <c r="O400" i="13" a="1"/>
  <c r="O401" i="13" a="1"/>
  <c r="O193" i="13" a="1"/>
  <c r="L251" i="13" a="1"/>
  <c r="K271" i="13" a="1"/>
  <c r="L279" i="13" a="1"/>
  <c r="L288" i="13" a="1"/>
  <c r="L295" i="13" a="1"/>
  <c r="O302" i="13" a="1"/>
  <c r="M310" i="13" a="1"/>
  <c r="M317" i="13" a="1"/>
  <c r="N321" i="13" a="1"/>
  <c r="K325" i="13" a="1"/>
  <c r="N328" i="13" a="1"/>
  <c r="O343" i="13" a="1"/>
  <c r="M349" i="13" a="1"/>
  <c r="K355" i="13" a="1"/>
  <c r="M357" i="13" a="1"/>
  <c r="N360" i="13" a="1"/>
  <c r="K363" i="13" a="1"/>
  <c r="K366" i="13" a="1"/>
  <c r="L368" i="13" a="1"/>
  <c r="O369" i="13" a="1"/>
  <c r="K371" i="13" a="1"/>
  <c r="L373" i="13" a="1"/>
  <c r="M375" i="13" a="1"/>
  <c r="N376" i="13" a="1"/>
  <c r="O378" i="13" a="1"/>
  <c r="K381" i="13" a="1"/>
  <c r="L383" i="13" a="1"/>
  <c r="M385" i="13" a="1"/>
  <c r="N386" i="13" a="1"/>
  <c r="O388" i="13" a="1"/>
  <c r="K391" i="13" a="1"/>
  <c r="L393" i="13" a="1"/>
  <c r="M395" i="13" a="1"/>
  <c r="N396" i="13" a="1"/>
  <c r="O398" i="13" a="1"/>
  <c r="N253" i="13" a="1"/>
  <c r="O271" i="13" a="1"/>
  <c r="N279" i="13" a="1"/>
  <c r="K296" i="13" a="1"/>
  <c r="M299" i="13" a="1"/>
  <c r="K303" i="13" a="1"/>
  <c r="N310" i="13" a="1"/>
  <c r="L318" i="13" a="1"/>
  <c r="L325" i="13" a="1"/>
  <c r="O332" i="13" a="1"/>
  <c r="M340" i="13" a="1"/>
  <c r="N349" i="13" a="1"/>
  <c r="L358" i="13" a="1"/>
  <c r="O363" i="13" a="1"/>
  <c r="L372" i="13" a="1"/>
  <c r="M374" i="13" a="1"/>
  <c r="N375" i="13" a="1"/>
  <c r="O377" i="13" a="1"/>
  <c r="K380" i="13" a="1"/>
  <c r="L382" i="13" a="1"/>
  <c r="M384" i="13" a="1"/>
  <c r="N385" i="13" a="1"/>
  <c r="O387" i="13" a="1"/>
  <c r="K390" i="13" a="1"/>
  <c r="L392" i="13" a="1"/>
  <c r="M394" i="13" a="1"/>
  <c r="N395" i="13" a="1"/>
  <c r="O397" i="13" a="1"/>
  <c r="K400" i="13" a="1"/>
  <c r="K401" i="13" a="1"/>
  <c r="K402" i="13" a="1"/>
  <c r="K403" i="13" a="1"/>
  <c r="L211" i="13" a="1"/>
  <c r="O280" i="13" a="1"/>
  <c r="K285" i="13" a="1"/>
  <c r="N288" i="13" a="1"/>
  <c r="O303" i="13" a="1"/>
  <c r="L307" i="13" a="1"/>
  <c r="O310" i="13" a="1"/>
  <c r="K326" i="13" a="1"/>
  <c r="M329" i="13" a="1"/>
  <c r="K333" i="13" a="1"/>
  <c r="N340" i="13" a="1"/>
  <c r="L347" i="13" a="1"/>
  <c r="O352" i="13" a="1"/>
  <c r="L355" i="13" a="1"/>
  <c r="O360" i="13" a="1"/>
  <c r="L366" i="13" a="1"/>
  <c r="M368" i="13" a="1"/>
  <c r="K370" i="13" a="1"/>
  <c r="L371" i="13" a="1"/>
  <c r="M373" i="13" a="1"/>
  <c r="N374" i="13" a="1"/>
  <c r="O376" i="13" a="1"/>
  <c r="K379" i="13" a="1"/>
  <c r="L381" i="13" a="1"/>
  <c r="M383" i="13" a="1"/>
  <c r="N384" i="13" a="1"/>
  <c r="O386" i="13" a="1"/>
  <c r="N257" i="13" a="1"/>
  <c r="L273" i="13" a="1"/>
  <c r="L285" i="13" a="1"/>
  <c r="K226" i="13" a="1"/>
  <c r="L282" i="13" a="1"/>
  <c r="K293" i="13" a="1"/>
  <c r="N301" i="13" a="1"/>
  <c r="M330" i="13" a="1"/>
  <c r="M347" i="13" a="1"/>
  <c r="L367" i="13" a="1"/>
  <c r="M371" i="13" a="1"/>
  <c r="K377" i="13" a="1"/>
  <c r="M379" i="13" a="1"/>
  <c r="N382" i="13" a="1"/>
  <c r="K385" i="13" a="1"/>
  <c r="N392" i="13" a="1"/>
  <c r="O394" i="13" a="1"/>
  <c r="K397" i="13" a="1"/>
  <c r="L399" i="13" a="1"/>
  <c r="L403" i="13" a="1"/>
  <c r="M407" i="13" a="1"/>
  <c r="K409" i="13" a="1"/>
  <c r="O411" i="13" a="1"/>
  <c r="L413" i="13" a="1"/>
  <c r="M417" i="13" a="1"/>
  <c r="O428" i="13" a="1"/>
  <c r="K431" i="13" a="1"/>
  <c r="L433" i="13" a="1"/>
  <c r="M435" i="13" a="1"/>
  <c r="N437" i="13" a="1"/>
  <c r="O438" i="13" a="1"/>
  <c r="K441" i="13" a="1"/>
  <c r="L443" i="13" a="1"/>
  <c r="M445" i="13" a="1"/>
  <c r="N447" i="13" a="1"/>
  <c r="O448" i="13" a="1"/>
  <c r="K451" i="13" a="1"/>
  <c r="L453" i="13" a="1"/>
  <c r="M455" i="13" a="1"/>
  <c r="N457" i="13" a="1"/>
  <c r="O458" i="13" a="1"/>
  <c r="K461" i="13" a="1"/>
  <c r="L463" i="13" a="1"/>
  <c r="M465" i="13" a="1"/>
  <c r="N467" i="13" a="1"/>
  <c r="N233" i="13" a="1"/>
  <c r="O293" i="13" a="1"/>
  <c r="N330" i="13" a="1"/>
  <c r="O340" i="13" a="1"/>
  <c r="L348" i="13" a="1"/>
  <c r="K356" i="13" a="1"/>
  <c r="O361" i="13" a="1"/>
  <c r="N368" i="13" a="1"/>
  <c r="N371" i="13" a="1"/>
  <c r="L380" i="13" a="1"/>
  <c r="O385" i="13" a="1"/>
  <c r="L388" i="13" a="1"/>
  <c r="M390" i="13" a="1"/>
  <c r="M401" i="13" a="1"/>
  <c r="O404" i="13" a="1"/>
  <c r="L406" i="13" a="1"/>
  <c r="M410" i="13" a="1"/>
  <c r="K412" i="13" a="1"/>
  <c r="O414" i="13" a="1"/>
  <c r="L416" i="13" a="1"/>
  <c r="K419" i="13" a="1"/>
  <c r="L420" i="13" a="1"/>
  <c r="M421" i="13" a="1"/>
  <c r="O422" i="13" a="1"/>
  <c r="K424" i="13" a="1"/>
  <c r="L425" i="13" a="1"/>
  <c r="M426" i="13" a="1"/>
  <c r="O427" i="13" a="1"/>
  <c r="K430" i="13" a="1"/>
  <c r="L432" i="13" a="1"/>
  <c r="M434" i="13" a="1"/>
  <c r="N436" i="13" a="1"/>
  <c r="O437" i="13" a="1"/>
  <c r="K440" i="13" a="1"/>
  <c r="L442" i="13" a="1"/>
  <c r="M444" i="13" a="1"/>
  <c r="N446" i="13" a="1"/>
  <c r="O447" i="13" a="1"/>
  <c r="K450" i="13" a="1"/>
  <c r="L452" i="13" a="1"/>
  <c r="M454" i="13" a="1"/>
  <c r="N456" i="13" a="1"/>
  <c r="O457" i="13" a="1"/>
  <c r="K460" i="13" a="1"/>
  <c r="L462" i="13" a="1"/>
  <c r="M464" i="13" a="1"/>
  <c r="N466" i="13" a="1"/>
  <c r="O467" i="13" a="1"/>
  <c r="K470" i="13" a="1"/>
  <c r="L472" i="13" a="1"/>
  <c r="M474" i="13" a="1"/>
  <c r="N476" i="13" a="1"/>
  <c r="O477" i="13" a="1"/>
  <c r="K480" i="13" a="1"/>
  <c r="L482" i="13" a="1"/>
  <c r="M484" i="13" a="1"/>
  <c r="N486" i="13" a="1"/>
  <c r="O487" i="13" a="1"/>
  <c r="K490" i="13" a="1"/>
  <c r="L492" i="13" a="1"/>
  <c r="M494" i="13" a="1"/>
  <c r="N496" i="13" a="1"/>
  <c r="O497" i="13" a="1"/>
  <c r="K500" i="13" a="1"/>
  <c r="L502" i="13" a="1"/>
  <c r="M504" i="13" a="1"/>
  <c r="N506" i="13" a="1"/>
  <c r="N237" i="13" a="1"/>
  <c r="K286" i="13" a="1"/>
  <c r="O322" i="13" a="1"/>
  <c r="O330" i="13" a="1"/>
  <c r="N341" i="13" a="1"/>
  <c r="O374" i="13" a="1"/>
  <c r="L377" i="13" a="1"/>
  <c r="O382" i="13" a="1"/>
  <c r="N390" i="13" a="1"/>
  <c r="O392" i="13" a="1"/>
  <c r="K395" i="13" a="1"/>
  <c r="L397" i="13" a="1"/>
  <c r="M399" i="13" a="1"/>
  <c r="M403" i="13" a="1"/>
  <c r="K405" i="13" a="1"/>
  <c r="O407" i="13" a="1"/>
  <c r="L409" i="13" a="1"/>
  <c r="M413" i="13" a="1"/>
  <c r="K415" i="13" a="1"/>
  <c r="O417" i="13" a="1"/>
  <c r="K429" i="13" a="1"/>
  <c r="L431" i="13" a="1"/>
  <c r="M433" i="13" a="1"/>
  <c r="N435" i="13" a="1"/>
  <c r="O436" i="13" a="1"/>
  <c r="K439" i="13" a="1"/>
  <c r="L441" i="13" a="1"/>
  <c r="M443" i="13" a="1"/>
  <c r="N445" i="13" a="1"/>
  <c r="O446" i="13" a="1"/>
  <c r="K449" i="13" a="1"/>
  <c r="L451" i="13" a="1"/>
  <c r="M453" i="13" a="1"/>
  <c r="N455" i="13" a="1"/>
  <c r="O456" i="13" a="1"/>
  <c r="K459" i="13" a="1"/>
  <c r="L461" i="13" a="1"/>
  <c r="M463" i="13" a="1"/>
  <c r="N465" i="13" a="1"/>
  <c r="O466" i="13" a="1"/>
  <c r="K469" i="13" a="1"/>
  <c r="L471" i="13" a="1"/>
  <c r="M473" i="13" a="1"/>
  <c r="N475" i="13" a="1"/>
  <c r="O476" i="13" a="1"/>
  <c r="K479" i="13" a="1"/>
  <c r="L481" i="13" a="1"/>
  <c r="M483" i="13" a="1"/>
  <c r="N485" i="13" a="1"/>
  <c r="O486" i="13" a="1"/>
  <c r="K489" i="13" a="1"/>
  <c r="L491" i="13" a="1"/>
  <c r="M493" i="13" a="1"/>
  <c r="N495" i="13" a="1"/>
  <c r="O496" i="13" a="1"/>
  <c r="K499" i="13" a="1"/>
  <c r="L501" i="13" a="1"/>
  <c r="M503" i="13" a="1"/>
  <c r="N505" i="13" a="1"/>
  <c r="O506" i="13" a="1"/>
  <c r="K315" i="13" a="1"/>
  <c r="K323" i="13" a="1"/>
  <c r="O333" i="13" a="1"/>
  <c r="M350" i="13" a="1"/>
  <c r="L356" i="13" a="1"/>
  <c r="K364" i="13" a="1"/>
  <c r="M372" i="13" a="1"/>
  <c r="K378" i="13" a="1"/>
  <c r="M380" i="13" a="1"/>
  <c r="N383" i="13" a="1"/>
  <c r="K386" i="13" a="1"/>
  <c r="K389" i="13" a="1"/>
  <c r="L391" i="13" a="1"/>
  <c r="M393" i="13" a="1"/>
  <c r="M406" i="13" a="1"/>
  <c r="K408" i="13" a="1"/>
  <c r="O410" i="13" a="1"/>
  <c r="L412" i="13" a="1"/>
  <c r="M416" i="13" a="1"/>
  <c r="K418" i="13" a="1"/>
  <c r="L419" i="13" a="1"/>
  <c r="M420" i="13" a="1"/>
  <c r="O421" i="13" a="1"/>
  <c r="K423" i="13" a="1"/>
  <c r="L424" i="13" a="1"/>
  <c r="M425" i="13" a="1"/>
  <c r="O426" i="13" a="1"/>
  <c r="K428" i="13" a="1"/>
  <c r="L430" i="13" a="1"/>
  <c r="M432" i="13" a="1"/>
  <c r="N434" i="13" a="1"/>
  <c r="O435" i="13" a="1"/>
  <c r="K438" i="13" a="1"/>
  <c r="L440" i="13" a="1"/>
  <c r="M442" i="13" a="1"/>
  <c r="N444" i="13" a="1"/>
  <c r="O445" i="13" a="1"/>
  <c r="K448" i="13" a="1"/>
  <c r="L450" i="13" a="1"/>
  <c r="M452" i="13" a="1"/>
  <c r="N454" i="13" a="1"/>
  <c r="O455" i="13" a="1"/>
  <c r="K458" i="13" a="1"/>
  <c r="L460" i="13" a="1"/>
  <c r="M462" i="13" a="1"/>
  <c r="N464" i="13" a="1"/>
  <c r="O465" i="13" a="1"/>
  <c r="K468" i="13" a="1"/>
  <c r="L470" i="13" a="1"/>
  <c r="M472" i="13" a="1"/>
  <c r="N474" i="13" a="1"/>
  <c r="O475" i="13" a="1"/>
  <c r="K478" i="13" a="1"/>
  <c r="L480" i="13" a="1"/>
  <c r="M482" i="13" a="1"/>
  <c r="N484" i="13" a="1"/>
  <c r="O485" i="13" a="1"/>
  <c r="K488" i="13" a="1"/>
  <c r="L490" i="13" a="1"/>
  <c r="M492" i="13" a="1"/>
  <c r="N494" i="13" a="1"/>
  <c r="O495" i="13" a="1"/>
  <c r="K498" i="13" a="1"/>
  <c r="L500" i="13" a="1"/>
  <c r="M502" i="13" a="1"/>
  <c r="N504" i="13" a="1"/>
  <c r="O505" i="13" a="1"/>
  <c r="N261" i="13" a="1"/>
  <c r="K305" i="13" a="1"/>
  <c r="L315" i="13" a="1"/>
  <c r="O323" i="13" a="1"/>
  <c r="N350" i="13" a="1"/>
  <c r="N372" i="13" a="1"/>
  <c r="K375" i="13" a="1"/>
  <c r="N380" i="13" a="1"/>
  <c r="N393" i="13" a="1"/>
  <c r="O395" i="13" a="1"/>
  <c r="K398" i="13" a="1"/>
  <c r="L400" i="13" a="1"/>
  <c r="L402" i="13" a="1"/>
  <c r="O403" i="13" a="1"/>
  <c r="L405" i="13" a="1"/>
  <c r="M409" i="13" a="1"/>
  <c r="K411" i="13" a="1"/>
  <c r="O413" i="13" a="1"/>
  <c r="L415" i="13" a="1"/>
  <c r="L429" i="13" a="1"/>
  <c r="M431" i="13" a="1"/>
  <c r="N433" i="13" a="1"/>
  <c r="O434" i="13" a="1"/>
  <c r="K437" i="13" a="1"/>
  <c r="L439" i="13" a="1"/>
  <c r="M441" i="13" a="1"/>
  <c r="N443" i="13" a="1"/>
  <c r="O444" i="13" a="1"/>
  <c r="K447" i="13" a="1"/>
  <c r="L449" i="13" a="1"/>
  <c r="M451" i="13" a="1"/>
  <c r="N453" i="13" a="1"/>
  <c r="O454" i="13" a="1"/>
  <c r="K457" i="13" a="1"/>
  <c r="L459" i="13" a="1"/>
  <c r="M461" i="13" a="1"/>
  <c r="N463" i="13" a="1"/>
  <c r="O464" i="13" a="1"/>
  <c r="K467" i="13" a="1"/>
  <c r="L469" i="13" a="1"/>
  <c r="M471" i="13" a="1"/>
  <c r="N473" i="13" a="1"/>
  <c r="O474" i="13" a="1"/>
  <c r="K477" i="13" a="1"/>
  <c r="L479" i="13" a="1"/>
  <c r="M481" i="13" a="1"/>
  <c r="N483" i="13" a="1"/>
  <c r="O484" i="13" a="1"/>
  <c r="K487" i="13" a="1"/>
  <c r="L489" i="13" a="1"/>
  <c r="M491" i="13" a="1"/>
  <c r="N493" i="13" a="1"/>
  <c r="O494" i="13" a="1"/>
  <c r="K497" i="13" a="1"/>
  <c r="L499" i="13" a="1"/>
  <c r="M501" i="13" a="1"/>
  <c r="N503" i="13" a="1"/>
  <c r="O504" i="13" a="1"/>
  <c r="K507" i="13" a="1"/>
  <c r="L297" i="13" a="1"/>
  <c r="M307" i="13" a="1"/>
  <c r="K316" i="13" a="1"/>
  <c r="M358" i="13" a="1"/>
  <c r="O375" i="13" a="1"/>
  <c r="L378" i="13" a="1"/>
  <c r="O383" i="13" a="1"/>
  <c r="L389" i="13" a="1"/>
  <c r="M391" i="13" a="1"/>
  <c r="K404" i="13" a="1"/>
  <c r="K275" i="13" a="1"/>
  <c r="M300" i="13" a="1"/>
  <c r="N318" i="13" a="1"/>
  <c r="L337" i="13" a="1"/>
  <c r="M370" i="13" a="1"/>
  <c r="N373" i="13" a="1"/>
  <c r="K376" i="13" a="1"/>
  <c r="N381" i="13" a="1"/>
  <c r="M389" i="13" a="1"/>
  <c r="L404" i="13" a="1"/>
  <c r="M408" i="13" a="1"/>
  <c r="K410" i="13" a="1"/>
  <c r="O412" i="13" a="1"/>
  <c r="L414" i="13" a="1"/>
  <c r="M418" i="13" a="1"/>
  <c r="O419" i="13" a="1"/>
  <c r="K421" i="13" a="1"/>
  <c r="L422" i="13" a="1"/>
  <c r="M423" i="13" a="1"/>
  <c r="O424" i="13" a="1"/>
  <c r="K426" i="13" a="1"/>
  <c r="L427" i="13" a="1"/>
  <c r="M428" i="13" a="1"/>
  <c r="N430" i="13" a="1"/>
  <c r="O431" i="13" a="1"/>
  <c r="K434" i="13" a="1"/>
  <c r="L436" i="13" a="1"/>
  <c r="M438" i="13" a="1"/>
  <c r="N440" i="13" a="1"/>
  <c r="O441" i="13" a="1"/>
  <c r="K444" i="13" a="1"/>
  <c r="L446" i="13" a="1"/>
  <c r="M448" i="13" a="1"/>
  <c r="N450" i="13" a="1"/>
  <c r="O451" i="13" a="1"/>
  <c r="K454" i="13" a="1"/>
  <c r="L456" i="13" a="1"/>
  <c r="M458" i="13" a="1"/>
  <c r="N460" i="13" a="1"/>
  <c r="O461" i="13" a="1"/>
  <c r="K464" i="13" a="1"/>
  <c r="L466" i="13" a="1"/>
  <c r="M468" i="13" a="1"/>
  <c r="N470" i="13" a="1"/>
  <c r="O471" i="13" a="1"/>
  <c r="K474" i="13" a="1"/>
  <c r="L476" i="13" a="1"/>
  <c r="M478" i="13" a="1"/>
  <c r="N480" i="13" a="1"/>
  <c r="O481" i="13" a="1"/>
  <c r="K484" i="13" a="1"/>
  <c r="L486" i="13" a="1"/>
  <c r="M488" i="13" a="1"/>
  <c r="N490" i="13" a="1"/>
  <c r="O491" i="13" a="1"/>
  <c r="K494" i="13" a="1"/>
  <c r="N308" i="13" a="1"/>
  <c r="L338" i="13" a="1"/>
  <c r="K365" i="13" a="1"/>
  <c r="O393" i="13" a="1"/>
  <c r="O405" i="13" a="1"/>
  <c r="K413" i="13" a="1"/>
  <c r="O416" i="13" a="1"/>
  <c r="L423" i="13" a="1"/>
  <c r="M437" i="13" a="1"/>
  <c r="M440" i="13" a="1"/>
  <c r="K443" i="13" a="1"/>
  <c r="K446" i="13" a="1"/>
  <c r="N459" i="13" a="1"/>
  <c r="N462" i="13" a="1"/>
  <c r="L465" i="13" a="1"/>
  <c r="L468" i="13" a="1"/>
  <c r="M470" i="13" a="1"/>
  <c r="N472" i="13" a="1"/>
  <c r="O483" i="13" a="1"/>
  <c r="K486" i="13" a="1"/>
  <c r="L488" i="13" a="1"/>
  <c r="M490" i="13" a="1"/>
  <c r="N492" i="13" a="1"/>
  <c r="N507" i="13" a="1"/>
  <c r="O508" i="13" a="1"/>
  <c r="K511" i="13" a="1"/>
  <c r="L513" i="13" a="1"/>
  <c r="M515" i="13" a="1"/>
  <c r="N517" i="13" a="1"/>
  <c r="O518" i="13" a="1"/>
  <c r="K521" i="13" a="1"/>
  <c r="L523" i="13" a="1"/>
  <c r="L524" i="13" a="1"/>
  <c r="L525" i="13" a="1"/>
  <c r="L526" i="13" a="1"/>
  <c r="L527" i="13" a="1"/>
  <c r="L528" i="13" a="1"/>
  <c r="L529" i="13" a="1"/>
  <c r="L530" i="13" a="1"/>
  <c r="L531" i="13" a="1"/>
  <c r="L532" i="13" a="1"/>
  <c r="L533" i="13" a="1"/>
  <c r="L534" i="13" a="1"/>
  <c r="L535" i="13" a="1"/>
  <c r="L536" i="13" a="1"/>
  <c r="L537" i="13" a="1"/>
  <c r="L538" i="13" a="1"/>
  <c r="L539" i="13" a="1"/>
  <c r="L540" i="13" a="1"/>
  <c r="L541" i="13" a="1"/>
  <c r="L542" i="13" a="1"/>
  <c r="L543" i="13" a="1"/>
  <c r="L544" i="13" a="1"/>
  <c r="L545" i="13" a="1"/>
  <c r="L546" i="13" a="1"/>
  <c r="L547" i="13" a="1"/>
  <c r="L548" i="13" a="1"/>
  <c r="L549" i="13" a="1"/>
  <c r="L550" i="13" a="1"/>
  <c r="L551" i="13" a="1"/>
  <c r="L552" i="13" a="1"/>
  <c r="L553" i="13" a="1"/>
  <c r="L554" i="13" a="1"/>
  <c r="L555" i="13" a="1"/>
  <c r="L556" i="13" a="1"/>
  <c r="L557" i="13" a="1"/>
  <c r="L558" i="13" a="1"/>
  <c r="L559" i="13" a="1"/>
  <c r="L560" i="13" a="1"/>
  <c r="L561" i="13" a="1"/>
  <c r="L562" i="13" a="1"/>
  <c r="L563" i="13" a="1"/>
  <c r="L564" i="13" a="1"/>
  <c r="L565" i="13" a="1"/>
  <c r="L566" i="13" a="1"/>
  <c r="L567" i="13" a="1"/>
  <c r="L568" i="13" a="1"/>
  <c r="L569" i="13" a="1"/>
  <c r="L570" i="13" a="1"/>
  <c r="L571" i="13" a="1"/>
  <c r="L572" i="13" a="1"/>
  <c r="L573" i="13" a="1"/>
  <c r="L574" i="13" a="1"/>
  <c r="N311" i="13" a="1"/>
  <c r="K345" i="13" a="1"/>
  <c r="K387" i="13" a="1"/>
  <c r="N394" i="13" a="1"/>
  <c r="L401" i="13" a="1"/>
  <c r="K406" i="13" a="1"/>
  <c r="O409" i="13" a="1"/>
  <c r="K417" i="13" a="1"/>
  <c r="K420" i="13" a="1"/>
  <c r="L426" i="13" a="1"/>
  <c r="M429" i="13" a="1"/>
  <c r="K432" i="13" a="1"/>
  <c r="K435" i="13" a="1"/>
  <c r="N448" i="13" a="1"/>
  <c r="N451" i="13" a="1"/>
  <c r="L454" i="13" a="1"/>
  <c r="L457" i="13" a="1"/>
  <c r="O459" i="13" a="1"/>
  <c r="O462" i="13" a="1"/>
  <c r="O472" i="13" a="1"/>
  <c r="K475" i="13" a="1"/>
  <c r="L477" i="13" a="1"/>
  <c r="M479" i="13" a="1"/>
  <c r="N481" i="13" a="1"/>
  <c r="O492" i="13" a="1"/>
  <c r="K495" i="13" a="1"/>
  <c r="N498" i="13" a="1"/>
  <c r="N500" i="13" a="1"/>
  <c r="N502" i="13" a="1"/>
  <c r="L504" i="13" a="1"/>
  <c r="L506" i="13" a="1"/>
  <c r="O507" i="13" a="1"/>
  <c r="K510" i="13" a="1"/>
  <c r="L512" i="13" a="1"/>
  <c r="M514" i="13" a="1"/>
  <c r="N516" i="13" a="1"/>
  <c r="O517" i="13" a="1"/>
  <c r="K520" i="13" a="1"/>
  <c r="L522" i="13" a="1"/>
  <c r="L345" i="13" a="1"/>
  <c r="L387" i="13" a="1"/>
  <c r="M402" i="13" a="1"/>
  <c r="O406" i="13" a="1"/>
  <c r="K414" i="13" a="1"/>
  <c r="L417" i="13" a="1"/>
  <c r="O420" i="13" a="1"/>
  <c r="K427" i="13" a="1"/>
  <c r="N429" i="13" a="1"/>
  <c r="N432" i="13" a="1"/>
  <c r="L435" i="13" a="1"/>
  <c r="L438" i="13" a="1"/>
  <c r="O440" i="13" a="1"/>
  <c r="O443" i="13" a="1"/>
  <c r="M457" i="13" a="1"/>
  <c r="M460" i="13" a="1"/>
  <c r="K463" i="13" a="1"/>
  <c r="K466" i="13" a="1"/>
  <c r="O470" i="13" a="1"/>
  <c r="K473" i="13" a="1"/>
  <c r="L475" i="13" a="1"/>
  <c r="M477" i="13" a="1"/>
  <c r="N479" i="13" a="1"/>
  <c r="O490" i="13" a="1"/>
  <c r="K493" i="13" a="1"/>
  <c r="L495" i="13" a="1"/>
  <c r="L497" i="13" a="1"/>
  <c r="O498" i="13" a="1"/>
  <c r="O500" i="13" a="1"/>
  <c r="O502" i="13" a="1"/>
  <c r="K509" i="13" a="1"/>
  <c r="L511" i="13" a="1"/>
  <c r="M513" i="13" a="1"/>
  <c r="N515" i="13" a="1"/>
  <c r="O516" i="13" a="1"/>
  <c r="K519" i="13" a="1"/>
  <c r="L521" i="13" a="1"/>
  <c r="M523" i="13" a="1"/>
  <c r="M524" i="13" a="1"/>
  <c r="M525" i="13" a="1"/>
  <c r="M526" i="13" a="1"/>
  <c r="M527" i="13" a="1"/>
  <c r="M528" i="13" a="1"/>
  <c r="M529" i="13" a="1"/>
  <c r="M530" i="13" a="1"/>
  <c r="M531" i="13" a="1"/>
  <c r="M532" i="13" a="1"/>
  <c r="M533" i="13" a="1"/>
  <c r="M534" i="13" a="1"/>
  <c r="M535" i="13" a="1"/>
  <c r="M536" i="13" a="1"/>
  <c r="M537" i="13" a="1"/>
  <c r="M538" i="13" a="1"/>
  <c r="M539" i="13" a="1"/>
  <c r="M540" i="13" a="1"/>
  <c r="M541" i="13" a="1"/>
  <c r="M542" i="13" a="1"/>
  <c r="M543" i="13" a="1"/>
  <c r="M544" i="13" a="1"/>
  <c r="M545" i="13" a="1"/>
  <c r="M546" i="13" a="1"/>
  <c r="M547" i="13" a="1"/>
  <c r="M548" i="13" a="1"/>
  <c r="M549" i="13" a="1"/>
  <c r="M550" i="13" a="1"/>
  <c r="M551" i="13" a="1"/>
  <c r="M552" i="13" a="1"/>
  <c r="M553" i="13" a="1"/>
  <c r="M554" i="13" a="1"/>
  <c r="M555" i="13" a="1"/>
  <c r="M556" i="13" a="1"/>
  <c r="M557" i="13" a="1"/>
  <c r="M558" i="13" a="1"/>
  <c r="M559" i="13" a="1"/>
  <c r="M560" i="13" a="1"/>
  <c r="M561" i="13" a="1"/>
  <c r="M562" i="13" a="1"/>
  <c r="M563" i="13" a="1"/>
  <c r="M564" i="13" a="1"/>
  <c r="M565" i="13" a="1"/>
  <c r="M566" i="13" a="1"/>
  <c r="M567" i="13" a="1"/>
  <c r="M568" i="13" a="1"/>
  <c r="M569" i="13" a="1"/>
  <c r="M570" i="13" a="1"/>
  <c r="M571" i="13" a="1"/>
  <c r="M289" i="13" a="1"/>
  <c r="L379" i="13" a="1"/>
  <c r="K388" i="13" a="1"/>
  <c r="K396" i="13" a="1"/>
  <c r="O402" i="13" a="1"/>
  <c r="K407" i="13" a="1"/>
  <c r="L410" i="13" a="1"/>
  <c r="O423" i="13" a="1"/>
  <c r="O429" i="13" a="1"/>
  <c r="O432" i="13" a="1"/>
  <c r="M446" i="13" a="1"/>
  <c r="M449" i="13" a="1"/>
  <c r="K452" i="13" a="1"/>
  <c r="K455" i="13" a="1"/>
  <c r="N468" i="13" a="1"/>
  <c r="O479" i="13" a="1"/>
  <c r="K482" i="13" a="1"/>
  <c r="L484" i="13" a="1"/>
  <c r="M486" i="13" a="1"/>
  <c r="N488" i="13" a="1"/>
  <c r="M506" i="13" a="1"/>
  <c r="K508" i="13" a="1"/>
  <c r="L510" i="13" a="1"/>
  <c r="M512" i="13" a="1"/>
  <c r="N514" i="13" a="1"/>
  <c r="O515" i="13" a="1"/>
  <c r="K518" i="13" a="1"/>
  <c r="L520" i="13" a="1"/>
  <c r="M522" i="13" a="1"/>
  <c r="N552" i="13" a="1"/>
  <c r="N560" i="13" a="1"/>
  <c r="N563" i="13" a="1"/>
  <c r="N565" i="13" a="1"/>
  <c r="N567" i="13" a="1"/>
  <c r="N569" i="13" a="1"/>
  <c r="N571" i="13" a="1"/>
  <c r="N573" i="13" a="1"/>
  <c r="N575" i="13" a="1"/>
  <c r="N577" i="13" a="1"/>
  <c r="N579" i="13" a="1"/>
  <c r="N581" i="13" a="1"/>
  <c r="N584" i="13" a="1"/>
  <c r="N586" i="13" a="1"/>
  <c r="N588" i="13" a="1"/>
  <c r="N590" i="13" a="1"/>
  <c r="N592" i="13" a="1"/>
  <c r="N594" i="13" a="1"/>
  <c r="N596" i="13" a="1"/>
  <c r="N598" i="13" a="1"/>
  <c r="N600" i="13" a="1"/>
  <c r="N602" i="13" a="1"/>
  <c r="M290" i="13" a="1"/>
  <c r="M319" i="13" a="1"/>
  <c r="O350" i="13" a="1"/>
  <c r="N370" i="13" a="1"/>
  <c r="O396" i="13" a="1"/>
  <c r="L407" i="13" a="1"/>
  <c r="L418" i="13" a="1"/>
  <c r="M424" i="13" a="1"/>
  <c r="M430" i="13" a="1"/>
  <c r="K433" i="13" a="1"/>
  <c r="K436" i="13" a="1"/>
  <c r="N449" i="13" a="1"/>
  <c r="N452" i="13" a="1"/>
  <c r="L455" i="13" a="1"/>
  <c r="L458" i="13" a="1"/>
  <c r="O460" i="13" a="1"/>
  <c r="O463" i="13" a="1"/>
  <c r="O468" i="13" a="1"/>
  <c r="K471" i="13" a="1"/>
  <c r="L473" i="13" a="1"/>
  <c r="M475" i="13" a="1"/>
  <c r="N477" i="13" a="1"/>
  <c r="O488" i="13" a="1"/>
  <c r="K491" i="13" a="1"/>
  <c r="L493" i="13" a="1"/>
  <c r="M495" i="13" a="1"/>
  <c r="M497" i="13" a="1"/>
  <c r="M499" i="13" a="1"/>
  <c r="K501" i="13" a="1"/>
  <c r="K503" i="13" a="1"/>
  <c r="K505" i="13" a="1"/>
  <c r="L509" i="13" a="1"/>
  <c r="M511" i="13" a="1"/>
  <c r="N513" i="13" a="1"/>
  <c r="O514" i="13" a="1"/>
  <c r="K517" i="13" a="1"/>
  <c r="L519" i="13" a="1"/>
  <c r="M521" i="13" a="1"/>
  <c r="N523" i="13" a="1"/>
  <c r="N524" i="13" a="1"/>
  <c r="N525" i="13" a="1"/>
  <c r="N526" i="13" a="1"/>
  <c r="N527" i="13" a="1"/>
  <c r="N528" i="13" a="1"/>
  <c r="N529" i="13" a="1"/>
  <c r="N530" i="13" a="1"/>
  <c r="N531" i="13" a="1"/>
  <c r="N532" i="13" a="1"/>
  <c r="N533" i="13" a="1"/>
  <c r="N534" i="13" a="1"/>
  <c r="N535" i="13" a="1"/>
  <c r="N536" i="13" a="1"/>
  <c r="N537" i="13" a="1"/>
  <c r="N538" i="13" a="1"/>
  <c r="N539" i="13" a="1"/>
  <c r="N540" i="13" a="1"/>
  <c r="N541" i="13" a="1"/>
  <c r="N542" i="13" a="1"/>
  <c r="N543" i="13" a="1"/>
  <c r="N544" i="13" a="1"/>
  <c r="N545" i="13" a="1"/>
  <c r="N546" i="13" a="1"/>
  <c r="N547" i="13" a="1"/>
  <c r="N548" i="13" a="1"/>
  <c r="N549" i="13" a="1"/>
  <c r="N550" i="13" a="1"/>
  <c r="N551" i="13" a="1"/>
  <c r="N553" i="13" a="1"/>
  <c r="N554" i="13" a="1"/>
  <c r="N555" i="13" a="1"/>
  <c r="N556" i="13" a="1"/>
  <c r="N557" i="13" a="1"/>
  <c r="N558" i="13" a="1"/>
  <c r="N559" i="13" a="1"/>
  <c r="N561" i="13" a="1"/>
  <c r="N562" i="13" a="1"/>
  <c r="N564" i="13" a="1"/>
  <c r="N566" i="13" a="1"/>
  <c r="N568" i="13" a="1"/>
  <c r="N570" i="13" a="1"/>
  <c r="N572" i="13" a="1"/>
  <c r="N574" i="13" a="1"/>
  <c r="N576" i="13" a="1"/>
  <c r="N578" i="13" a="1"/>
  <c r="N580" i="13" a="1"/>
  <c r="N582" i="13" a="1"/>
  <c r="N583" i="13" a="1"/>
  <c r="N585" i="13" a="1"/>
  <c r="N587" i="13" a="1"/>
  <c r="N589" i="13" a="1"/>
  <c r="N591" i="13" a="1"/>
  <c r="N593" i="13" a="1"/>
  <c r="N595" i="13" a="1"/>
  <c r="N597" i="13" a="1"/>
  <c r="N599" i="13" a="1"/>
  <c r="N601" i="13" a="1"/>
  <c r="O292" i="13" a="1"/>
  <c r="K353" i="13" a="1"/>
  <c r="M381" i="13" a="1"/>
  <c r="L411" i="13" a="1"/>
  <c r="M414" i="13" a="1"/>
  <c r="L421" i="13" a="1"/>
  <c r="M427" i="13" a="1"/>
  <c r="N438" i="13" a="1"/>
  <c r="N441" i="13" a="1"/>
  <c r="L444" i="13" a="1"/>
  <c r="L447" i="13" a="1"/>
  <c r="O449" i="13" a="1"/>
  <c r="O452" i="13" a="1"/>
  <c r="M466" i="13" a="1"/>
  <c r="O473" i="13" a="1"/>
  <c r="K476" i="13" a="1"/>
  <c r="L478" i="13" a="1"/>
  <c r="M480" i="13" a="1"/>
  <c r="N482" i="13" a="1"/>
  <c r="O493" i="13" a="1"/>
  <c r="K496" i="13" a="1"/>
  <c r="L508" i="13" a="1"/>
  <c r="M510" i="13" a="1"/>
  <c r="N512" i="13" a="1"/>
  <c r="O513" i="13" a="1"/>
  <c r="K516" i="13" a="1"/>
  <c r="L518" i="13" a="1"/>
  <c r="M520" i="13" a="1"/>
  <c r="N522" i="13" a="1"/>
  <c r="M297" i="13" a="1"/>
  <c r="L327" i="13" a="1"/>
  <c r="O353" i="13" a="1"/>
  <c r="O372" i="13" a="1"/>
  <c r="L390" i="13" a="1"/>
  <c r="L398" i="13" a="1"/>
  <c r="N300" i="13" a="1"/>
  <c r="N358" i="13" a="1"/>
  <c r="M382" i="13" a="1"/>
  <c r="N391" i="13" a="1"/>
  <c r="K399" i="13" a="1"/>
  <c r="M404" i="13" a="1"/>
  <c r="M415" i="13" a="1"/>
  <c r="O418" i="13" a="1"/>
  <c r="K425" i="13" a="1"/>
  <c r="O300" i="13" a="1"/>
  <c r="M359" i="13" a="1"/>
  <c r="O373" i="13" a="1"/>
  <c r="M412" i="13" a="1"/>
  <c r="O415" i="13" a="1"/>
  <c r="M419" i="13" a="1"/>
  <c r="O425" i="13" a="1"/>
  <c r="N439" i="13" a="1"/>
  <c r="N442" i="13" a="1"/>
  <c r="L445" i="13" a="1"/>
  <c r="L448" i="13" a="1"/>
  <c r="O450" i="13" a="1"/>
  <c r="O453" i="13" a="1"/>
  <c r="M467" i="13" a="1"/>
  <c r="O469" i="13" a="1"/>
  <c r="K472" i="13" a="1"/>
  <c r="L474" i="13" a="1"/>
  <c r="M476" i="13" a="1"/>
  <c r="N478" i="13" a="1"/>
  <c r="O489" i="13" a="1"/>
  <c r="K492" i="13" a="1"/>
  <c r="L494" i="13" a="1"/>
  <c r="M505" i="13" a="1"/>
  <c r="M507" i="13" a="1"/>
  <c r="N509" i="13" a="1"/>
  <c r="O510" i="13" a="1"/>
  <c r="K513" i="13" a="1"/>
  <c r="L515" i="13" a="1"/>
  <c r="M517" i="13" a="1"/>
  <c r="N519" i="13" a="1"/>
  <c r="O520" i="13" a="1"/>
  <c r="K523" i="13" a="1"/>
  <c r="K524" i="13" a="1"/>
  <c r="K525" i="13" a="1"/>
  <c r="K526" i="13" a="1"/>
  <c r="K527" i="13" a="1"/>
  <c r="K528" i="13" a="1"/>
  <c r="K529" i="13" a="1"/>
  <c r="K530" i="13" a="1"/>
  <c r="K531" i="13" a="1"/>
  <c r="K532" i="13" a="1"/>
  <c r="K533" i="13" a="1"/>
  <c r="K534" i="13" a="1"/>
  <c r="K535" i="13" a="1"/>
  <c r="K536" i="13" a="1"/>
  <c r="K537" i="13" a="1"/>
  <c r="K538" i="13" a="1"/>
  <c r="K539" i="13" a="1"/>
  <c r="K540" i="13" a="1"/>
  <c r="K541" i="13" a="1"/>
  <c r="K542" i="13" a="1"/>
  <c r="K543" i="13" a="1"/>
  <c r="K544" i="13" a="1"/>
  <c r="K545" i="13" a="1"/>
  <c r="K546" i="13" a="1"/>
  <c r="K547" i="13" a="1"/>
  <c r="K548" i="13" a="1"/>
  <c r="K549" i="13" a="1"/>
  <c r="K550" i="13" a="1"/>
  <c r="K551" i="13" a="1"/>
  <c r="K552" i="13" a="1"/>
  <c r="K553" i="13" a="1"/>
  <c r="K554" i="13" a="1"/>
  <c r="K555" i="13" a="1"/>
  <c r="K556" i="13" a="1"/>
  <c r="K557" i="13" a="1"/>
  <c r="K558" i="13" a="1"/>
  <c r="K559" i="13" a="1"/>
  <c r="K560" i="13" a="1"/>
  <c r="K561" i="13" a="1"/>
  <c r="K562" i="13" a="1"/>
  <c r="K563" i="13" a="1"/>
  <c r="K564" i="13" a="1"/>
  <c r="K565" i="13" a="1"/>
  <c r="K566" i="13" a="1"/>
  <c r="K567" i="13" a="1"/>
  <c r="K568" i="13" a="1"/>
  <c r="K569" i="13" a="1"/>
  <c r="K570" i="13" a="1"/>
  <c r="K571" i="13" a="1"/>
  <c r="K572" i="13" a="1"/>
  <c r="K573" i="13" a="1"/>
  <c r="L308" i="13" a="1"/>
  <c r="O408" i="13" a="1"/>
  <c r="K445" i="13" a="1"/>
  <c r="O478" i="13" a="1"/>
  <c r="L487" i="13" a="1"/>
  <c r="M500" i="13" a="1"/>
  <c r="L507" i="13" a="1"/>
  <c r="N510" i="13" a="1"/>
  <c r="L514" i="13" a="1"/>
  <c r="O521" i="13" a="1"/>
  <c r="O528" i="13" a="1"/>
  <c r="O538" i="13" a="1"/>
  <c r="O548" i="13" a="1"/>
  <c r="O558" i="13" a="1"/>
  <c r="O568" i="13" a="1"/>
  <c r="K576" i="13" a="1"/>
  <c r="O577" i="13" a="1"/>
  <c r="L579" i="13" a="1"/>
  <c r="K581" i="13" a="1"/>
  <c r="O582" i="13" a="1"/>
  <c r="L584" i="13" a="1"/>
  <c r="K586" i="13" a="1"/>
  <c r="O587" i="13" a="1"/>
  <c r="L589" i="13" a="1"/>
  <c r="K591" i="13" a="1"/>
  <c r="O592" i="13" a="1"/>
  <c r="L594" i="13" a="1"/>
  <c r="K596" i="13" a="1"/>
  <c r="O597" i="13" a="1"/>
  <c r="L599" i="13" a="1"/>
  <c r="K601" i="13" a="1"/>
  <c r="O602" i="13" a="1"/>
  <c r="N605" i="13" a="1"/>
  <c r="K607" i="13" a="1"/>
  <c r="M608" i="13" a="1"/>
  <c r="L611" i="13" a="1"/>
  <c r="O612" i="13" a="1"/>
  <c r="N615" i="13" a="1"/>
  <c r="K617" i="13" a="1"/>
  <c r="M618" i="13" a="1"/>
  <c r="L621" i="13" a="1"/>
  <c r="O622" i="13" a="1"/>
  <c r="N625" i="13" a="1"/>
  <c r="K627" i="13" a="1"/>
  <c r="M628" i="13" a="1"/>
  <c r="L631" i="13" a="1"/>
  <c r="O632" i="13" a="1"/>
  <c r="N635" i="13" a="1"/>
  <c r="K637" i="13" a="1"/>
  <c r="M337" i="13" a="1"/>
  <c r="M411" i="13" a="1"/>
  <c r="L428" i="13" a="1"/>
  <c r="M436" i="13" a="1"/>
  <c r="K456" i="13" a="1"/>
  <c r="L464" i="13" a="1"/>
  <c r="M487" i="13" a="1"/>
  <c r="N501" i="13" a="1"/>
  <c r="K515" i="13" a="1"/>
  <c r="M518" i="13" a="1"/>
  <c r="K522" i="13" a="1"/>
  <c r="O525" i="13" a="1"/>
  <c r="O535" i="13" a="1"/>
  <c r="O545" i="13" a="1"/>
  <c r="O555" i="13" a="1"/>
  <c r="O565" i="13" a="1"/>
  <c r="M574" i="13" a="1"/>
  <c r="M579" i="13" a="1"/>
  <c r="M584" i="13" a="1"/>
  <c r="M589" i="13" a="1"/>
  <c r="M594" i="13" a="1"/>
  <c r="M599" i="13" a="1"/>
  <c r="L604" i="13" a="1"/>
  <c r="O605" i="13" a="1"/>
  <c r="N608" i="13" a="1"/>
  <c r="K610" i="13" a="1"/>
  <c r="M611" i="13" a="1"/>
  <c r="L614" i="13" a="1"/>
  <c r="O615" i="13" a="1"/>
  <c r="N618" i="13" a="1"/>
  <c r="K620" i="13" a="1"/>
  <c r="M621" i="13" a="1"/>
  <c r="L624" i="13" a="1"/>
  <c r="O625" i="13" a="1"/>
  <c r="N361" i="13" a="1"/>
  <c r="L437" i="13" a="1"/>
  <c r="M447" i="13" a="1"/>
  <c r="K465" i="13" a="1"/>
  <c r="O480" i="13" a="1"/>
  <c r="N487" i="13" a="1"/>
  <c r="O501" i="13" a="1"/>
  <c r="N511" i="13" a="1"/>
  <c r="N518" i="13" a="1"/>
  <c r="O522" i="13" a="1"/>
  <c r="O532" i="13" a="1"/>
  <c r="O542" i="13" a="1"/>
  <c r="O552" i="13" a="1"/>
  <c r="O562" i="13" a="1"/>
  <c r="M572" i="13" a="1"/>
  <c r="O574" i="13" a="1"/>
  <c r="L576" i="13" a="1"/>
  <c r="K578" i="13" a="1"/>
  <c r="O579" i="13" a="1"/>
  <c r="L581" i="13" a="1"/>
  <c r="K583" i="13" a="1"/>
  <c r="O584" i="13" a="1"/>
  <c r="L586" i="13" a="1"/>
  <c r="K588" i="13" a="1"/>
  <c r="O589" i="13" a="1"/>
  <c r="L591" i="13" a="1"/>
  <c r="K593" i="13" a="1"/>
  <c r="O594" i="13" a="1"/>
  <c r="L596" i="13" a="1"/>
  <c r="K598" i="13" a="1"/>
  <c r="O599" i="13" a="1"/>
  <c r="N428" i="13" a="1"/>
  <c r="M456" i="13" a="1"/>
  <c r="K481" i="13" a="1"/>
  <c r="M489" i="13" a="1"/>
  <c r="L496" i="13" a="1"/>
  <c r="K502" i="13" a="1"/>
  <c r="O511" i="13" a="1"/>
  <c r="M519" i="13" a="1"/>
  <c r="O529" i="13" a="1"/>
  <c r="O539" i="13" a="1"/>
  <c r="O549" i="13" a="1"/>
  <c r="O559" i="13" a="1"/>
  <c r="O569" i="13" a="1"/>
  <c r="O572" i="13" a="1"/>
  <c r="M576" i="13" a="1"/>
  <c r="M581" i="13" a="1"/>
  <c r="M586" i="13" a="1"/>
  <c r="M591" i="13" a="1"/>
  <c r="M596" i="13" a="1"/>
  <c r="M601" i="13" a="1"/>
  <c r="N604" i="13" a="1"/>
  <c r="K606" i="13" a="1"/>
  <c r="M607" i="13" a="1"/>
  <c r="L610" i="13" a="1"/>
  <c r="O611" i="13" a="1"/>
  <c r="N614" i="13" a="1"/>
  <c r="K616" i="13" a="1"/>
  <c r="M617" i="13" a="1"/>
  <c r="L620" i="13" a="1"/>
  <c r="O621" i="13" a="1"/>
  <c r="N624" i="13" a="1"/>
  <c r="K626" i="13" a="1"/>
  <c r="M627" i="13" a="1"/>
  <c r="L630" i="13" a="1"/>
  <c r="O631" i="13" a="1"/>
  <c r="N634" i="13" a="1"/>
  <c r="K636" i="13" a="1"/>
  <c r="M637" i="13" a="1"/>
  <c r="L640" i="13" a="1"/>
  <c r="O641" i="13" a="1"/>
  <c r="N644" i="13" a="1"/>
  <c r="K646" i="13" a="1"/>
  <c r="M647" i="13" a="1"/>
  <c r="L650" i="13" a="1"/>
  <c r="O651" i="13" a="1"/>
  <c r="N654" i="13" a="1"/>
  <c r="K656" i="13" a="1"/>
  <c r="M657" i="13" a="1"/>
  <c r="L660" i="13" a="1"/>
  <c r="O661" i="13" a="1"/>
  <c r="N664" i="13" a="1"/>
  <c r="K666" i="13" a="1"/>
  <c r="M667" i="13" a="1"/>
  <c r="L670" i="13" a="1"/>
  <c r="M671" i="13" a="1"/>
  <c r="O672" i="13" a="1"/>
  <c r="K674" i="13" a="1"/>
  <c r="L675" i="13" a="1"/>
  <c r="M676" i="13" a="1"/>
  <c r="O677" i="13" a="1"/>
  <c r="K679" i="13" a="1"/>
  <c r="L680" i="13" a="1"/>
  <c r="M681" i="13" a="1"/>
  <c r="O384" i="13" a="1"/>
  <c r="K416" i="13" a="1"/>
  <c r="O430" i="13" a="1"/>
  <c r="M439" i="13" a="1"/>
  <c r="L467" i="13" a="1"/>
  <c r="O482" i="13" a="1"/>
  <c r="N489" i="13" a="1"/>
  <c r="M496" i="13" a="1"/>
  <c r="L503" i="13" a="1"/>
  <c r="M508" i="13" a="1"/>
  <c r="K512" i="13" a="1"/>
  <c r="O526" i="13" a="1"/>
  <c r="O536" i="13" a="1"/>
  <c r="O546" i="13" a="1"/>
  <c r="O556" i="13" a="1"/>
  <c r="O566" i="13" a="1"/>
  <c r="K575" i="13" a="1"/>
  <c r="O576" i="13" a="1"/>
  <c r="L578" i="13" a="1"/>
  <c r="K580" i="13" a="1"/>
  <c r="O581" i="13" a="1"/>
  <c r="L583" i="13" a="1"/>
  <c r="K585" i="13" a="1"/>
  <c r="O586" i="13" a="1"/>
  <c r="L588" i="13" a="1"/>
  <c r="K590" i="13" a="1"/>
  <c r="O591" i="13" a="1"/>
  <c r="L593" i="13" a="1"/>
  <c r="K595" i="13" a="1"/>
  <c r="O596" i="13" a="1"/>
  <c r="L598" i="13" a="1"/>
  <c r="K600" i="13" a="1"/>
  <c r="O601" i="13" a="1"/>
  <c r="L603" i="13" a="1"/>
  <c r="O604" i="13" a="1"/>
  <c r="N607" i="13" a="1"/>
  <c r="K609" i="13" a="1"/>
  <c r="M610" i="13" a="1"/>
  <c r="L613" i="13" a="1"/>
  <c r="O614" i="13" a="1"/>
  <c r="N617" i="13" a="1"/>
  <c r="K619" i="13" a="1"/>
  <c r="M620" i="13" a="1"/>
  <c r="L623" i="13" a="1"/>
  <c r="O624" i="13" a="1"/>
  <c r="N627" i="13" a="1"/>
  <c r="K629" i="13" a="1"/>
  <c r="M630" i="13" a="1"/>
  <c r="L633" i="13" a="1"/>
  <c r="O634" i="13" a="1"/>
  <c r="N637" i="13" a="1"/>
  <c r="K639" i="13" a="1"/>
  <c r="M640" i="13" a="1"/>
  <c r="L643" i="13" a="1"/>
  <c r="O644" i="13" a="1"/>
  <c r="N647" i="13" a="1"/>
  <c r="K649" i="13" a="1"/>
  <c r="M650" i="13" a="1"/>
  <c r="L653" i="13" a="1"/>
  <c r="O654" i="13" a="1"/>
  <c r="N657" i="13" a="1"/>
  <c r="K659" i="13" a="1"/>
  <c r="M660" i="13" a="1"/>
  <c r="L663" i="13" a="1"/>
  <c r="O664" i="13" a="1"/>
  <c r="N667" i="13" a="1"/>
  <c r="K669" i="13" a="1"/>
  <c r="N671" i="13" a="1"/>
  <c r="N676" i="13" a="1"/>
  <c r="N681" i="13" a="1"/>
  <c r="N686" i="13" a="1"/>
  <c r="N691" i="13" a="1"/>
  <c r="N696" i="13" a="1"/>
  <c r="N701" i="13" a="1"/>
  <c r="N706" i="13" a="1"/>
  <c r="M392" i="13" a="1"/>
  <c r="O439" i="13" a="1"/>
  <c r="M450" i="13" a="1"/>
  <c r="N458" i="13" a="1"/>
  <c r="K483" i="13" a="1"/>
  <c r="N497" i="13" a="1"/>
  <c r="O503" i="13" a="1"/>
  <c r="N508" i="13" a="1"/>
  <c r="O512" i="13" a="1"/>
  <c r="L516" i="13" a="1"/>
  <c r="O519" i="13" a="1"/>
  <c r="O523" i="13" a="1"/>
  <c r="O533" i="13" a="1"/>
  <c r="O543" i="13" a="1"/>
  <c r="O553" i="13" a="1"/>
  <c r="O563" i="13" a="1"/>
  <c r="M578" i="13" a="1"/>
  <c r="M583" i="13" a="1"/>
  <c r="M588" i="13" a="1"/>
  <c r="M593" i="13" a="1"/>
  <c r="M598" i="13" a="1"/>
  <c r="M603" i="13" a="1"/>
  <c r="L606" i="13" a="1"/>
  <c r="O607" i="13" a="1"/>
  <c r="N610" i="13" a="1"/>
  <c r="K612" i="13" a="1"/>
  <c r="M613" i="13" a="1"/>
  <c r="L616" i="13" a="1"/>
  <c r="O617" i="13" a="1"/>
  <c r="N620" i="13" a="1"/>
  <c r="K622" i="13" a="1"/>
  <c r="M623" i="13" a="1"/>
  <c r="L626" i="13" a="1"/>
  <c r="O627" i="13" a="1"/>
  <c r="N630" i="13" a="1"/>
  <c r="K632" i="13" a="1"/>
  <c r="M633" i="13" a="1"/>
  <c r="L636" i="13" a="1"/>
  <c r="O637" i="13" a="1"/>
  <c r="N640" i="13" a="1"/>
  <c r="K642" i="13" a="1"/>
  <c r="M643" i="13" a="1"/>
  <c r="L646" i="13" a="1"/>
  <c r="O647" i="13" a="1"/>
  <c r="N650" i="13" a="1"/>
  <c r="K652" i="13" a="1"/>
  <c r="M653" i="13" a="1"/>
  <c r="L656" i="13" a="1"/>
  <c r="O657" i="13" a="1"/>
  <c r="N660" i="13" a="1"/>
  <c r="K662" i="13" a="1"/>
  <c r="M663" i="13" a="1"/>
  <c r="L666" i="13" a="1"/>
  <c r="O667" i="13" a="1"/>
  <c r="M670" i="13" a="1"/>
  <c r="O671" i="13" a="1"/>
  <c r="K673" i="13" a="1"/>
  <c r="L674" i="13" a="1"/>
  <c r="M675" i="13" a="1"/>
  <c r="O676" i="13" a="1"/>
  <c r="K678" i="13" a="1"/>
  <c r="L679" i="13" a="1"/>
  <c r="M680" i="13" a="1"/>
  <c r="O681" i="13" a="1"/>
  <c r="K683" i="13" a="1"/>
  <c r="L684" i="13" a="1"/>
  <c r="M685" i="13" a="1"/>
  <c r="O686" i="13" a="1"/>
  <c r="M400" i="13" a="1"/>
  <c r="N431" i="13" a="1"/>
  <c r="M459" i="13" a="1"/>
  <c r="M469" i="13" a="1"/>
  <c r="L483" i="13" a="1"/>
  <c r="N491" i="13" a="1"/>
  <c r="L498" i="13" a="1"/>
  <c r="K504" i="13" a="1"/>
  <c r="M509" i="13" a="1"/>
  <c r="M516" i="13" a="1"/>
  <c r="O530" i="13" a="1"/>
  <c r="O540" i="13" a="1"/>
  <c r="O550" i="13" a="1"/>
  <c r="O560" i="13" a="1"/>
  <c r="O570" i="13" a="1"/>
  <c r="M573" i="13" a="1"/>
  <c r="L575" i="13" a="1"/>
  <c r="K577" i="13" a="1"/>
  <c r="O578" i="13" a="1"/>
  <c r="L580" i="13" a="1"/>
  <c r="K582" i="13" a="1"/>
  <c r="O583" i="13" a="1"/>
  <c r="L585" i="13" a="1"/>
  <c r="K587" i="13" a="1"/>
  <c r="O588" i="13" a="1"/>
  <c r="L590" i="13" a="1"/>
  <c r="K592" i="13" a="1"/>
  <c r="O593" i="13" a="1"/>
  <c r="L595" i="13" a="1"/>
  <c r="K597" i="13" a="1"/>
  <c r="O598" i="13" a="1"/>
  <c r="L600" i="13" a="1"/>
  <c r="K602" i="13" a="1"/>
  <c r="N603" i="13" a="1"/>
  <c r="K605" i="13" a="1"/>
  <c r="M606" i="13" a="1"/>
  <c r="L609" i="13" a="1"/>
  <c r="O610" i="13" a="1"/>
  <c r="N613" i="13" a="1"/>
  <c r="K615" i="13" a="1"/>
  <c r="M616" i="13" a="1"/>
  <c r="L619" i="13" a="1"/>
  <c r="O620" i="13" a="1"/>
  <c r="N623" i="13" a="1"/>
  <c r="K625" i="13" a="1"/>
  <c r="M626" i="13" a="1"/>
  <c r="L629" i="13" a="1"/>
  <c r="O630" i="13" a="1"/>
  <c r="N633" i="13" a="1"/>
  <c r="K635" i="13" a="1"/>
  <c r="M636" i="13" a="1"/>
  <c r="L639" i="13" a="1"/>
  <c r="O640" i="13" a="1"/>
  <c r="N643" i="13" a="1"/>
  <c r="K645" i="13" a="1"/>
  <c r="M646" i="13" a="1"/>
  <c r="L649" i="13" a="1"/>
  <c r="O650" i="13" a="1"/>
  <c r="N653" i="13" a="1"/>
  <c r="K655" i="13" a="1"/>
  <c r="M656" i="13" a="1"/>
  <c r="L659" i="13" a="1"/>
  <c r="O660" i="13" a="1"/>
  <c r="N663" i="13" a="1"/>
  <c r="K665" i="13" a="1"/>
  <c r="M666" i="13" a="1"/>
  <c r="L669" i="13" a="1"/>
  <c r="N670" i="13" a="1"/>
  <c r="N675" i="13" a="1"/>
  <c r="N680" i="13" a="1"/>
  <c r="M405" i="13" a="1"/>
  <c r="M422" i="13" a="1"/>
  <c r="O442" i="13" a="1"/>
  <c r="K453" i="13" a="1"/>
  <c r="L408" i="13" a="1"/>
  <c r="L434" i="13" a="1"/>
  <c r="K462" i="13" a="1"/>
  <c r="N471" i="13" a="1"/>
  <c r="M485" i="13" a="1"/>
  <c r="O499" i="13" a="1"/>
  <c r="K506" i="13" a="1"/>
  <c r="K514" i="13" a="1"/>
  <c r="N521" i="13" a="1"/>
  <c r="O531" i="13" a="1"/>
  <c r="O541" i="13" a="1"/>
  <c r="O551" i="13" a="1"/>
  <c r="O561" i="13" a="1"/>
  <c r="O571" i="13" a="1"/>
  <c r="K574" i="13" a="1"/>
  <c r="M577" i="13" a="1"/>
  <c r="M582" i="13" a="1"/>
  <c r="M587" i="13" a="1"/>
  <c r="M592" i="13" a="1"/>
  <c r="M597" i="13" a="1"/>
  <c r="M602" i="13" a="1"/>
  <c r="K604" i="13" a="1"/>
  <c r="M605" i="13" a="1"/>
  <c r="L608" i="13" a="1"/>
  <c r="O609" i="13" a="1"/>
  <c r="N612" i="13" a="1"/>
  <c r="K614" i="13" a="1"/>
  <c r="O509" i="13" a="1"/>
  <c r="O544" i="13" a="1"/>
  <c r="O575" i="13" a="1"/>
  <c r="K584" i="13" a="1"/>
  <c r="L592" i="13" a="1"/>
  <c r="O600" i="13" a="1"/>
  <c r="L615" i="13" a="1"/>
  <c r="O618" i="13" a="1"/>
  <c r="M622" i="13" a="1"/>
  <c r="O628" i="13" a="1"/>
  <c r="N631" i="13" a="1"/>
  <c r="M634" i="13" a="1"/>
  <c r="L637" i="13" a="1"/>
  <c r="M642" i="13" a="1"/>
  <c r="M644" i="13" a="1"/>
  <c r="K647" i="13" a="1"/>
  <c r="N649" i="13" a="1"/>
  <c r="N651" i="13" a="1"/>
  <c r="O656" i="13" a="1"/>
  <c r="O658" i="13" a="1"/>
  <c r="L661" i="13" a="1"/>
  <c r="M668" i="13" a="1"/>
  <c r="N672" i="13" a="1"/>
  <c r="L683" i="13" a="1"/>
  <c r="K688" i="13" a="1"/>
  <c r="O690" i="13" a="1"/>
  <c r="M693" i="13" a="1"/>
  <c r="L696" i="13" a="1"/>
  <c r="N697" i="13" a="1"/>
  <c r="K699" i="13" a="1"/>
  <c r="M700" i="13" a="1"/>
  <c r="L703" i="13" a="1"/>
  <c r="N704" i="13" a="1"/>
  <c r="K706" i="13" a="1"/>
  <c r="O708" i="13" a="1"/>
  <c r="N712" i="13" a="1"/>
  <c r="N717" i="13" a="1"/>
  <c r="N722" i="13" a="1"/>
  <c r="N727" i="13" a="1"/>
  <c r="N732" i="13" a="1"/>
  <c r="N737" i="13" a="1"/>
  <c r="N742" i="13" a="1"/>
  <c r="N747" i="13" a="1"/>
  <c r="M751" i="13" a="1"/>
  <c r="N751" i="13" a="1"/>
  <c r="L714" i="13" a="1"/>
  <c r="K718" i="13" a="1"/>
  <c r="M720" i="13" a="1"/>
  <c r="M725" i="13" a="1"/>
  <c r="M730" i="13" a="1"/>
  <c r="L734" i="13" a="1"/>
  <c r="K738" i="13" a="1"/>
  <c r="K743" i="13" a="1"/>
  <c r="O746" i="13" a="1"/>
  <c r="O751" i="13" a="1"/>
  <c r="M739" i="13" a="1"/>
  <c r="K747" i="13" a="1"/>
  <c r="O750" i="13" a="1"/>
  <c r="O653" i="13" a="1"/>
  <c r="O680" i="13" a="1"/>
  <c r="K700" i="13" a="1"/>
  <c r="M713" i="13" a="1"/>
  <c r="L722" i="13" a="1"/>
  <c r="M728" i="13" a="1"/>
  <c r="K736" i="13" a="1"/>
  <c r="K746" i="13" a="1"/>
  <c r="N748" i="13" a="1"/>
  <c r="M600" i="13" a="1"/>
  <c r="M625" i="13" a="1"/>
  <c r="M649" i="13" a="1"/>
  <c r="O670" i="13" a="1"/>
  <c r="O684" i="13" a="1"/>
  <c r="O694" i="13" a="1"/>
  <c r="M704" i="13" a="1"/>
  <c r="O713" i="13" a="1"/>
  <c r="O718" i="13" a="1"/>
  <c r="M722" i="13" a="1"/>
  <c r="O728" i="13" a="1"/>
  <c r="K740" i="13" a="1"/>
  <c r="K745" i="13" a="1"/>
  <c r="K422" i="13" a="1"/>
  <c r="K485" i="13" a="1"/>
  <c r="O547" i="13" a="1"/>
  <c r="M585" i="13" a="1"/>
  <c r="L601" i="13" a="1"/>
  <c r="N606" i="13" a="1"/>
  <c r="K611" i="13" a="1"/>
  <c r="M615" i="13" a="1"/>
  <c r="M619" i="13" a="1"/>
  <c r="N622" i="13" a="1"/>
  <c r="N626" i="13" a="1"/>
  <c r="M629" i="13" a="1"/>
  <c r="L632" i="13" a="1"/>
  <c r="K638" i="13" a="1"/>
  <c r="K640" i="13" a="1"/>
  <c r="N642" i="13" a="1"/>
  <c r="O649" i="13" a="1"/>
  <c r="L652" i="13" a="1"/>
  <c r="L654" i="13" a="1"/>
  <c r="M659" i="13" a="1"/>
  <c r="M661" i="13" a="1"/>
  <c r="K664" i="13" a="1"/>
  <c r="N666" i="13" a="1"/>
  <c r="N668" i="13" a="1"/>
  <c r="K671" i="13" a="1"/>
  <c r="L673" i="13" a="1"/>
  <c r="K675" i="13" a="1"/>
  <c r="L677" i="13" a="1"/>
  <c r="M679" i="13" a="1"/>
  <c r="L681" i="13" a="1"/>
  <c r="K685" i="13" a="1"/>
  <c r="M686" i="13" a="1"/>
  <c r="M689" i="13" a="1"/>
  <c r="L692" i="13" a="1"/>
  <c r="N693" i="13" a="1"/>
  <c r="K695" i="13" a="1"/>
  <c r="O697" i="13" a="1"/>
  <c r="L699" i="13" a="1"/>
  <c r="N700" i="13" a="1"/>
  <c r="K702" i="13" a="1"/>
  <c r="O704" i="13" a="1"/>
  <c r="M707" i="13" a="1"/>
  <c r="L710" i="13" a="1"/>
  <c r="M711" i="13" a="1"/>
  <c r="O712" i="13" a="1"/>
  <c r="K714" i="13" a="1"/>
  <c r="L715" i="13" a="1"/>
  <c r="M716" i="13" a="1"/>
  <c r="O717" i="13" a="1"/>
  <c r="K719" i="13" a="1"/>
  <c r="L720" i="13" a="1"/>
  <c r="M721" i="13" a="1"/>
  <c r="O722" i="13" a="1"/>
  <c r="K724" i="13" a="1"/>
  <c r="L725" i="13" a="1"/>
  <c r="M726" i="13" a="1"/>
  <c r="O727" i="13" a="1"/>
  <c r="K729" i="13" a="1"/>
  <c r="L730" i="13" a="1"/>
  <c r="M731" i="13" a="1"/>
  <c r="O732" i="13" a="1"/>
  <c r="K734" i="13" a="1"/>
  <c r="L735" i="13" a="1"/>
  <c r="M736" i="13" a="1"/>
  <c r="O737" i="13" a="1"/>
  <c r="K739" i="13" a="1"/>
  <c r="L740" i="13" a="1"/>
  <c r="M741" i="13" a="1"/>
  <c r="O742" i="13" a="1"/>
  <c r="K744" i="13" a="1"/>
  <c r="L745" i="13" a="1"/>
  <c r="M746" i="13" a="1"/>
  <c r="O747" i="13" a="1"/>
  <c r="K749" i="13" a="1"/>
  <c r="L750" i="13" a="1"/>
  <c r="N746" i="13" a="1"/>
  <c r="O711" i="13" a="1"/>
  <c r="K723" i="13" a="1"/>
  <c r="O726" i="13" a="1"/>
  <c r="O731" i="13" a="1"/>
  <c r="O736" i="13" a="1"/>
  <c r="M740" i="13" a="1"/>
  <c r="L744" i="13" a="1"/>
  <c r="K748" i="13" a="1"/>
  <c r="K742" i="13" a="1"/>
  <c r="L748" i="13" a="1"/>
  <c r="M590" i="13" a="1"/>
  <c r="M639" i="13" a="1"/>
  <c r="M674" i="13" a="1"/>
  <c r="L690" i="13" a="1"/>
  <c r="L704" i="13" a="1"/>
  <c r="L717" i="13" a="1"/>
  <c r="K726" i="13" a="1"/>
  <c r="M733" i="13" a="1"/>
  <c r="M743" i="13" a="1"/>
  <c r="L605" i="13" a="1"/>
  <c r="L644" i="13" a="1"/>
  <c r="O663" i="13" a="1"/>
  <c r="O674" i="13" a="1"/>
  <c r="O687" i="13" a="1"/>
  <c r="M697" i="13" a="1"/>
  <c r="N708" i="13" a="1"/>
  <c r="K720" i="13" a="1"/>
  <c r="L726" i="13" a="1"/>
  <c r="L736" i="13" a="1"/>
  <c r="O743" i="13" a="1"/>
  <c r="O433" i="13" a="1"/>
  <c r="L485" i="13" a="1"/>
  <c r="O564" i="13" a="1"/>
  <c r="L577" i="13" a="1"/>
  <c r="O585" i="13" a="1"/>
  <c r="K594" i="13" a="1"/>
  <c r="O606" i="13" a="1"/>
  <c r="N611" i="13" a="1"/>
  <c r="N619" i="13" a="1"/>
  <c r="K623" i="13" a="1"/>
  <c r="O626" i="13" a="1"/>
  <c r="N629" i="13" a="1"/>
  <c r="M632" i="13" a="1"/>
  <c r="L635" i="13" a="1"/>
  <c r="O642" i="13" a="1"/>
  <c r="L645" i="13" a="1"/>
  <c r="L647" i="13" a="1"/>
  <c r="M652" i="13" a="1"/>
  <c r="M654" i="13" a="1"/>
  <c r="K657" i="13" a="1"/>
  <c r="N659" i="13" a="1"/>
  <c r="N661" i="13" a="1"/>
  <c r="O666" i="13" a="1"/>
  <c r="O668" i="13" a="1"/>
  <c r="N679" i="13" a="1"/>
  <c r="M683" i="13" a="1"/>
  <c r="L688" i="13" a="1"/>
  <c r="N689" i="13" a="1"/>
  <c r="K691" i="13" a="1"/>
  <c r="O693" i="13" a="1"/>
  <c r="M696" i="13" a="1"/>
  <c r="K698" i="13" a="1"/>
  <c r="O700" i="13" a="1"/>
  <c r="M703" i="13" a="1"/>
  <c r="L706" i="13" a="1"/>
  <c r="N707" i="13" a="1"/>
  <c r="K709" i="13" a="1"/>
  <c r="N711" i="13" a="1"/>
  <c r="N716" i="13" a="1"/>
  <c r="N721" i="13" a="1"/>
  <c r="N726" i="13" a="1"/>
  <c r="N731" i="13" a="1"/>
  <c r="N736" i="13" a="1"/>
  <c r="N741" i="13" a="1"/>
  <c r="K713" i="13" a="1"/>
  <c r="L719" i="13" a="1"/>
  <c r="L724" i="13" a="1"/>
  <c r="K728" i="13" a="1"/>
  <c r="K733" i="13" a="1"/>
  <c r="M735" i="13" a="1"/>
  <c r="O741" i="13" a="1"/>
  <c r="M745" i="13" a="1"/>
  <c r="M750" i="13" a="1"/>
  <c r="L738" i="13" a="1"/>
  <c r="O745" i="13" a="1"/>
  <c r="M641" i="13" a="1"/>
  <c r="N648" i="13" a="1"/>
  <c r="L658" i="13" a="1"/>
  <c r="M678" i="13" a="1"/>
  <c r="O691" i="13" a="1"/>
  <c r="N705" i="13" a="1"/>
  <c r="O714" i="13" a="1"/>
  <c r="M723" i="13" a="1"/>
  <c r="O729" i="13" a="1"/>
  <c r="L742" i="13" a="1"/>
  <c r="O527" i="13" a="1"/>
  <c r="N628" i="13" a="1"/>
  <c r="L668" i="13" a="1"/>
  <c r="O682" i="13" a="1"/>
  <c r="K692" i="13" a="1"/>
  <c r="M712" i="13" a="1"/>
  <c r="L721" i="13" a="1"/>
  <c r="M727" i="13" a="1"/>
  <c r="M737" i="13" a="1"/>
  <c r="K750" i="13" a="1"/>
  <c r="K442" i="13" a="1"/>
  <c r="L517" i="13" a="1"/>
  <c r="O567" i="13" a="1"/>
  <c r="M595" i="13" a="1"/>
  <c r="L602" i="13" a="1"/>
  <c r="L607" i="13" a="1"/>
  <c r="L612" i="13" a="1"/>
  <c r="N616" i="13" a="1"/>
  <c r="O619" i="13" a="1"/>
  <c r="O623" i="13" a="1"/>
  <c r="O629" i="13" a="1"/>
  <c r="N632" i="13" a="1"/>
  <c r="M635" i="13" a="1"/>
  <c r="L638" i="13" a="1"/>
  <c r="M645" i="13" a="1"/>
  <c r="K648" i="13" a="1"/>
  <c r="K650" i="13" a="1"/>
  <c r="N652" i="13" a="1"/>
  <c r="O659" i="13" a="1"/>
  <c r="L662" i="13" a="1"/>
  <c r="L664" i="13" a="1"/>
  <c r="M669" i="13" a="1"/>
  <c r="L671" i="13" a="1"/>
  <c r="M673" i="13" a="1"/>
  <c r="O675" i="13" a="1"/>
  <c r="M677" i="13" a="1"/>
  <c r="O679" i="13" a="1"/>
  <c r="K682" i="13" a="1"/>
  <c r="N683" i="13" a="1"/>
  <c r="L685" i="13" a="1"/>
  <c r="K687" i="13" a="1"/>
  <c r="O689" i="13" a="1"/>
  <c r="M692" i="13" a="1"/>
  <c r="L695" i="13" a="1"/>
  <c r="O696" i="13" a="1"/>
  <c r="M699" i="13" a="1"/>
  <c r="L702" i="13" a="1"/>
  <c r="N703" i="13" a="1"/>
  <c r="K705" i="13" a="1"/>
  <c r="O707" i="13" a="1"/>
  <c r="L709" i="13" a="1"/>
  <c r="M710" i="13" a="1"/>
  <c r="M715" i="13" a="1"/>
  <c r="O716" i="13" a="1"/>
  <c r="O721" i="13" a="1"/>
  <c r="L729" i="13" a="1"/>
  <c r="L739" i="13" a="1"/>
  <c r="L749" i="13" a="1"/>
  <c r="M744" i="13" a="1"/>
  <c r="O573" i="13" a="1"/>
  <c r="N646" i="13" a="1"/>
  <c r="L672" i="13" a="1"/>
  <c r="K686" i="13" a="1"/>
  <c r="K711" i="13" a="1"/>
  <c r="O719" i="13" a="1"/>
  <c r="K731" i="13" a="1"/>
  <c r="O739" i="13" a="1"/>
  <c r="M748" i="13" a="1"/>
  <c r="L622" i="13" a="1"/>
  <c r="M651" i="13" a="1"/>
  <c r="K677" i="13" a="1"/>
  <c r="L711" i="13" a="1"/>
  <c r="K735" i="13" a="1"/>
  <c r="L746" i="13" a="1"/>
  <c r="O534" i="13" a="1"/>
  <c r="K579" i="13" a="1"/>
  <c r="L587" i="13" a="1"/>
  <c r="O595" i="13" a="1"/>
  <c r="K603" i="13" a="1"/>
  <c r="K608" i="13" a="1"/>
  <c r="M612" i="13" a="1"/>
  <c r="O616" i="13" a="1"/>
  <c r="K630" i="13" a="1"/>
  <c r="O635" i="13" a="1"/>
  <c r="M638" i="13" a="1"/>
  <c r="K641" i="13" a="1"/>
  <c r="K643" i="13" a="1"/>
  <c r="N645" i="13" a="1"/>
  <c r="O652" i="13" a="1"/>
  <c r="L655" i="13" a="1"/>
  <c r="L657" i="13" a="1"/>
  <c r="M662" i="13" a="1"/>
  <c r="M664" i="13" a="1"/>
  <c r="K667" i="13" a="1"/>
  <c r="N669" i="13" a="1"/>
  <c r="N673" i="13" a="1"/>
  <c r="N677" i="13" a="1"/>
  <c r="O683" i="13" a="1"/>
  <c r="N685" i="13" a="1"/>
  <c r="M688" i="13" a="1"/>
  <c r="L691" i="13" a="1"/>
  <c r="N692" i="13" a="1"/>
  <c r="K694" i="13" a="1"/>
  <c r="M695" i="13" a="1"/>
  <c r="L698" i="13" a="1"/>
  <c r="N699" i="13" a="1"/>
  <c r="K701" i="13" a="1"/>
  <c r="O703" i="13" a="1"/>
  <c r="M706" i="13" a="1"/>
  <c r="K708" i="13" a="1"/>
  <c r="N710" i="13" a="1"/>
  <c r="N715" i="13" a="1"/>
  <c r="N720" i="13" a="1"/>
  <c r="N725" i="13" a="1"/>
  <c r="N730" i="13" a="1"/>
  <c r="N735" i="13" a="1"/>
  <c r="N740" i="13" a="1"/>
  <c r="N745" i="13" a="1"/>
  <c r="N750" i="13" a="1"/>
  <c r="L723" i="13" a="1"/>
  <c r="K727" i="13" a="1"/>
  <c r="M729" i="13" a="1"/>
  <c r="K732" i="13" a="1"/>
  <c r="M734" i="13" a="1"/>
  <c r="K737" i="13" a="1"/>
  <c r="L743" i="13" a="1"/>
  <c r="O636" i="13" a="1"/>
  <c r="O655" i="13" a="1"/>
  <c r="K670" i="13" a="1"/>
  <c r="M682" i="13" a="1"/>
  <c r="L697" i="13" a="1"/>
  <c r="O709" i="13" a="1"/>
  <c r="M718" i="13" a="1"/>
  <c r="L727" i="13" a="1"/>
  <c r="M738" i="13" a="1"/>
  <c r="L747" i="13" a="1"/>
  <c r="M631" i="13" a="1"/>
  <c r="N656" i="13" a="1"/>
  <c r="O678" i="13" a="1"/>
  <c r="N690" i="13" a="1"/>
  <c r="L707" i="13" a="1"/>
  <c r="K725" i="13" a="1"/>
  <c r="O738" i="13" a="1"/>
  <c r="O748" i="13" a="1"/>
  <c r="M498" i="13" a="1"/>
  <c r="N520" i="13" a="1"/>
  <c r="O537" i="13" a="1"/>
  <c r="M580" i="13" a="1"/>
  <c r="O603" i="13" a="1"/>
  <c r="K613" i="13" a="1"/>
  <c r="K624" i="13" a="1"/>
  <c r="L627" i="13" a="1"/>
  <c r="K633" i="13" a="1"/>
  <c r="N638" i="13" a="1"/>
  <c r="O643" i="13" a="1"/>
  <c r="O645" i="13" a="1"/>
  <c r="L648" i="13" a="1"/>
  <c r="M655" i="13" a="1"/>
  <c r="K658" i="13" a="1"/>
  <c r="K660" i="13" a="1"/>
  <c r="N662" i="13" a="1"/>
  <c r="O669" i="13" a="1"/>
  <c r="K672" i="13" a="1"/>
  <c r="O673" i="13" a="1"/>
  <c r="K676" i="13" a="1"/>
  <c r="L678" i="13" a="1"/>
  <c r="K680" i="13" a="1"/>
  <c r="L682" i="13" a="1"/>
  <c r="O685" i="13" a="1"/>
  <c r="L687" i="13" a="1"/>
  <c r="N688" i="13" a="1"/>
  <c r="K690" i="13" a="1"/>
  <c r="O692" i="13" a="1"/>
  <c r="L694" i="13" a="1"/>
  <c r="N695" i="13" a="1"/>
  <c r="K697" i="13" a="1"/>
  <c r="O699" i="13" a="1"/>
  <c r="M702" i="13" a="1"/>
  <c r="L705" i="13" a="1"/>
  <c r="O706" i="13" a="1"/>
  <c r="M709" i="13" a="1"/>
  <c r="O710" i="13" a="1"/>
  <c r="K712" i="13" a="1"/>
  <c r="L713" i="13" a="1"/>
  <c r="M714" i="13" a="1"/>
  <c r="O715" i="13" a="1"/>
  <c r="K717" i="13" a="1"/>
  <c r="L718" i="13" a="1"/>
  <c r="M719" i="13" a="1"/>
  <c r="O720" i="13" a="1"/>
  <c r="K722" i="13" a="1"/>
  <c r="M724" i="13" a="1"/>
  <c r="O725" i="13" a="1"/>
  <c r="L728" i="13" a="1"/>
  <c r="O730" i="13" a="1"/>
  <c r="L733" i="13" a="1"/>
  <c r="O735" i="13" a="1"/>
  <c r="O740" i="13" a="1"/>
  <c r="M749" i="13" a="1"/>
  <c r="M604" i="13" a="1"/>
  <c r="M665" i="13" a="1"/>
  <c r="M684" i="13" a="1"/>
  <c r="M694" i="13" a="1"/>
  <c r="O702" i="13" a="1"/>
  <c r="L712" i="13" a="1"/>
  <c r="K721" i="13" a="1"/>
  <c r="L732" i="13" a="1"/>
  <c r="K741" i="13" a="1"/>
  <c r="O749" i="13" a="1"/>
  <c r="M575" i="13" a="1"/>
  <c r="L642" i="13" a="1"/>
  <c r="O665" i="13" a="1"/>
  <c r="L689" i="13" a="1"/>
  <c r="L716" i="13" a="1"/>
  <c r="O733" i="13" a="1"/>
  <c r="M747" i="13" a="1"/>
  <c r="N461" i="13" a="1"/>
  <c r="N499" i="13" a="1"/>
  <c r="O554" i="13" a="1"/>
  <c r="O580" i="13" a="1"/>
  <c r="K589" i="13" a="1"/>
  <c r="L597" i="13" a="1"/>
  <c r="O608" i="13" a="1"/>
  <c r="O613" i="13" a="1"/>
  <c r="L617" i="13" a="1"/>
  <c r="K621" i="13" a="1"/>
  <c r="M624" i="13" a="1"/>
  <c r="K628" i="13" a="1"/>
  <c r="O633" i="13" a="1"/>
  <c r="N636" i="13" a="1"/>
  <c r="O638" i="13" a="1"/>
  <c r="L641" i="13" a="1"/>
  <c r="M648" i="13" a="1"/>
  <c r="K651" i="13" a="1"/>
  <c r="K653" i="13" a="1"/>
  <c r="N655" i="13" a="1"/>
  <c r="O662" i="13" a="1"/>
  <c r="L665" i="13" a="1"/>
  <c r="L667" i="13" a="1"/>
  <c r="K684" i="13" a="1"/>
  <c r="O688" i="13" a="1"/>
  <c r="M691" i="13" a="1"/>
  <c r="K693" i="13" a="1"/>
  <c r="O695" i="13" a="1"/>
  <c r="M698" i="13" a="1"/>
  <c r="L701" i="13" a="1"/>
  <c r="N702" i="13" a="1"/>
  <c r="K704" i="13" a="1"/>
  <c r="M705" i="13" a="1"/>
  <c r="L708" i="13" a="1"/>
  <c r="N709" i="13" a="1"/>
  <c r="N714" i="13" a="1"/>
  <c r="N719" i="13" a="1"/>
  <c r="N724" i="13" a="1"/>
  <c r="N729" i="13" a="1"/>
  <c r="N734" i="13" a="1"/>
  <c r="N739" i="13" a="1"/>
  <c r="N744" i="13" a="1"/>
  <c r="N749" i="13" a="1"/>
  <c r="L505" i="13" a="1"/>
  <c r="M609" i="13" a="1"/>
  <c r="K618" i="13" a="1"/>
  <c r="K644" i="13" a="1"/>
  <c r="K668" i="13" a="1"/>
  <c r="L676" i="13" a="1"/>
  <c r="M687" i="13" a="1"/>
  <c r="N698" i="13" a="1"/>
  <c r="K707" i="13" a="1"/>
  <c r="K716" i="13" a="1"/>
  <c r="O724" i="13" a="1"/>
  <c r="L737" i="13" a="1"/>
  <c r="O744" i="13" a="1"/>
  <c r="K751" i="13" a="1"/>
  <c r="L634" i="13" a="1"/>
  <c r="N658" i="13" a="1"/>
  <c r="K681" i="13" a="1"/>
  <c r="O701" i="13" a="1"/>
  <c r="K715" i="13" a="1"/>
  <c r="L731" i="13" a="1"/>
  <c r="M742" i="13" a="1"/>
  <c r="N469" i="13" a="1"/>
  <c r="O557" i="13" a="1"/>
  <c r="K631" i="13" a="1"/>
  <c r="O734" i="13" a="1"/>
  <c r="K730" i="13" a="1"/>
  <c r="O524" i="13" a="1"/>
  <c r="L582" i="13" a="1"/>
  <c r="O590" i="13" a="1"/>
  <c r="K599" i="13" a="1"/>
  <c r="N609" i="13" a="1"/>
  <c r="M614" i="13" a="1"/>
  <c r="N621" i="13" a="1"/>
  <c r="L625" i="13" a="1"/>
  <c r="L628" i="13" a="1"/>
  <c r="K634" i="13" a="1"/>
  <c r="N639" i="13" a="1"/>
  <c r="N641" i="13" a="1"/>
  <c r="O646" i="13" a="1"/>
  <c r="O648" i="13" a="1"/>
  <c r="L651" i="13" a="1"/>
  <c r="M658" i="13" a="1"/>
  <c r="K661" i="13" a="1"/>
  <c r="K663" i="13" a="1"/>
  <c r="N665" i="13" a="1"/>
  <c r="N674" i="13" a="1"/>
  <c r="N678" i="13" a="1"/>
  <c r="N682" i="13" a="1"/>
  <c r="N684" i="13" a="1"/>
  <c r="N687" i="13" a="1"/>
  <c r="K689" i="13" a="1"/>
  <c r="M690" i="13" a="1"/>
  <c r="L693" i="13" a="1"/>
  <c r="N694" i="13" a="1"/>
  <c r="K696" i="13" a="1"/>
  <c r="O698" i="13" a="1"/>
  <c r="M701" i="13" a="1"/>
  <c r="K703" i="13" a="1"/>
  <c r="O705" i="13" a="1"/>
  <c r="M708" i="13" a="1"/>
  <c r="N713" i="13" a="1"/>
  <c r="N718" i="13" a="1"/>
  <c r="N723" i="13" a="1"/>
  <c r="N728" i="13" a="1"/>
  <c r="N733" i="13" a="1"/>
  <c r="N738" i="13" a="1"/>
  <c r="N743" i="13" a="1"/>
  <c r="L618" i="13" a="1"/>
  <c r="O639" i="13" a="1"/>
  <c r="K654" i="13" a="1"/>
  <c r="M672" i="13" a="1"/>
  <c r="L686" i="13" a="1"/>
  <c r="L700" i="13" a="1"/>
  <c r="K710" i="13" a="1"/>
  <c r="M717" i="13" a="1"/>
  <c r="O723" i="13" a="1"/>
  <c r="M732" i="13" a="1"/>
  <c r="L741" i="13" a="1"/>
  <c r="L751" i="13" a="1"/>
  <c r="O2" i="13" a="1"/>
  <c r="N2" i="13" a="1"/>
  <c r="M2" i="13" a="1"/>
  <c r="L2" i="13" a="1"/>
  <c r="K2" i="13" a="1"/>
  <c r="C72" i="11" a="1"/>
  <c r="D72" i="11" a="1"/>
  <c r="I73" i="11"/>
  <c r="E72" i="11"/>
  <c r="F72" i="11"/>
  <c r="C73" i="11" a="1"/>
  <c r="A72" i="11" a="1"/>
  <c r="A73" i="11" a="1"/>
  <c r="B73" i="11" a="1"/>
  <c r="A3" i="11" a="1"/>
  <c r="G3" i="11"/>
  <c r="C5" i="11" a="1"/>
  <c r="H6" i="11"/>
  <c r="E7" i="11"/>
  <c r="B9" i="11" a="1"/>
  <c r="I9" i="11"/>
  <c r="F10" i="11"/>
  <c r="D11" i="11" a="1"/>
  <c r="A13" i="11" a="1"/>
  <c r="G13" i="11"/>
  <c r="C15" i="11" a="1"/>
  <c r="H16" i="11"/>
  <c r="E17" i="11"/>
  <c r="B19" i="11" a="1"/>
  <c r="I19" i="11"/>
  <c r="F20" i="11"/>
  <c r="D21" i="11" a="1"/>
  <c r="A23" i="11" a="1"/>
  <c r="G23" i="11"/>
  <c r="C25" i="11" a="1"/>
  <c r="H26" i="11"/>
  <c r="E27" i="11"/>
  <c r="B29" i="11" a="1"/>
  <c r="I29" i="11"/>
  <c r="F30" i="11"/>
  <c r="D31" i="11" a="1"/>
  <c r="A33" i="11" a="1"/>
  <c r="G33" i="11"/>
  <c r="C35" i="11" a="1"/>
  <c r="H36" i="11"/>
  <c r="E37" i="11"/>
  <c r="B39" i="11" a="1"/>
  <c r="I39" i="11"/>
  <c r="F40" i="11"/>
  <c r="D41" i="11" a="1"/>
  <c r="A43" i="11" a="1"/>
  <c r="G43" i="11"/>
  <c r="C45" i="11" a="1"/>
  <c r="H46" i="11"/>
  <c r="E47" i="11"/>
  <c r="B49" i="11" a="1"/>
  <c r="I49" i="11"/>
  <c r="F50" i="11"/>
  <c r="D51" i="11" a="1"/>
  <c r="A53" i="11" a="1"/>
  <c r="G53" i="11"/>
  <c r="C55" i="11" a="1"/>
  <c r="H56" i="11"/>
  <c r="E57" i="11"/>
  <c r="B59" i="11" a="1"/>
  <c r="I59" i="11"/>
  <c r="F60" i="11"/>
  <c r="D61" i="11" a="1"/>
  <c r="A63" i="11" a="1"/>
  <c r="G63" i="11"/>
  <c r="C65" i="11" a="1"/>
  <c r="H66" i="11"/>
  <c r="E67" i="11"/>
  <c r="B69" i="11" a="1"/>
  <c r="I69" i="11"/>
  <c r="F70" i="11"/>
  <c r="D71" i="11" a="1"/>
  <c r="G70" i="11"/>
  <c r="I64" i="11"/>
  <c r="G68" i="11"/>
  <c r="H71" i="11"/>
  <c r="I71" i="11"/>
  <c r="I28" i="11"/>
  <c r="D40" i="11" a="1"/>
  <c r="E46" i="11"/>
  <c r="C54" i="11" a="1"/>
  <c r="B58" i="11" a="1"/>
  <c r="A62" i="11" a="1"/>
  <c r="E66" i="11"/>
  <c r="B5" i="11" a="1"/>
  <c r="C11" i="11" a="1"/>
  <c r="H3" i="11"/>
  <c r="E4" i="11"/>
  <c r="B6" i="11" a="1"/>
  <c r="I6" i="11"/>
  <c r="F7" i="11"/>
  <c r="D8" i="11" a="1"/>
  <c r="A10" i="11" a="1"/>
  <c r="G10" i="11"/>
  <c r="C12" i="11" a="1"/>
  <c r="H13" i="11"/>
  <c r="E14" i="11"/>
  <c r="B16" i="11" a="1"/>
  <c r="I16" i="11"/>
  <c r="F17" i="11"/>
  <c r="D18" i="11" a="1"/>
  <c r="A20" i="11" a="1"/>
  <c r="G20" i="11"/>
  <c r="C22" i="11" a="1"/>
  <c r="H23" i="11"/>
  <c r="E24" i="11"/>
  <c r="B26" i="11" a="1"/>
  <c r="I26" i="11"/>
  <c r="F27" i="11"/>
  <c r="D28" i="11" a="1"/>
  <c r="A30" i="11" a="1"/>
  <c r="G30" i="11"/>
  <c r="C32" i="11" a="1"/>
  <c r="H33" i="11"/>
  <c r="E34" i="11"/>
  <c r="B36" i="11" a="1"/>
  <c r="I36" i="11"/>
  <c r="F37" i="11"/>
  <c r="D38" i="11" a="1"/>
  <c r="A40" i="11" a="1"/>
  <c r="G40" i="11"/>
  <c r="C42" i="11" a="1"/>
  <c r="H43" i="11"/>
  <c r="E44" i="11"/>
  <c r="B46" i="11" a="1"/>
  <c r="I46" i="11"/>
  <c r="F47" i="11"/>
  <c r="D48" i="11" a="1"/>
  <c r="A50" i="11" a="1"/>
  <c r="G50" i="11"/>
  <c r="C52" i="11" a="1"/>
  <c r="H53" i="11"/>
  <c r="E54" i="11"/>
  <c r="B56" i="11" a="1"/>
  <c r="I56" i="11"/>
  <c r="F57" i="11"/>
  <c r="D58" i="11" a="1"/>
  <c r="A60" i="11" a="1"/>
  <c r="G60" i="11"/>
  <c r="C62" i="11" a="1"/>
  <c r="H63" i="11"/>
  <c r="E64" i="11"/>
  <c r="B66" i="11" a="1"/>
  <c r="I66" i="11"/>
  <c r="F67" i="11"/>
  <c r="D68" i="11" a="1"/>
  <c r="A70" i="11" a="1"/>
  <c r="I68" i="11"/>
  <c r="B3" i="11" a="1"/>
  <c r="I3" i="11"/>
  <c r="F4" i="11"/>
  <c r="D5" i="11" a="1"/>
  <c r="A7" i="11" a="1"/>
  <c r="G7" i="11"/>
  <c r="C9" i="11" a="1"/>
  <c r="H10" i="11"/>
  <c r="E11" i="11"/>
  <c r="B13" i="11" a="1"/>
  <c r="I13" i="11"/>
  <c r="F14" i="11"/>
  <c r="D15" i="11" a="1"/>
  <c r="A17" i="11" a="1"/>
  <c r="G17" i="11"/>
  <c r="C19" i="11" a="1"/>
  <c r="H20" i="11"/>
  <c r="E21" i="11"/>
  <c r="B23" i="11" a="1"/>
  <c r="I23" i="11"/>
  <c r="F24" i="11"/>
  <c r="D25" i="11" a="1"/>
  <c r="A27" i="11" a="1"/>
  <c r="G27" i="11"/>
  <c r="C29" i="11" a="1"/>
  <c r="H30" i="11"/>
  <c r="E31" i="11"/>
  <c r="B33" i="11" a="1"/>
  <c r="I33" i="11"/>
  <c r="F34" i="11"/>
  <c r="D35" i="11" a="1"/>
  <c r="A37" i="11" a="1"/>
  <c r="G37" i="11"/>
  <c r="C39" i="11" a="1"/>
  <c r="H40" i="11"/>
  <c r="E41" i="11"/>
  <c r="B43" i="11" a="1"/>
  <c r="I43" i="11"/>
  <c r="F44" i="11"/>
  <c r="D45" i="11" a="1"/>
  <c r="A47" i="11" a="1"/>
  <c r="G47" i="11"/>
  <c r="C49" i="11" a="1"/>
  <c r="H50" i="11"/>
  <c r="E51" i="11"/>
  <c r="B53" i="11" a="1"/>
  <c r="I53" i="11"/>
  <c r="F54" i="11"/>
  <c r="D55" i="11" a="1"/>
  <c r="A57" i="11" a="1"/>
  <c r="G57" i="11"/>
  <c r="C59" i="11" a="1"/>
  <c r="H60" i="11"/>
  <c r="E61" i="11"/>
  <c r="B63" i="11" a="1"/>
  <c r="I63" i="11"/>
  <c r="F64" i="11"/>
  <c r="D65" i="11" a="1"/>
  <c r="A67" i="11" a="1"/>
  <c r="G67" i="11"/>
  <c r="C69" i="11" a="1"/>
  <c r="H70" i="11"/>
  <c r="E71" i="11"/>
  <c r="B64" i="11" a="1"/>
  <c r="C64" i="11" a="1"/>
  <c r="A4" i="11" a="1"/>
  <c r="G4" i="11"/>
  <c r="C6" i="11" a="1"/>
  <c r="H7" i="11"/>
  <c r="E8" i="11"/>
  <c r="B10" i="11" a="1"/>
  <c r="I10" i="11"/>
  <c r="F11" i="11"/>
  <c r="D12" i="11" a="1"/>
  <c r="A14" i="11" a="1"/>
  <c r="G14" i="11"/>
  <c r="C16" i="11" a="1"/>
  <c r="H17" i="11"/>
  <c r="E18" i="11"/>
  <c r="B20" i="11" a="1"/>
  <c r="I20" i="11"/>
  <c r="F21" i="11"/>
  <c r="D22" i="11" a="1"/>
  <c r="A24" i="11" a="1"/>
  <c r="G24" i="11"/>
  <c r="C26" i="11" a="1"/>
  <c r="H27" i="11"/>
  <c r="E28" i="11"/>
  <c r="B30" i="11" a="1"/>
  <c r="I30" i="11"/>
  <c r="F31" i="11"/>
  <c r="D32" i="11" a="1"/>
  <c r="A34" i="11" a="1"/>
  <c r="G34" i="11"/>
  <c r="C36" i="11" a="1"/>
  <c r="H37" i="11"/>
  <c r="E38" i="11"/>
  <c r="B40" i="11" a="1"/>
  <c r="I40" i="11"/>
  <c r="F41" i="11"/>
  <c r="D42" i="11" a="1"/>
  <c r="A44" i="11" a="1"/>
  <c r="G44" i="11"/>
  <c r="C46" i="11" a="1"/>
  <c r="H47" i="11"/>
  <c r="E48" i="11"/>
  <c r="B50" i="11" a="1"/>
  <c r="I50" i="11"/>
  <c r="F51" i="11"/>
  <c r="D52" i="11" a="1"/>
  <c r="A54" i="11" a="1"/>
  <c r="G54" i="11"/>
  <c r="C56" i="11" a="1"/>
  <c r="H57" i="11"/>
  <c r="E58" i="11"/>
  <c r="B60" i="11" a="1"/>
  <c r="I60" i="11"/>
  <c r="F61" i="11"/>
  <c r="D62" i="11" a="1"/>
  <c r="A64" i="11" a="1"/>
  <c r="G64" i="11"/>
  <c r="C66" i="11" a="1"/>
  <c r="H67" i="11"/>
  <c r="E68" i="11"/>
  <c r="B70" i="11" a="1"/>
  <c r="I70" i="11"/>
  <c r="F71" i="11"/>
  <c r="H61" i="11"/>
  <c r="E36" i="11"/>
  <c r="D7" i="11" a="1"/>
  <c r="C3" i="11" a="1"/>
  <c r="H4" i="11"/>
  <c r="E5" i="11"/>
  <c r="B7" i="11" a="1"/>
  <c r="I7" i="11"/>
  <c r="F8" i="11"/>
  <c r="D9" i="11" a="1"/>
  <c r="A11" i="11" a="1"/>
  <c r="G11" i="11"/>
  <c r="C13" i="11" a="1"/>
  <c r="H14" i="11"/>
  <c r="E15" i="11"/>
  <c r="B17" i="11" a="1"/>
  <c r="I17" i="11"/>
  <c r="F18" i="11"/>
  <c r="D19" i="11" a="1"/>
  <c r="A21" i="11" a="1"/>
  <c r="G21" i="11"/>
  <c r="C23" i="11" a="1"/>
  <c r="H24" i="11"/>
  <c r="E25" i="11"/>
  <c r="B27" i="11" a="1"/>
  <c r="I27" i="11"/>
  <c r="F28" i="11"/>
  <c r="D29" i="11" a="1"/>
  <c r="A31" i="11" a="1"/>
  <c r="G31" i="11"/>
  <c r="C33" i="11" a="1"/>
  <c r="H34" i="11"/>
  <c r="E35" i="11"/>
  <c r="B37" i="11" a="1"/>
  <c r="I37" i="11"/>
  <c r="F38" i="11"/>
  <c r="D39" i="11" a="1"/>
  <c r="A41" i="11" a="1"/>
  <c r="G41" i="11"/>
  <c r="C43" i="11" a="1"/>
  <c r="H44" i="11"/>
  <c r="E45" i="11"/>
  <c r="B47" i="11" a="1"/>
  <c r="I47" i="11"/>
  <c r="F48" i="11"/>
  <c r="D49" i="11" a="1"/>
  <c r="A51" i="11" a="1"/>
  <c r="G51" i="11"/>
  <c r="C53" i="11" a="1"/>
  <c r="H54" i="11"/>
  <c r="E55" i="11"/>
  <c r="B57" i="11" a="1"/>
  <c r="I57" i="11"/>
  <c r="F58" i="11"/>
  <c r="D59" i="11" a="1"/>
  <c r="A61" i="11" a="1"/>
  <c r="G61" i="11"/>
  <c r="C63" i="11" a="1"/>
  <c r="H64" i="11"/>
  <c r="E65" i="11"/>
  <c r="B67" i="11" a="1"/>
  <c r="I67" i="11"/>
  <c r="F68" i="11"/>
  <c r="D69" i="11" a="1"/>
  <c r="A71" i="11" a="1"/>
  <c r="G71" i="11"/>
  <c r="D56" i="11" a="1"/>
  <c r="A68" i="11" a="1"/>
  <c r="E69" i="11"/>
  <c r="F29" i="11"/>
  <c r="F39" i="11"/>
  <c r="C44" i="11" a="1"/>
  <c r="B48" i="11" a="1"/>
  <c r="D50" i="11" a="1"/>
  <c r="E56" i="11"/>
  <c r="F59" i="11"/>
  <c r="B68" i="11" a="1"/>
  <c r="B4" i="11" a="1"/>
  <c r="I4" i="11"/>
  <c r="F5" i="11"/>
  <c r="D6" i="11" a="1"/>
  <c r="A8" i="11" a="1"/>
  <c r="G8" i="11"/>
  <c r="C10" i="11" a="1"/>
  <c r="H11" i="11"/>
  <c r="E12" i="11"/>
  <c r="B14" i="11" a="1"/>
  <c r="I14" i="11"/>
  <c r="F15" i="11"/>
  <c r="D16" i="11" a="1"/>
  <c r="A18" i="11" a="1"/>
  <c r="G18" i="11"/>
  <c r="C20" i="11" a="1"/>
  <c r="H21" i="11"/>
  <c r="E22" i="11"/>
  <c r="B24" i="11" a="1"/>
  <c r="I24" i="11"/>
  <c r="F25" i="11"/>
  <c r="D26" i="11" a="1"/>
  <c r="A28" i="11" a="1"/>
  <c r="G28" i="11"/>
  <c r="C30" i="11" a="1"/>
  <c r="H31" i="11"/>
  <c r="E32" i="11"/>
  <c r="B34" i="11" a="1"/>
  <c r="I34" i="11"/>
  <c r="F35" i="11"/>
  <c r="D36" i="11" a="1"/>
  <c r="A38" i="11" a="1"/>
  <c r="G38" i="11"/>
  <c r="C40" i="11" a="1"/>
  <c r="H41" i="11"/>
  <c r="E42" i="11"/>
  <c r="B44" i="11" a="1"/>
  <c r="I44" i="11"/>
  <c r="F45" i="11"/>
  <c r="D46" i="11" a="1"/>
  <c r="A48" i="11" a="1"/>
  <c r="G48" i="11"/>
  <c r="C50" i="11" a="1"/>
  <c r="H51" i="11"/>
  <c r="E52" i="11"/>
  <c r="B54" i="11" a="1"/>
  <c r="I54" i="11"/>
  <c r="F55" i="11"/>
  <c r="A58" i="11" a="1"/>
  <c r="G58" i="11"/>
  <c r="C60" i="11" a="1"/>
  <c r="E62" i="11"/>
  <c r="D66" i="11" a="1"/>
  <c r="C70" i="11" a="1"/>
  <c r="C67" i="11" a="1"/>
  <c r="B71" i="11" a="1"/>
  <c r="G32" i="11"/>
  <c r="H35" i="11"/>
  <c r="B38" i="11" a="1"/>
  <c r="A42" i="11" a="1"/>
  <c r="I48" i="11"/>
  <c r="A52" i="11" a="1"/>
  <c r="H55" i="11"/>
  <c r="D60" i="11" a="1"/>
  <c r="H65" i="11"/>
  <c r="F6" i="11"/>
  <c r="D3" i="11" a="1"/>
  <c r="A5" i="11" a="1"/>
  <c r="G5" i="11"/>
  <c r="C7" i="11" a="1"/>
  <c r="H8" i="11"/>
  <c r="E9" i="11"/>
  <c r="B11" i="11" a="1"/>
  <c r="I11" i="11"/>
  <c r="F12" i="11"/>
  <c r="D13" i="11" a="1"/>
  <c r="A15" i="11" a="1"/>
  <c r="G15" i="11"/>
  <c r="C17" i="11" a="1"/>
  <c r="H18" i="11"/>
  <c r="E19" i="11"/>
  <c r="B21" i="11" a="1"/>
  <c r="I21" i="11"/>
  <c r="F22" i="11"/>
  <c r="D23" i="11" a="1"/>
  <c r="A25" i="11" a="1"/>
  <c r="G25" i="11"/>
  <c r="C27" i="11" a="1"/>
  <c r="H28" i="11"/>
  <c r="E29" i="11"/>
  <c r="B31" i="11" a="1"/>
  <c r="I31" i="11"/>
  <c r="F32" i="11"/>
  <c r="D33" i="11" a="1"/>
  <c r="A35" i="11" a="1"/>
  <c r="G35" i="11"/>
  <c r="C37" i="11" a="1"/>
  <c r="H38" i="11"/>
  <c r="E39" i="11"/>
  <c r="B41" i="11" a="1"/>
  <c r="I41" i="11"/>
  <c r="F42" i="11"/>
  <c r="D43" i="11" a="1"/>
  <c r="A45" i="11" a="1"/>
  <c r="G45" i="11"/>
  <c r="C47" i="11" a="1"/>
  <c r="H48" i="11"/>
  <c r="E49" i="11"/>
  <c r="B51" i="11" a="1"/>
  <c r="I51" i="11"/>
  <c r="F52" i="11"/>
  <c r="D53" i="11" a="1"/>
  <c r="A55" i="11" a="1"/>
  <c r="G55" i="11"/>
  <c r="C57" i="11" a="1"/>
  <c r="H58" i="11"/>
  <c r="E59" i="11"/>
  <c r="B61" i="11" a="1"/>
  <c r="I61" i="11"/>
  <c r="F62" i="11"/>
  <c r="D63" i="11" a="1"/>
  <c r="A65" i="11" a="1"/>
  <c r="G65" i="11"/>
  <c r="H68" i="11"/>
  <c r="D30" i="11" a="1"/>
  <c r="I38" i="11"/>
  <c r="G42" i="11"/>
  <c r="F49" i="11"/>
  <c r="G52" i="11"/>
  <c r="I58" i="11"/>
  <c r="G62" i="11"/>
  <c r="F69" i="11"/>
  <c r="I5" i="11"/>
  <c r="H12" i="11"/>
  <c r="C4" i="11" a="1"/>
  <c r="H5" i="11"/>
  <c r="E6" i="11"/>
  <c r="B8" i="11" a="1"/>
  <c r="I8" i="11"/>
  <c r="F9" i="11"/>
  <c r="D10" i="11" a="1"/>
  <c r="A12" i="11" a="1"/>
  <c r="G12" i="11"/>
  <c r="C14" i="11" a="1"/>
  <c r="H15" i="11"/>
  <c r="E16" i="11"/>
  <c r="B18" i="11" a="1"/>
  <c r="I18" i="11"/>
  <c r="F19" i="11"/>
  <c r="D20" i="11" a="1"/>
  <c r="A22" i="11" a="1"/>
  <c r="G22" i="11"/>
  <c r="C24" i="11" a="1"/>
  <c r="H25" i="11"/>
  <c r="E26" i="11"/>
  <c r="B28" i="11" a="1"/>
  <c r="A32" i="11" a="1"/>
  <c r="H45" i="11"/>
  <c r="E3" i="11"/>
  <c r="F3" i="11"/>
  <c r="D4" i="11" a="1"/>
  <c r="A6" i="11" a="1"/>
  <c r="G6" i="11"/>
  <c r="C8" i="11" a="1"/>
  <c r="H9" i="11"/>
  <c r="E10" i="11"/>
  <c r="B12" i="11" a="1"/>
  <c r="I12" i="11"/>
  <c r="F13" i="11"/>
  <c r="D14" i="11" a="1"/>
  <c r="A16" i="11" a="1"/>
  <c r="G16" i="11"/>
  <c r="C18" i="11" a="1"/>
  <c r="H19" i="11"/>
  <c r="E20" i="11"/>
  <c r="B22" i="11" a="1"/>
  <c r="I22" i="11"/>
  <c r="F23" i="11"/>
  <c r="D24" i="11" a="1"/>
  <c r="A26" i="11" a="1"/>
  <c r="G26" i="11"/>
  <c r="C28" i="11" a="1"/>
  <c r="H29" i="11"/>
  <c r="E30" i="11"/>
  <c r="B32" i="11" a="1"/>
  <c r="I32" i="11"/>
  <c r="F33" i="11"/>
  <c r="D34" i="11" a="1"/>
  <c r="A36" i="11" a="1"/>
  <c r="G36" i="11"/>
  <c r="C38" i="11" a="1"/>
  <c r="H39" i="11"/>
  <c r="E40" i="11"/>
  <c r="B42" i="11" a="1"/>
  <c r="I42" i="11"/>
  <c r="F43" i="11"/>
  <c r="D44" i="11" a="1"/>
  <c r="A46" i="11" a="1"/>
  <c r="G46" i="11"/>
  <c r="C48" i="11" a="1"/>
  <c r="H49" i="11"/>
  <c r="E50" i="11"/>
  <c r="B52" i="11" a="1"/>
  <c r="I52" i="11"/>
  <c r="F53" i="11"/>
  <c r="D54" i="11" a="1"/>
  <c r="A56" i="11" a="1"/>
  <c r="G56" i="11"/>
  <c r="C58" i="11" a="1"/>
  <c r="H59" i="11"/>
  <c r="E60" i="11"/>
  <c r="B62" i="11" a="1"/>
  <c r="I62" i="11"/>
  <c r="F63" i="11"/>
  <c r="D64" i="11" a="1"/>
  <c r="A66" i="11" a="1"/>
  <c r="G66" i="11"/>
  <c r="C68" i="11" a="1"/>
  <c r="H69" i="11"/>
  <c r="E70" i="11"/>
  <c r="F65" i="11"/>
  <c r="C34" i="11" a="1"/>
  <c r="D70" i="11" a="1"/>
  <c r="A9" i="11" a="1"/>
  <c r="G9" i="11"/>
  <c r="C21" i="11" a="1"/>
  <c r="A29" i="11" a="1"/>
  <c r="F36" i="11"/>
  <c r="G59" i="11"/>
  <c r="D67" i="11" a="1"/>
  <c r="E13" i="11"/>
  <c r="G29" i="11"/>
  <c r="D37" i="11" a="1"/>
  <c r="B45" i="11" a="1"/>
  <c r="H52" i="11"/>
  <c r="B15" i="11" a="1"/>
  <c r="H22" i="11"/>
  <c r="I45" i="11"/>
  <c r="E53" i="11"/>
  <c r="C61" i="11" a="1"/>
  <c r="A69" i="11" a="1"/>
  <c r="B25" i="11" a="1"/>
  <c r="E63" i="11"/>
  <c r="E33" i="11"/>
  <c r="F56" i="11"/>
  <c r="I35" i="11"/>
  <c r="C71" i="11" a="1"/>
  <c r="I65" i="11"/>
  <c r="E43" i="11"/>
  <c r="I15" i="11"/>
  <c r="E23" i="11"/>
  <c r="C31" i="11" a="1"/>
  <c r="A39" i="11" a="1"/>
  <c r="F46" i="11"/>
  <c r="G69" i="11"/>
  <c r="I55" i="11"/>
  <c r="C41" i="11" a="1"/>
  <c r="A59" i="11" a="1"/>
  <c r="F16" i="11"/>
  <c r="G39" i="11"/>
  <c r="D47" i="11" a="1"/>
  <c r="B55" i="11" a="1"/>
  <c r="H62" i="11"/>
  <c r="H32" i="11"/>
  <c r="A49" i="11" a="1"/>
  <c r="C51" i="11" a="1"/>
  <c r="D17" i="11" a="1"/>
  <c r="F66" i="11"/>
  <c r="I25" i="11"/>
  <c r="A19" i="11" a="1"/>
  <c r="F26" i="11"/>
  <c r="G49" i="11"/>
  <c r="D57" i="11" a="1"/>
  <c r="B65" i="11" a="1"/>
  <c r="G19" i="11"/>
  <c r="D27" i="11" a="1"/>
  <c r="B35" i="11" a="1"/>
  <c r="H42" i="11"/>
  <c r="I2" i="11"/>
  <c r="H2" i="11"/>
  <c r="G2" i="11"/>
  <c r="F2" i="11"/>
  <c r="E2" i="11"/>
  <c r="D2" i="11" a="1"/>
  <c r="C2" i="11" a="1"/>
  <c r="B2" i="11" a="1"/>
  <c r="A2" i="11" a="1"/>
  <c r="C2" i="5"/>
  <c r="C3" i="5"/>
  <c r="C2" i="8" a="1"/>
  <c r="D2" i="8"/>
  <c r="D2" i="5"/>
  <c r="L751" i="13" l="1"/>
  <c r="L741" i="13"/>
  <c r="M732" i="13"/>
  <c r="O723" i="13"/>
  <c r="M717" i="13"/>
  <c r="K710" i="13"/>
  <c r="L700" i="13"/>
  <c r="L686" i="13"/>
  <c r="M672" i="13"/>
  <c r="K654" i="13"/>
  <c r="O639" i="13"/>
  <c r="L618" i="13"/>
  <c r="N743" i="13"/>
  <c r="N738" i="13"/>
  <c r="N733" i="13"/>
  <c r="N728" i="13"/>
  <c r="N723" i="13"/>
  <c r="N718" i="13"/>
  <c r="N713" i="13"/>
  <c r="M708" i="13"/>
  <c r="O705" i="13"/>
  <c r="K703" i="13"/>
  <c r="M701" i="13"/>
  <c r="O698" i="13"/>
  <c r="K696" i="13"/>
  <c r="N694" i="13"/>
  <c r="L693" i="13"/>
  <c r="M690" i="13"/>
  <c r="K689" i="13"/>
  <c r="N687" i="13"/>
  <c r="N684" i="13"/>
  <c r="N682" i="13"/>
  <c r="N678" i="13"/>
  <c r="N674" i="13"/>
  <c r="N665" i="13"/>
  <c r="K663" i="13"/>
  <c r="K661" i="13"/>
  <c r="M658" i="13"/>
  <c r="L651" i="13"/>
  <c r="O648" i="13"/>
  <c r="O646" i="13"/>
  <c r="N641" i="13"/>
  <c r="N639" i="13"/>
  <c r="K634" i="13"/>
  <c r="L628" i="13"/>
  <c r="L625" i="13"/>
  <c r="N621" i="13"/>
  <c r="M614" i="13"/>
  <c r="N609" i="13"/>
  <c r="K599" i="13"/>
  <c r="O590" i="13"/>
  <c r="L582" i="13"/>
  <c r="O524" i="13"/>
  <c r="K730" i="13"/>
  <c r="O734" i="13"/>
  <c r="K631" i="13"/>
  <c r="O557" i="13"/>
  <c r="N469" i="13"/>
  <c r="M742" i="13"/>
  <c r="L731" i="13"/>
  <c r="K715" i="13"/>
  <c r="O701" i="13"/>
  <c r="K681" i="13"/>
  <c r="N658" i="13"/>
  <c r="L634" i="13"/>
  <c r="K751" i="13"/>
  <c r="O744" i="13"/>
  <c r="L737" i="13"/>
  <c r="O724" i="13"/>
  <c r="K716" i="13"/>
  <c r="K707" i="13"/>
  <c r="N698" i="13"/>
  <c r="M687" i="13"/>
  <c r="L676" i="13"/>
  <c r="K668" i="13"/>
  <c r="K644" i="13"/>
  <c r="K618" i="13"/>
  <c r="M609" i="13"/>
  <c r="L505" i="13"/>
  <c r="N749" i="13"/>
  <c r="N744" i="13"/>
  <c r="N739" i="13"/>
  <c r="N734" i="13"/>
  <c r="N729" i="13"/>
  <c r="N724" i="13"/>
  <c r="N719" i="13"/>
  <c r="N714" i="13"/>
  <c r="N709" i="13"/>
  <c r="L708" i="13"/>
  <c r="M705" i="13"/>
  <c r="K704" i="13"/>
  <c r="N702" i="13"/>
  <c r="L701" i="13"/>
  <c r="M698" i="13"/>
  <c r="O695" i="13"/>
  <c r="K693" i="13"/>
  <c r="M691" i="13"/>
  <c r="O688" i="13"/>
  <c r="K684" i="13"/>
  <c r="L667" i="13"/>
  <c r="L665" i="13"/>
  <c r="O662" i="13"/>
  <c r="N655" i="13"/>
  <c r="K653" i="13"/>
  <c r="K651" i="13"/>
  <c r="M648" i="13"/>
  <c r="L641" i="13"/>
  <c r="O638" i="13"/>
  <c r="N636" i="13"/>
  <c r="O633" i="13"/>
  <c r="K628" i="13"/>
  <c r="M624" i="13"/>
  <c r="K621" i="13"/>
  <c r="L617" i="13"/>
  <c r="O613" i="13"/>
  <c r="O608" i="13"/>
  <c r="L597" i="13"/>
  <c r="K589" i="13"/>
  <c r="O580" i="13"/>
  <c r="O554" i="13"/>
  <c r="N499" i="13"/>
  <c r="N461" i="13"/>
  <c r="M747" i="13"/>
  <c r="O733" i="13"/>
  <c r="L716" i="13"/>
  <c r="L689" i="13"/>
  <c r="O665" i="13"/>
  <c r="L642" i="13"/>
  <c r="M575" i="13"/>
  <c r="O749" i="13"/>
  <c r="K741" i="13"/>
  <c r="L732" i="13"/>
  <c r="K721" i="13"/>
  <c r="L712" i="13"/>
  <c r="O702" i="13"/>
  <c r="M694" i="13"/>
  <c r="M684" i="13"/>
  <c r="M665" i="13"/>
  <c r="M604" i="13"/>
  <c r="M749" i="13"/>
  <c r="O740" i="13"/>
  <c r="O735" i="13"/>
  <c r="L733" i="13"/>
  <c r="O730" i="13"/>
  <c r="L728" i="13"/>
  <c r="O725" i="13"/>
  <c r="M724" i="13"/>
  <c r="K722" i="13"/>
  <c r="O720" i="13"/>
  <c r="M719" i="13"/>
  <c r="L718" i="13"/>
  <c r="K717" i="13"/>
  <c r="O715" i="13"/>
  <c r="M714" i="13"/>
  <c r="L713" i="13"/>
  <c r="K712" i="13"/>
  <c r="O710" i="13"/>
  <c r="M709" i="13"/>
  <c r="O706" i="13"/>
  <c r="L705" i="13"/>
  <c r="M702" i="13"/>
  <c r="O699" i="13"/>
  <c r="K697" i="13"/>
  <c r="N695" i="13"/>
  <c r="L694" i="13"/>
  <c r="O692" i="13"/>
  <c r="K690" i="13"/>
  <c r="N688" i="13"/>
  <c r="L687" i="13"/>
  <c r="O685" i="13"/>
  <c r="L682" i="13"/>
  <c r="K680" i="13"/>
  <c r="L678" i="13"/>
  <c r="K676" i="13"/>
  <c r="O673" i="13"/>
  <c r="K672" i="13"/>
  <c r="O669" i="13"/>
  <c r="N662" i="13"/>
  <c r="K660" i="13"/>
  <c r="K658" i="13"/>
  <c r="M655" i="13"/>
  <c r="L648" i="13"/>
  <c r="O645" i="13"/>
  <c r="O643" i="13"/>
  <c r="N638" i="13"/>
  <c r="K633" i="13"/>
  <c r="L627" i="13"/>
  <c r="K624" i="13"/>
  <c r="K613" i="13"/>
  <c r="O603" i="13"/>
  <c r="M580" i="13"/>
  <c r="O537" i="13"/>
  <c r="N520" i="13"/>
  <c r="M498" i="13"/>
  <c r="O748" i="13"/>
  <c r="O738" i="13"/>
  <c r="K725" i="13"/>
  <c r="L707" i="13"/>
  <c r="N690" i="13"/>
  <c r="O678" i="13"/>
  <c r="N656" i="13"/>
  <c r="M631" i="13"/>
  <c r="L747" i="13"/>
  <c r="M738" i="13"/>
  <c r="L727" i="13"/>
  <c r="M718" i="13"/>
  <c r="O709" i="13"/>
  <c r="L697" i="13"/>
  <c r="M682" i="13"/>
  <c r="K670" i="13"/>
  <c r="O655" i="13"/>
  <c r="O636" i="13"/>
  <c r="L743" i="13"/>
  <c r="K737" i="13"/>
  <c r="M734" i="13"/>
  <c r="K732" i="13"/>
  <c r="M729" i="13"/>
  <c r="K727" i="13"/>
  <c r="L723" i="13"/>
  <c r="N750" i="13"/>
  <c r="N745" i="13"/>
  <c r="N740" i="13"/>
  <c r="N735" i="13"/>
  <c r="N730" i="13"/>
  <c r="N725" i="13"/>
  <c r="N720" i="13"/>
  <c r="N715" i="13"/>
  <c r="N710" i="13"/>
  <c r="K708" i="13"/>
  <c r="M706" i="13"/>
  <c r="O703" i="13"/>
  <c r="K701" i="13"/>
  <c r="N699" i="13"/>
  <c r="L698" i="13"/>
  <c r="M695" i="13"/>
  <c r="K694" i="13"/>
  <c r="N692" i="13"/>
  <c r="L691" i="13"/>
  <c r="M688" i="13"/>
  <c r="N685" i="13"/>
  <c r="O683" i="13"/>
  <c r="N677" i="13"/>
  <c r="N673" i="13"/>
  <c r="N669" i="13"/>
  <c r="K667" i="13"/>
  <c r="M664" i="13"/>
  <c r="M662" i="13"/>
  <c r="L657" i="13"/>
  <c r="L655" i="13"/>
  <c r="O652" i="13"/>
  <c r="N645" i="13"/>
  <c r="K643" i="13"/>
  <c r="K641" i="13"/>
  <c r="M638" i="13"/>
  <c r="O635" i="13"/>
  <c r="K630" i="13"/>
  <c r="O616" i="13"/>
  <c r="M612" i="13"/>
  <c r="K608" i="13"/>
  <c r="K603" i="13"/>
  <c r="O595" i="13"/>
  <c r="L587" i="13"/>
  <c r="K579" i="13"/>
  <c r="O534" i="13"/>
  <c r="L746" i="13"/>
  <c r="K735" i="13"/>
  <c r="L711" i="13"/>
  <c r="K677" i="13"/>
  <c r="M651" i="13"/>
  <c r="L622" i="13"/>
  <c r="M748" i="13"/>
  <c r="O739" i="13"/>
  <c r="K731" i="13"/>
  <c r="O719" i="13"/>
  <c r="K711" i="13"/>
  <c r="K686" i="13"/>
  <c r="L672" i="13"/>
  <c r="N646" i="13"/>
  <c r="O573" i="13"/>
  <c r="M744" i="13"/>
  <c r="L749" i="13"/>
  <c r="L739" i="13"/>
  <c r="L729" i="13"/>
  <c r="O721" i="13"/>
  <c r="O716" i="13"/>
  <c r="M715" i="13"/>
  <c r="M710" i="13"/>
  <c r="L709" i="13"/>
  <c r="O707" i="13"/>
  <c r="K705" i="13"/>
  <c r="N703" i="13"/>
  <c r="L702" i="13"/>
  <c r="M699" i="13"/>
  <c r="O696" i="13"/>
  <c r="L695" i="13"/>
  <c r="M692" i="13"/>
  <c r="O689" i="13"/>
  <c r="K687" i="13"/>
  <c r="L685" i="13"/>
  <c r="N683" i="13"/>
  <c r="K682" i="13"/>
  <c r="O679" i="13"/>
  <c r="M677" i="13"/>
  <c r="O675" i="13"/>
  <c r="M673" i="13"/>
  <c r="L671" i="13"/>
  <c r="M669" i="13"/>
  <c r="L664" i="13"/>
  <c r="L662" i="13"/>
  <c r="O659" i="13"/>
  <c r="N652" i="13"/>
  <c r="K650" i="13"/>
  <c r="K648" i="13"/>
  <c r="M645" i="13"/>
  <c r="L638" i="13"/>
  <c r="M635" i="13"/>
  <c r="N632" i="13"/>
  <c r="O629" i="13"/>
  <c r="O623" i="13"/>
  <c r="O619" i="13"/>
  <c r="N616" i="13"/>
  <c r="L612" i="13"/>
  <c r="L607" i="13"/>
  <c r="L602" i="13"/>
  <c r="M595" i="13"/>
  <c r="O567" i="13"/>
  <c r="L517" i="13"/>
  <c r="K442" i="13"/>
  <c r="K750" i="13"/>
  <c r="M737" i="13"/>
  <c r="M727" i="13"/>
  <c r="L721" i="13"/>
  <c r="M712" i="13"/>
  <c r="K692" i="13"/>
  <c r="O682" i="13"/>
  <c r="L668" i="13"/>
  <c r="N628" i="13"/>
  <c r="O527" i="13"/>
  <c r="L742" i="13"/>
  <c r="O729" i="13"/>
  <c r="M723" i="13"/>
  <c r="O714" i="13"/>
  <c r="N705" i="13"/>
  <c r="O691" i="13"/>
  <c r="M678" i="13"/>
  <c r="L658" i="13"/>
  <c r="N648" i="13"/>
  <c r="M641" i="13"/>
  <c r="O745" i="13"/>
  <c r="L738" i="13"/>
  <c r="M750" i="13"/>
  <c r="M745" i="13"/>
  <c r="O741" i="13"/>
  <c r="M735" i="13"/>
  <c r="K733" i="13"/>
  <c r="K728" i="13"/>
  <c r="L724" i="13"/>
  <c r="L719" i="13"/>
  <c r="K713" i="13"/>
  <c r="N741" i="13"/>
  <c r="N736" i="13"/>
  <c r="N731" i="13"/>
  <c r="N726" i="13"/>
  <c r="N721" i="13"/>
  <c r="N716" i="13"/>
  <c r="N711" i="13"/>
  <c r="K709" i="13"/>
  <c r="N707" i="13"/>
  <c r="L706" i="13"/>
  <c r="M703" i="13"/>
  <c r="O700" i="13"/>
  <c r="K698" i="13"/>
  <c r="M696" i="13"/>
  <c r="O693" i="13"/>
  <c r="K691" i="13"/>
  <c r="N689" i="13"/>
  <c r="L688" i="13"/>
  <c r="M683" i="13"/>
  <c r="N679" i="13"/>
  <c r="O668" i="13"/>
  <c r="O666" i="13"/>
  <c r="N661" i="13"/>
  <c r="N659" i="13"/>
  <c r="K657" i="13"/>
  <c r="M654" i="13"/>
  <c r="M652" i="13"/>
  <c r="L647" i="13"/>
  <c r="L645" i="13"/>
  <c r="O642" i="13"/>
  <c r="L635" i="13"/>
  <c r="M632" i="13"/>
  <c r="N629" i="13"/>
  <c r="O626" i="13"/>
  <c r="K623" i="13"/>
  <c r="N619" i="13"/>
  <c r="N611" i="13"/>
  <c r="O606" i="13"/>
  <c r="K594" i="13"/>
  <c r="O585" i="13"/>
  <c r="L577" i="13"/>
  <c r="O564" i="13"/>
  <c r="L485" i="13"/>
  <c r="O433" i="13"/>
  <c r="O743" i="13"/>
  <c r="L736" i="13"/>
  <c r="L726" i="13"/>
  <c r="K720" i="13"/>
  <c r="N708" i="13"/>
  <c r="M697" i="13"/>
  <c r="O687" i="13"/>
  <c r="O674" i="13"/>
  <c r="O663" i="13"/>
  <c r="L644" i="13"/>
  <c r="L605" i="13"/>
  <c r="M743" i="13"/>
  <c r="M733" i="13"/>
  <c r="K726" i="13"/>
  <c r="L717" i="13"/>
  <c r="L704" i="13"/>
  <c r="L690" i="13"/>
  <c r="M674" i="13"/>
  <c r="M639" i="13"/>
  <c r="M590" i="13"/>
  <c r="L748" i="13"/>
  <c r="K742" i="13"/>
  <c r="K748" i="13"/>
  <c r="L744" i="13"/>
  <c r="M740" i="13"/>
  <c r="O736" i="13"/>
  <c r="O731" i="13"/>
  <c r="O726" i="13"/>
  <c r="K723" i="13"/>
  <c r="O711" i="13"/>
  <c r="N746" i="13"/>
  <c r="L750" i="13"/>
  <c r="K749" i="13"/>
  <c r="O747" i="13"/>
  <c r="M746" i="13"/>
  <c r="L745" i="13"/>
  <c r="K744" i="13"/>
  <c r="O742" i="13"/>
  <c r="M741" i="13"/>
  <c r="L740" i="13"/>
  <c r="K739" i="13"/>
  <c r="O737" i="13"/>
  <c r="M736" i="13"/>
  <c r="L735" i="13"/>
  <c r="K734" i="13"/>
  <c r="O732" i="13"/>
  <c r="M731" i="13"/>
  <c r="L730" i="13"/>
  <c r="K729" i="13"/>
  <c r="O727" i="13"/>
  <c r="M726" i="13"/>
  <c r="L725" i="13"/>
  <c r="K724" i="13"/>
  <c r="O722" i="13"/>
  <c r="M721" i="13"/>
  <c r="L720" i="13"/>
  <c r="K719" i="13"/>
  <c r="O717" i="13"/>
  <c r="M716" i="13"/>
  <c r="L715" i="13"/>
  <c r="K714" i="13"/>
  <c r="O712" i="13"/>
  <c r="M711" i="13"/>
  <c r="L710" i="13"/>
  <c r="M707" i="13"/>
  <c r="O704" i="13"/>
  <c r="K702" i="13"/>
  <c r="N700" i="13"/>
  <c r="L699" i="13"/>
  <c r="O697" i="13"/>
  <c r="K695" i="13"/>
  <c r="N693" i="13"/>
  <c r="L692" i="13"/>
  <c r="M689" i="13"/>
  <c r="M686" i="13"/>
  <c r="K685" i="13"/>
  <c r="L681" i="13"/>
  <c r="M679" i="13"/>
  <c r="L677" i="13"/>
  <c r="K675" i="13"/>
  <c r="L673" i="13"/>
  <c r="K671" i="13"/>
  <c r="N668" i="13"/>
  <c r="N666" i="13"/>
  <c r="K664" i="13"/>
  <c r="M661" i="13"/>
  <c r="M659" i="13"/>
  <c r="L654" i="13"/>
  <c r="L652" i="13"/>
  <c r="O649" i="13"/>
  <c r="N642" i="13"/>
  <c r="K640" i="13"/>
  <c r="K638" i="13"/>
  <c r="L632" i="13"/>
  <c r="M629" i="13"/>
  <c r="N626" i="13"/>
  <c r="N622" i="13"/>
  <c r="M619" i="13"/>
  <c r="M615" i="13"/>
  <c r="K611" i="13"/>
  <c r="N606" i="13"/>
  <c r="L601" i="13"/>
  <c r="M585" i="13"/>
  <c r="O547" i="13"/>
  <c r="K485" i="13"/>
  <c r="K422" i="13"/>
  <c r="K745" i="13"/>
  <c r="K740" i="13"/>
  <c r="O728" i="13"/>
  <c r="M722" i="13"/>
  <c r="O718" i="13"/>
  <c r="O713" i="13"/>
  <c r="M704" i="13"/>
  <c r="O694" i="13"/>
  <c r="O684" i="13"/>
  <c r="O670" i="13"/>
  <c r="M649" i="13"/>
  <c r="M625" i="13"/>
  <c r="M600" i="13"/>
  <c r="N748" i="13"/>
  <c r="K746" i="13"/>
  <c r="K736" i="13"/>
  <c r="M728" i="13"/>
  <c r="L722" i="13"/>
  <c r="M713" i="13"/>
  <c r="K700" i="13"/>
  <c r="O680" i="13"/>
  <c r="O653" i="13"/>
  <c r="O750" i="13"/>
  <c r="K747" i="13"/>
  <c r="M739" i="13"/>
  <c r="O751" i="13"/>
  <c r="O746" i="13"/>
  <c r="K743" i="13"/>
  <c r="K738" i="13"/>
  <c r="L734" i="13"/>
  <c r="M730" i="13"/>
  <c r="M725" i="13"/>
  <c r="M720" i="13"/>
  <c r="K718" i="13"/>
  <c r="L714" i="13"/>
  <c r="N751" i="13"/>
  <c r="M751" i="13"/>
  <c r="N747" i="13"/>
  <c r="N742" i="13"/>
  <c r="N737" i="13"/>
  <c r="N732" i="13"/>
  <c r="N727" i="13"/>
  <c r="N722" i="13"/>
  <c r="N717" i="13"/>
  <c r="N712" i="13"/>
  <c r="O708" i="13"/>
  <c r="K706" i="13"/>
  <c r="N704" i="13"/>
  <c r="L703" i="13"/>
  <c r="M700" i="13"/>
  <c r="K699" i="13"/>
  <c r="N697" i="13"/>
  <c r="L696" i="13"/>
  <c r="M693" i="13"/>
  <c r="O690" i="13"/>
  <c r="K688" i="13"/>
  <c r="L683" i="13"/>
  <c r="N672" i="13"/>
  <c r="M668" i="13"/>
  <c r="L661" i="13"/>
  <c r="O658" i="13"/>
  <c r="O656" i="13"/>
  <c r="N651" i="13"/>
  <c r="N649" i="13"/>
  <c r="K647" i="13"/>
  <c r="M644" i="13"/>
  <c r="M642" i="13"/>
  <c r="L637" i="13"/>
  <c r="M634" i="13"/>
  <c r="N631" i="13"/>
  <c r="O628" i="13"/>
  <c r="M622" i="13"/>
  <c r="O618" i="13"/>
  <c r="L615" i="13"/>
  <c r="O600" i="13"/>
  <c r="L592" i="13"/>
  <c r="K584" i="13"/>
  <c r="O575" i="13"/>
  <c r="O544" i="13"/>
  <c r="O509" i="13"/>
  <c r="K614" i="13"/>
  <c r="N612" i="13"/>
  <c r="O609" i="13"/>
  <c r="L608" i="13"/>
  <c r="M605" i="13"/>
  <c r="K604" i="13"/>
  <c r="M602" i="13"/>
  <c r="M597" i="13"/>
  <c r="M592" i="13"/>
  <c r="M587" i="13"/>
  <c r="M582" i="13"/>
  <c r="M577" i="13"/>
  <c r="K574" i="13"/>
  <c r="O571" i="13"/>
  <c r="O561" i="13"/>
  <c r="O551" i="13"/>
  <c r="O541" i="13"/>
  <c r="O531" i="13"/>
  <c r="N521" i="13"/>
  <c r="K514" i="13"/>
  <c r="K506" i="13"/>
  <c r="O499" i="13"/>
  <c r="M485" i="13"/>
  <c r="N471" i="13"/>
  <c r="K462" i="13"/>
  <c r="L434" i="13"/>
  <c r="L408" i="13"/>
  <c r="K453" i="13"/>
  <c r="O442" i="13"/>
  <c r="M422" i="13"/>
  <c r="M405" i="13"/>
  <c r="N680" i="13"/>
  <c r="N675" i="13"/>
  <c r="N670" i="13"/>
  <c r="L669" i="13"/>
  <c r="M666" i="13"/>
  <c r="K665" i="13"/>
  <c r="N663" i="13"/>
  <c r="O660" i="13"/>
  <c r="L659" i="13"/>
  <c r="M656" i="13"/>
  <c r="K655" i="13"/>
  <c r="N653" i="13"/>
  <c r="O650" i="13"/>
  <c r="L649" i="13"/>
  <c r="M646" i="13"/>
  <c r="K645" i="13"/>
  <c r="N643" i="13"/>
  <c r="O640" i="13"/>
  <c r="L639" i="13"/>
  <c r="M636" i="13"/>
  <c r="K635" i="13"/>
  <c r="N633" i="13"/>
  <c r="O630" i="13"/>
  <c r="L629" i="13"/>
  <c r="M626" i="13"/>
  <c r="K625" i="13"/>
  <c r="N623" i="13"/>
  <c r="O620" i="13"/>
  <c r="L619" i="13"/>
  <c r="M616" i="13"/>
  <c r="K615" i="13"/>
  <c r="N613" i="13"/>
  <c r="O610" i="13"/>
  <c r="L609" i="13"/>
  <c r="M606" i="13"/>
  <c r="K605" i="13"/>
  <c r="N603" i="13"/>
  <c r="K602" i="13"/>
  <c r="L600" i="13"/>
  <c r="O598" i="13"/>
  <c r="K597" i="13"/>
  <c r="L595" i="13"/>
  <c r="O593" i="13"/>
  <c r="K592" i="13"/>
  <c r="L590" i="13"/>
  <c r="O588" i="13"/>
  <c r="K587" i="13"/>
  <c r="L585" i="13"/>
  <c r="O583" i="13"/>
  <c r="K582" i="13"/>
  <c r="L580" i="13"/>
  <c r="O578" i="13"/>
  <c r="K577" i="13"/>
  <c r="L575" i="13"/>
  <c r="M573" i="13"/>
  <c r="O570" i="13"/>
  <c r="O560" i="13"/>
  <c r="O550" i="13"/>
  <c r="O540" i="13"/>
  <c r="O530" i="13"/>
  <c r="M516" i="13"/>
  <c r="M509" i="13"/>
  <c r="K504" i="13"/>
  <c r="L498" i="13"/>
  <c r="N491" i="13"/>
  <c r="L483" i="13"/>
  <c r="M469" i="13"/>
  <c r="M459" i="13"/>
  <c r="N431" i="13"/>
  <c r="M400" i="13"/>
  <c r="O686" i="13"/>
  <c r="M685" i="13"/>
  <c r="L684" i="13"/>
  <c r="K683" i="13"/>
  <c r="O681" i="13"/>
  <c r="M680" i="13"/>
  <c r="L679" i="13"/>
  <c r="K678" i="13"/>
  <c r="O676" i="13"/>
  <c r="M675" i="13"/>
  <c r="L674" i="13"/>
  <c r="K673" i="13"/>
  <c r="O671" i="13"/>
  <c r="M670" i="13"/>
  <c r="O667" i="13"/>
  <c r="L666" i="13"/>
  <c r="M663" i="13"/>
  <c r="K662" i="13"/>
  <c r="N660" i="13"/>
  <c r="O657" i="13"/>
  <c r="L656" i="13"/>
  <c r="M653" i="13"/>
  <c r="K652" i="13"/>
  <c r="N650" i="13"/>
  <c r="O647" i="13"/>
  <c r="L646" i="13"/>
  <c r="M643" i="13"/>
  <c r="K642" i="13"/>
  <c r="N640" i="13"/>
  <c r="O637" i="13"/>
  <c r="L636" i="13"/>
  <c r="M633" i="13"/>
  <c r="K632" i="13"/>
  <c r="N630" i="13"/>
  <c r="O627" i="13"/>
  <c r="L626" i="13"/>
  <c r="M623" i="13"/>
  <c r="K622" i="13"/>
  <c r="N620" i="13"/>
  <c r="O617" i="13"/>
  <c r="L616" i="13"/>
  <c r="M613" i="13"/>
  <c r="K612" i="13"/>
  <c r="N610" i="13"/>
  <c r="O607" i="13"/>
  <c r="L606" i="13"/>
  <c r="M603" i="13"/>
  <c r="M598" i="13"/>
  <c r="M593" i="13"/>
  <c r="M588" i="13"/>
  <c r="M583" i="13"/>
  <c r="M578" i="13"/>
  <c r="O563" i="13"/>
  <c r="O553" i="13"/>
  <c r="O543" i="13"/>
  <c r="O533" i="13"/>
  <c r="O523" i="13"/>
  <c r="O519" i="13"/>
  <c r="L516" i="13"/>
  <c r="O512" i="13"/>
  <c r="N508" i="13"/>
  <c r="O503" i="13"/>
  <c r="N497" i="13"/>
  <c r="K483" i="13"/>
  <c r="N458" i="13"/>
  <c r="M450" i="13"/>
  <c r="O439" i="13"/>
  <c r="M392" i="13"/>
  <c r="N706" i="13"/>
  <c r="N701" i="13"/>
  <c r="N696" i="13"/>
  <c r="N691" i="13"/>
  <c r="N686" i="13"/>
  <c r="N681" i="13"/>
  <c r="N676" i="13"/>
  <c r="N671" i="13"/>
  <c r="K669" i="13"/>
  <c r="N667" i="13"/>
  <c r="O664" i="13"/>
  <c r="L663" i="13"/>
  <c r="M660" i="13"/>
  <c r="K659" i="13"/>
  <c r="N657" i="13"/>
  <c r="O654" i="13"/>
  <c r="L653" i="13"/>
  <c r="M650" i="13"/>
  <c r="K649" i="13"/>
  <c r="N647" i="13"/>
  <c r="O644" i="13"/>
  <c r="L643" i="13"/>
  <c r="M640" i="13"/>
  <c r="K639" i="13"/>
  <c r="N637" i="13"/>
  <c r="O634" i="13"/>
  <c r="L633" i="13"/>
  <c r="M630" i="13"/>
  <c r="K629" i="13"/>
  <c r="N627" i="13"/>
  <c r="O624" i="13"/>
  <c r="L623" i="13"/>
  <c r="M620" i="13"/>
  <c r="K619" i="13"/>
  <c r="N617" i="13"/>
  <c r="O614" i="13"/>
  <c r="L613" i="13"/>
  <c r="M610" i="13"/>
  <c r="K609" i="13"/>
  <c r="N607" i="13"/>
  <c r="O604" i="13"/>
  <c r="L603" i="13"/>
  <c r="O601" i="13"/>
  <c r="K600" i="13"/>
  <c r="L598" i="13"/>
  <c r="O596" i="13"/>
  <c r="K595" i="13"/>
  <c r="L593" i="13"/>
  <c r="O591" i="13"/>
  <c r="K590" i="13"/>
  <c r="L588" i="13"/>
  <c r="O586" i="13"/>
  <c r="K585" i="13"/>
  <c r="L583" i="13"/>
  <c r="O581" i="13"/>
  <c r="K580" i="13"/>
  <c r="L578" i="13"/>
  <c r="O576" i="13"/>
  <c r="K575" i="13"/>
  <c r="O566" i="13"/>
  <c r="O556" i="13"/>
  <c r="O546" i="13"/>
  <c r="O536" i="13"/>
  <c r="O526" i="13"/>
  <c r="K512" i="13"/>
  <c r="M508" i="13"/>
  <c r="L503" i="13"/>
  <c r="M496" i="13"/>
  <c r="N489" i="13"/>
  <c r="O482" i="13"/>
  <c r="L467" i="13"/>
  <c r="M439" i="13"/>
  <c r="O430" i="13"/>
  <c r="K416" i="13"/>
  <c r="O384" i="13"/>
  <c r="M681" i="13"/>
  <c r="L680" i="13"/>
  <c r="K679" i="13"/>
  <c r="O677" i="13"/>
  <c r="M676" i="13"/>
  <c r="L675" i="13"/>
  <c r="K674" i="13"/>
  <c r="O672" i="13"/>
  <c r="M671" i="13"/>
  <c r="L670" i="13"/>
  <c r="M667" i="13"/>
  <c r="K666" i="13"/>
  <c r="N664" i="13"/>
  <c r="O661" i="13"/>
  <c r="L660" i="13"/>
  <c r="M657" i="13"/>
  <c r="K656" i="13"/>
  <c r="N654" i="13"/>
  <c r="O651" i="13"/>
  <c r="L650" i="13"/>
  <c r="M647" i="13"/>
  <c r="K646" i="13"/>
  <c r="N644" i="13"/>
  <c r="O641" i="13"/>
  <c r="L640" i="13"/>
  <c r="M637" i="13"/>
  <c r="K636" i="13"/>
  <c r="N634" i="13"/>
  <c r="O631" i="13"/>
  <c r="L630" i="13"/>
  <c r="M627" i="13"/>
  <c r="K626" i="13"/>
  <c r="N624" i="13"/>
  <c r="O621" i="13"/>
  <c r="L620" i="13"/>
  <c r="M617" i="13"/>
  <c r="K616" i="13"/>
  <c r="N614" i="13"/>
  <c r="O611" i="13"/>
  <c r="L610" i="13"/>
  <c r="M607" i="13"/>
  <c r="K606" i="13"/>
  <c r="N604" i="13"/>
  <c r="M601" i="13"/>
  <c r="M596" i="13"/>
  <c r="M591" i="13"/>
  <c r="M586" i="13"/>
  <c r="M581" i="13"/>
  <c r="M576" i="13"/>
  <c r="O572" i="13"/>
  <c r="O569" i="13"/>
  <c r="O559" i="13"/>
  <c r="O549" i="13"/>
  <c r="O539" i="13"/>
  <c r="O529" i="13"/>
  <c r="M519" i="13"/>
  <c r="O511" i="13"/>
  <c r="K502" i="13"/>
  <c r="L496" i="13"/>
  <c r="M489" i="13"/>
  <c r="K481" i="13"/>
  <c r="M456" i="13"/>
  <c r="N428" i="13"/>
  <c r="O599" i="13"/>
  <c r="K598" i="13"/>
  <c r="L596" i="13"/>
  <c r="O594" i="13"/>
  <c r="K593" i="13"/>
  <c r="L591" i="13"/>
  <c r="O589" i="13"/>
  <c r="K588" i="13"/>
  <c r="L586" i="13"/>
  <c r="O584" i="13"/>
  <c r="K583" i="13"/>
  <c r="L581" i="13"/>
  <c r="O579" i="13"/>
  <c r="K578" i="13"/>
  <c r="L576" i="13"/>
  <c r="O574" i="13"/>
  <c r="M572" i="13"/>
  <c r="O562" i="13"/>
  <c r="O552" i="13"/>
  <c r="O542" i="13"/>
  <c r="O532" i="13"/>
  <c r="O522" i="13"/>
  <c r="N518" i="13"/>
  <c r="N511" i="13"/>
  <c r="O501" i="13"/>
  <c r="N487" i="13"/>
  <c r="O480" i="13"/>
  <c r="K465" i="13"/>
  <c r="M447" i="13"/>
  <c r="L437" i="13"/>
  <c r="N361" i="13"/>
  <c r="O625" i="13"/>
  <c r="L624" i="13"/>
  <c r="M621" i="13"/>
  <c r="K620" i="13"/>
  <c r="N618" i="13"/>
  <c r="O615" i="13"/>
  <c r="L614" i="13"/>
  <c r="M611" i="13"/>
  <c r="K610" i="13"/>
  <c r="N608" i="13"/>
  <c r="O605" i="13"/>
  <c r="L604" i="13"/>
  <c r="M599" i="13"/>
  <c r="M594" i="13"/>
  <c r="M589" i="13"/>
  <c r="M584" i="13"/>
  <c r="M579" i="13"/>
  <c r="M574" i="13"/>
  <c r="O565" i="13"/>
  <c r="O555" i="13"/>
  <c r="O545" i="13"/>
  <c r="O535" i="13"/>
  <c r="O525" i="13"/>
  <c r="K522" i="13"/>
  <c r="M518" i="13"/>
  <c r="K515" i="13"/>
  <c r="N501" i="13"/>
  <c r="M487" i="13"/>
  <c r="L464" i="13"/>
  <c r="K456" i="13"/>
  <c r="M436" i="13"/>
  <c r="L428" i="13"/>
  <c r="M411" i="13"/>
  <c r="M337" i="13"/>
  <c r="K637" i="13"/>
  <c r="N635" i="13"/>
  <c r="O632" i="13"/>
  <c r="L631" i="13"/>
  <c r="M628" i="13"/>
  <c r="K627" i="13"/>
  <c r="N625" i="13"/>
  <c r="O622" i="13"/>
  <c r="L621" i="13"/>
  <c r="M618" i="13"/>
  <c r="K617" i="13"/>
  <c r="N615" i="13"/>
  <c r="O612" i="13"/>
  <c r="L611" i="13"/>
  <c r="M608" i="13"/>
  <c r="K607" i="13"/>
  <c r="N605" i="13"/>
  <c r="O602" i="13"/>
  <c r="K601" i="13"/>
  <c r="L599" i="13"/>
  <c r="O597" i="13"/>
  <c r="K596" i="13"/>
  <c r="L594" i="13"/>
  <c r="O592" i="13"/>
  <c r="K591" i="13"/>
  <c r="L589" i="13"/>
  <c r="O587" i="13"/>
  <c r="K586" i="13"/>
  <c r="L584" i="13"/>
  <c r="O582" i="13"/>
  <c r="K581" i="13"/>
  <c r="L579" i="13"/>
  <c r="O577" i="13"/>
  <c r="K576" i="13"/>
  <c r="O568" i="13"/>
  <c r="O558" i="13"/>
  <c r="O548" i="13"/>
  <c r="O538" i="13"/>
  <c r="O528" i="13"/>
  <c r="O521" i="13"/>
  <c r="L514" i="13"/>
  <c r="N510" i="13"/>
  <c r="L507" i="13"/>
  <c r="M500" i="13"/>
  <c r="L487" i="13"/>
  <c r="O478" i="13"/>
  <c r="K445" i="13"/>
  <c r="O408" i="13"/>
  <c r="L308" i="13"/>
  <c r="K573" i="13"/>
  <c r="K572" i="13"/>
  <c r="K571" i="13"/>
  <c r="K570" i="13"/>
  <c r="K569" i="13"/>
  <c r="K568" i="13"/>
  <c r="K567" i="13"/>
  <c r="K566" i="13"/>
  <c r="K565" i="13"/>
  <c r="K564" i="13"/>
  <c r="K563" i="13"/>
  <c r="K562" i="13"/>
  <c r="K561" i="13"/>
  <c r="K560" i="13"/>
  <c r="K559" i="13"/>
  <c r="K558" i="13"/>
  <c r="K557" i="13"/>
  <c r="K556" i="13"/>
  <c r="K555" i="13"/>
  <c r="K554" i="13"/>
  <c r="K553" i="13"/>
  <c r="K552" i="13"/>
  <c r="K551" i="13"/>
  <c r="K550" i="13"/>
  <c r="K549" i="13"/>
  <c r="K548" i="13"/>
  <c r="K547" i="13"/>
  <c r="K546" i="13"/>
  <c r="K545" i="13"/>
  <c r="K544" i="13"/>
  <c r="K543" i="13"/>
  <c r="K542" i="13"/>
  <c r="K541" i="13"/>
  <c r="K540" i="13"/>
  <c r="K539" i="13"/>
  <c r="K538" i="13"/>
  <c r="K537" i="13"/>
  <c r="K536" i="13"/>
  <c r="K535" i="13"/>
  <c r="K534" i="13"/>
  <c r="K533" i="13"/>
  <c r="K532" i="13"/>
  <c r="K531" i="13"/>
  <c r="K530" i="13"/>
  <c r="K529" i="13"/>
  <c r="K528" i="13"/>
  <c r="K527" i="13"/>
  <c r="K526" i="13"/>
  <c r="K525" i="13"/>
  <c r="K524" i="13"/>
  <c r="K523" i="13"/>
  <c r="O520" i="13"/>
  <c r="N519" i="13"/>
  <c r="M517" i="13"/>
  <c r="L515" i="13"/>
  <c r="K513" i="13"/>
  <c r="O510" i="13"/>
  <c r="N509" i="13"/>
  <c r="M507" i="13"/>
  <c r="M505" i="13"/>
  <c r="L494" i="13"/>
  <c r="K492" i="13"/>
  <c r="O489" i="13"/>
  <c r="N478" i="13"/>
  <c r="M476" i="13"/>
  <c r="L474" i="13"/>
  <c r="K472" i="13"/>
  <c r="O469" i="13"/>
  <c r="M467" i="13"/>
  <c r="O453" i="13"/>
  <c r="O450" i="13"/>
  <c r="L448" i="13"/>
  <c r="L445" i="13"/>
  <c r="N442" i="13"/>
  <c r="N439" i="13"/>
  <c r="O425" i="13"/>
  <c r="M419" i="13"/>
  <c r="O415" i="13"/>
  <c r="M412" i="13"/>
  <c r="O373" i="13"/>
  <c r="M359" i="13"/>
  <c r="O300" i="13"/>
  <c r="K425" i="13"/>
  <c r="O418" i="13"/>
  <c r="M415" i="13"/>
  <c r="M404" i="13"/>
  <c r="K399" i="13"/>
  <c r="N391" i="13"/>
  <c r="M382" i="13"/>
  <c r="N358" i="13"/>
  <c r="N300" i="13"/>
  <c r="L398" i="13"/>
  <c r="L390" i="13"/>
  <c r="O372" i="13"/>
  <c r="O353" i="13"/>
  <c r="L327" i="13"/>
  <c r="M297" i="13"/>
  <c r="N522" i="13"/>
  <c r="M520" i="13"/>
  <c r="L518" i="13"/>
  <c r="K516" i="13"/>
  <c r="O513" i="13"/>
  <c r="N512" i="13"/>
  <c r="M510" i="13"/>
  <c r="L508" i="13"/>
  <c r="K496" i="13"/>
  <c r="O493" i="13"/>
  <c r="N482" i="13"/>
  <c r="M480" i="13"/>
  <c r="L478" i="13"/>
  <c r="K476" i="13"/>
  <c r="O473" i="13"/>
  <c r="M466" i="13"/>
  <c r="O452" i="13"/>
  <c r="O449" i="13"/>
  <c r="L447" i="13"/>
  <c r="L444" i="13"/>
  <c r="N441" i="13"/>
  <c r="N438" i="13"/>
  <c r="M427" i="13"/>
  <c r="L421" i="13"/>
  <c r="M414" i="13"/>
  <c r="L411" i="13"/>
  <c r="M381" i="13"/>
  <c r="K353" i="13"/>
  <c r="O292" i="13"/>
  <c r="N601" i="13"/>
  <c r="N599" i="13"/>
  <c r="N597" i="13"/>
  <c r="N595" i="13"/>
  <c r="N593" i="13"/>
  <c r="N591" i="13"/>
  <c r="N589" i="13"/>
  <c r="N587" i="13"/>
  <c r="N585" i="13"/>
  <c r="N583" i="13"/>
  <c r="N582" i="13"/>
  <c r="N580" i="13"/>
  <c r="N578" i="13"/>
  <c r="N576" i="13"/>
  <c r="N574" i="13"/>
  <c r="N572" i="13"/>
  <c r="N570" i="13"/>
  <c r="N568" i="13"/>
  <c r="N566" i="13"/>
  <c r="N564" i="13"/>
  <c r="N562" i="13"/>
  <c r="N561" i="13"/>
  <c r="N559" i="13"/>
  <c r="N558" i="13"/>
  <c r="N557" i="13"/>
  <c r="N556" i="13"/>
  <c r="N555" i="13"/>
  <c r="N554" i="13"/>
  <c r="N553" i="13"/>
  <c r="N551" i="13"/>
  <c r="N550" i="13"/>
  <c r="N549" i="13"/>
  <c r="N548" i="13"/>
  <c r="N547" i="13"/>
  <c r="N546" i="13"/>
  <c r="N545" i="13"/>
  <c r="N544" i="13"/>
  <c r="N543" i="13"/>
  <c r="N542" i="13"/>
  <c r="N541" i="13"/>
  <c r="N540" i="13"/>
  <c r="N539" i="13"/>
  <c r="N538" i="13"/>
  <c r="N537" i="13"/>
  <c r="N536" i="13"/>
  <c r="N535" i="13"/>
  <c r="N534" i="13"/>
  <c r="N533" i="13"/>
  <c r="N532" i="13"/>
  <c r="N531" i="13"/>
  <c r="N530" i="13"/>
  <c r="N529" i="13"/>
  <c r="N528" i="13"/>
  <c r="N527" i="13"/>
  <c r="N526" i="13"/>
  <c r="N525" i="13"/>
  <c r="N524" i="13"/>
  <c r="N523" i="13"/>
  <c r="M521" i="13"/>
  <c r="L519" i="13"/>
  <c r="K517" i="13"/>
  <c r="O514" i="13"/>
  <c r="N513" i="13"/>
  <c r="M511" i="13"/>
  <c r="L509" i="13"/>
  <c r="K505" i="13"/>
  <c r="K503" i="13"/>
  <c r="K501" i="13"/>
  <c r="M499" i="13"/>
  <c r="M497" i="13"/>
  <c r="M495" i="13"/>
  <c r="L493" i="13"/>
  <c r="K491" i="13"/>
  <c r="O488" i="13"/>
  <c r="N477" i="13"/>
  <c r="M475" i="13"/>
  <c r="L473" i="13"/>
  <c r="K471" i="13"/>
  <c r="O468" i="13"/>
  <c r="O463" i="13"/>
  <c r="O460" i="13"/>
  <c r="L458" i="13"/>
  <c r="L455" i="13"/>
  <c r="N452" i="13"/>
  <c r="N449" i="13"/>
  <c r="K436" i="13"/>
  <c r="K433" i="13"/>
  <c r="M430" i="13"/>
  <c r="M424" i="13"/>
  <c r="L418" i="13"/>
  <c r="L407" i="13"/>
  <c r="O396" i="13"/>
  <c r="N370" i="13"/>
  <c r="O350" i="13"/>
  <c r="M319" i="13"/>
  <c r="M290" i="13"/>
  <c r="N602" i="13"/>
  <c r="N600" i="13"/>
  <c r="N598" i="13"/>
  <c r="N596" i="13"/>
  <c r="N594" i="13"/>
  <c r="N592" i="13"/>
  <c r="N590" i="13"/>
  <c r="N588" i="13"/>
  <c r="N586" i="13"/>
  <c r="N584" i="13"/>
  <c r="N581" i="13"/>
  <c r="N579" i="13"/>
  <c r="N577" i="13"/>
  <c r="N575" i="13"/>
  <c r="N573" i="13"/>
  <c r="N571" i="13"/>
  <c r="N569" i="13"/>
  <c r="N567" i="13"/>
  <c r="N565" i="13"/>
  <c r="N563" i="13"/>
  <c r="N560" i="13"/>
  <c r="N552" i="13"/>
  <c r="M522" i="13"/>
  <c r="L520" i="13"/>
  <c r="K518" i="13"/>
  <c r="O515" i="13"/>
  <c r="N514" i="13"/>
  <c r="M512" i="13"/>
  <c r="L510" i="13"/>
  <c r="K508" i="13"/>
  <c r="M506" i="13"/>
  <c r="N488" i="13"/>
  <c r="M486" i="13"/>
  <c r="L484" i="13"/>
  <c r="K482" i="13"/>
  <c r="O479" i="13"/>
  <c r="N468" i="13"/>
  <c r="K455" i="13"/>
  <c r="K452" i="13"/>
  <c r="M449" i="13"/>
  <c r="M446" i="13"/>
  <c r="O432" i="13"/>
  <c r="O429" i="13"/>
  <c r="O423" i="13"/>
  <c r="L410" i="13"/>
  <c r="K407" i="13"/>
  <c r="O402" i="13"/>
  <c r="K396" i="13"/>
  <c r="K388" i="13"/>
  <c r="L379" i="13"/>
  <c r="M289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L521" i="13"/>
  <c r="K519" i="13"/>
  <c r="O516" i="13"/>
  <c r="N515" i="13"/>
  <c r="M513" i="13"/>
  <c r="L511" i="13"/>
  <c r="K509" i="13"/>
  <c r="O502" i="13"/>
  <c r="O500" i="13"/>
  <c r="O498" i="13"/>
  <c r="L497" i="13"/>
  <c r="L495" i="13"/>
  <c r="K493" i="13"/>
  <c r="O490" i="13"/>
  <c r="N479" i="13"/>
  <c r="M477" i="13"/>
  <c r="L475" i="13"/>
  <c r="K473" i="13"/>
  <c r="O470" i="13"/>
  <c r="K466" i="13"/>
  <c r="K463" i="13"/>
  <c r="M460" i="13"/>
  <c r="M457" i="13"/>
  <c r="O443" i="13"/>
  <c r="O440" i="13"/>
  <c r="L438" i="13"/>
  <c r="L435" i="13"/>
  <c r="N432" i="13"/>
  <c r="N429" i="13"/>
  <c r="K427" i="13"/>
  <c r="O420" i="13"/>
  <c r="L417" i="13"/>
  <c r="K414" i="13"/>
  <c r="O406" i="13"/>
  <c r="M402" i="13"/>
  <c r="L387" i="13"/>
  <c r="L345" i="13"/>
  <c r="L522" i="13"/>
  <c r="K520" i="13"/>
  <c r="O517" i="13"/>
  <c r="N516" i="13"/>
  <c r="M514" i="13"/>
  <c r="L512" i="13"/>
  <c r="K510" i="13"/>
  <c r="O507" i="13"/>
  <c r="L506" i="13"/>
  <c r="L504" i="13"/>
  <c r="N502" i="13"/>
  <c r="N500" i="13"/>
  <c r="N498" i="13"/>
  <c r="K495" i="13"/>
  <c r="O492" i="13"/>
  <c r="N481" i="13"/>
  <c r="M479" i="13"/>
  <c r="L477" i="13"/>
  <c r="K475" i="13"/>
  <c r="O472" i="13"/>
  <c r="O462" i="13"/>
  <c r="O459" i="13"/>
  <c r="L457" i="13"/>
  <c r="L454" i="13"/>
  <c r="N451" i="13"/>
  <c r="N448" i="13"/>
  <c r="K435" i="13"/>
  <c r="K432" i="13"/>
  <c r="M429" i="13"/>
  <c r="L426" i="13"/>
  <c r="K420" i="13"/>
  <c r="K417" i="13"/>
  <c r="O409" i="13"/>
  <c r="K406" i="13"/>
  <c r="L401" i="13"/>
  <c r="N394" i="13"/>
  <c r="K387" i="13"/>
  <c r="K345" i="13"/>
  <c r="N311" i="13"/>
  <c r="L574" i="13"/>
  <c r="L573" i="13"/>
  <c r="L572" i="13"/>
  <c r="L571" i="13"/>
  <c r="L570" i="13"/>
  <c r="L569" i="13"/>
  <c r="L568" i="13"/>
  <c r="L567" i="13"/>
  <c r="L566" i="13"/>
  <c r="L565" i="13"/>
  <c r="L564" i="13"/>
  <c r="L563" i="13"/>
  <c r="L562" i="13"/>
  <c r="L561" i="13"/>
  <c r="L560" i="13"/>
  <c r="L559" i="13"/>
  <c r="L558" i="13"/>
  <c r="L557" i="13"/>
  <c r="L556" i="13"/>
  <c r="L555" i="13"/>
  <c r="L554" i="13"/>
  <c r="L553" i="13"/>
  <c r="L552" i="13"/>
  <c r="L551" i="13"/>
  <c r="L550" i="13"/>
  <c r="L549" i="13"/>
  <c r="L548" i="13"/>
  <c r="L547" i="13"/>
  <c r="L546" i="13"/>
  <c r="L545" i="13"/>
  <c r="L544" i="13"/>
  <c r="L543" i="13"/>
  <c r="L542" i="13"/>
  <c r="L541" i="13"/>
  <c r="L540" i="13"/>
  <c r="L539" i="13"/>
  <c r="L538" i="13"/>
  <c r="L537" i="13"/>
  <c r="L536" i="13"/>
  <c r="L535" i="13"/>
  <c r="L534" i="13"/>
  <c r="L533" i="13"/>
  <c r="L532" i="13"/>
  <c r="L531" i="13"/>
  <c r="L530" i="13"/>
  <c r="L529" i="13"/>
  <c r="L528" i="13"/>
  <c r="L527" i="13"/>
  <c r="L526" i="13"/>
  <c r="L525" i="13"/>
  <c r="L524" i="13"/>
  <c r="L523" i="13"/>
  <c r="K521" i="13"/>
  <c r="O518" i="13"/>
  <c r="N517" i="13"/>
  <c r="M515" i="13"/>
  <c r="L513" i="13"/>
  <c r="K511" i="13"/>
  <c r="O508" i="13"/>
  <c r="N507" i="13"/>
  <c r="N492" i="13"/>
  <c r="M490" i="13"/>
  <c r="L488" i="13"/>
  <c r="K486" i="13"/>
  <c r="O483" i="13"/>
  <c r="N472" i="13"/>
  <c r="M470" i="13"/>
  <c r="L468" i="13"/>
  <c r="L465" i="13"/>
  <c r="N462" i="13"/>
  <c r="N459" i="13"/>
  <c r="K446" i="13"/>
  <c r="K443" i="13"/>
  <c r="M440" i="13"/>
  <c r="M437" i="13"/>
  <c r="L423" i="13"/>
  <c r="O416" i="13"/>
  <c r="K413" i="13"/>
  <c r="O405" i="13"/>
  <c r="O393" i="13"/>
  <c r="K365" i="13"/>
  <c r="L338" i="13"/>
  <c r="N308" i="13"/>
  <c r="K494" i="13"/>
  <c r="O491" i="13"/>
  <c r="N490" i="13"/>
  <c r="M488" i="13"/>
  <c r="L486" i="13"/>
  <c r="K484" i="13"/>
  <c r="O481" i="13"/>
  <c r="N480" i="13"/>
  <c r="M478" i="13"/>
  <c r="L476" i="13"/>
  <c r="K474" i="13"/>
  <c r="O471" i="13"/>
  <c r="N470" i="13"/>
  <c r="M468" i="13"/>
  <c r="L466" i="13"/>
  <c r="K464" i="13"/>
  <c r="O461" i="13"/>
  <c r="N460" i="13"/>
  <c r="M458" i="13"/>
  <c r="L456" i="13"/>
  <c r="K454" i="13"/>
  <c r="O451" i="13"/>
  <c r="N450" i="13"/>
  <c r="M448" i="13"/>
  <c r="L446" i="13"/>
  <c r="K444" i="13"/>
  <c r="O441" i="13"/>
  <c r="N440" i="13"/>
  <c r="M438" i="13"/>
  <c r="L436" i="13"/>
  <c r="K434" i="13"/>
  <c r="O431" i="13"/>
  <c r="N430" i="13"/>
  <c r="M428" i="13"/>
  <c r="L427" i="13"/>
  <c r="K426" i="13"/>
  <c r="O424" i="13"/>
  <c r="M423" i="13"/>
  <c r="L422" i="13"/>
  <c r="K421" i="13"/>
  <c r="O419" i="13"/>
  <c r="M418" i="13"/>
  <c r="L414" i="13"/>
  <c r="O412" i="13"/>
  <c r="K410" i="13"/>
  <c r="M408" i="13"/>
  <c r="L404" i="13"/>
  <c r="M389" i="13"/>
  <c r="N381" i="13"/>
  <c r="K376" i="13"/>
  <c r="N373" i="13"/>
  <c r="M370" i="13"/>
  <c r="L337" i="13"/>
  <c r="N318" i="13"/>
  <c r="M300" i="13"/>
  <c r="K275" i="13"/>
  <c r="K404" i="13"/>
  <c r="M391" i="13"/>
  <c r="L389" i="13"/>
  <c r="O383" i="13"/>
  <c r="L378" i="13"/>
  <c r="O375" i="13"/>
  <c r="M358" i="13"/>
  <c r="K316" i="13"/>
  <c r="M307" i="13"/>
  <c r="L297" i="13"/>
  <c r="K507" i="13"/>
  <c r="O504" i="13"/>
  <c r="N503" i="13"/>
  <c r="M501" i="13"/>
  <c r="L499" i="13"/>
  <c r="K497" i="13"/>
  <c r="O494" i="13"/>
  <c r="N493" i="13"/>
  <c r="M491" i="13"/>
  <c r="L489" i="13"/>
  <c r="K487" i="13"/>
  <c r="O484" i="13"/>
  <c r="N483" i="13"/>
  <c r="M481" i="13"/>
  <c r="L479" i="13"/>
  <c r="K477" i="13"/>
  <c r="O474" i="13"/>
  <c r="N473" i="13"/>
  <c r="M471" i="13"/>
  <c r="L469" i="13"/>
  <c r="K467" i="13"/>
  <c r="O464" i="13"/>
  <c r="N463" i="13"/>
  <c r="M461" i="13"/>
  <c r="L459" i="13"/>
  <c r="K457" i="13"/>
  <c r="O454" i="13"/>
  <c r="N453" i="13"/>
  <c r="M451" i="13"/>
  <c r="L449" i="13"/>
  <c r="K447" i="13"/>
  <c r="O444" i="13"/>
  <c r="N443" i="13"/>
  <c r="M441" i="13"/>
  <c r="L439" i="13"/>
  <c r="K437" i="13"/>
  <c r="O434" i="13"/>
  <c r="N433" i="13"/>
  <c r="M431" i="13"/>
  <c r="L429" i="13"/>
  <c r="L415" i="13"/>
  <c r="O413" i="13"/>
  <c r="K411" i="13"/>
  <c r="M409" i="13"/>
  <c r="L405" i="13"/>
  <c r="O403" i="13"/>
  <c r="L402" i="13"/>
  <c r="L400" i="13"/>
  <c r="K398" i="13"/>
  <c r="O395" i="13"/>
  <c r="N393" i="13"/>
  <c r="N380" i="13"/>
  <c r="K375" i="13"/>
  <c r="N372" i="13"/>
  <c r="N350" i="13"/>
  <c r="O323" i="13"/>
  <c r="L315" i="13"/>
  <c r="K305" i="13"/>
  <c r="N261" i="13"/>
  <c r="O505" i="13"/>
  <c r="N504" i="13"/>
  <c r="M502" i="13"/>
  <c r="L500" i="13"/>
  <c r="K498" i="13"/>
  <c r="O495" i="13"/>
  <c r="N494" i="13"/>
  <c r="M492" i="13"/>
  <c r="L490" i="13"/>
  <c r="K488" i="13"/>
  <c r="O485" i="13"/>
  <c r="N484" i="13"/>
  <c r="M482" i="13"/>
  <c r="L480" i="13"/>
  <c r="K478" i="13"/>
  <c r="O475" i="13"/>
  <c r="N474" i="13"/>
  <c r="M472" i="13"/>
  <c r="L470" i="13"/>
  <c r="K468" i="13"/>
  <c r="O465" i="13"/>
  <c r="N464" i="13"/>
  <c r="M462" i="13"/>
  <c r="L460" i="13"/>
  <c r="K458" i="13"/>
  <c r="O455" i="13"/>
  <c r="N454" i="13"/>
  <c r="M452" i="13"/>
  <c r="L450" i="13"/>
  <c r="K448" i="13"/>
  <c r="O445" i="13"/>
  <c r="N444" i="13"/>
  <c r="M442" i="13"/>
  <c r="L440" i="13"/>
  <c r="K438" i="13"/>
  <c r="O435" i="13"/>
  <c r="N434" i="13"/>
  <c r="M432" i="13"/>
  <c r="L430" i="13"/>
  <c r="K428" i="13"/>
  <c r="O426" i="13"/>
  <c r="M425" i="13"/>
  <c r="L424" i="13"/>
  <c r="K423" i="13"/>
  <c r="O421" i="13"/>
  <c r="M420" i="13"/>
  <c r="L419" i="13"/>
  <c r="K418" i="13"/>
  <c r="M416" i="13"/>
  <c r="L412" i="13"/>
  <c r="O410" i="13"/>
  <c r="K408" i="13"/>
  <c r="M406" i="13"/>
  <c r="M393" i="13"/>
  <c r="L391" i="13"/>
  <c r="K389" i="13"/>
  <c r="K386" i="13"/>
  <c r="N383" i="13"/>
  <c r="M380" i="13"/>
  <c r="K378" i="13"/>
  <c r="M372" i="13"/>
  <c r="K364" i="13"/>
  <c r="L356" i="13"/>
  <c r="M350" i="13"/>
  <c r="O333" i="13"/>
  <c r="K323" i="13"/>
  <c r="K315" i="13"/>
  <c r="O506" i="13"/>
  <c r="N505" i="13"/>
  <c r="M503" i="13"/>
  <c r="L501" i="13"/>
  <c r="K499" i="13"/>
  <c r="O496" i="13"/>
  <c r="N495" i="13"/>
  <c r="M493" i="13"/>
  <c r="L491" i="13"/>
  <c r="K489" i="13"/>
  <c r="O486" i="13"/>
  <c r="N485" i="13"/>
  <c r="M483" i="13"/>
  <c r="L481" i="13"/>
  <c r="K479" i="13"/>
  <c r="O476" i="13"/>
  <c r="N475" i="13"/>
  <c r="M473" i="13"/>
  <c r="L471" i="13"/>
  <c r="K469" i="13"/>
  <c r="O466" i="13"/>
  <c r="N465" i="13"/>
  <c r="M463" i="13"/>
  <c r="L461" i="13"/>
  <c r="K459" i="13"/>
  <c r="O456" i="13"/>
  <c r="N455" i="13"/>
  <c r="M453" i="13"/>
  <c r="L451" i="13"/>
  <c r="K449" i="13"/>
  <c r="O446" i="13"/>
  <c r="N445" i="13"/>
  <c r="M443" i="13"/>
  <c r="L441" i="13"/>
  <c r="K439" i="13"/>
  <c r="O436" i="13"/>
  <c r="N435" i="13"/>
  <c r="M433" i="13"/>
  <c r="L431" i="13"/>
  <c r="K429" i="13"/>
  <c r="O417" i="13"/>
  <c r="K415" i="13"/>
  <c r="M413" i="13"/>
  <c r="L409" i="13"/>
  <c r="O407" i="13"/>
  <c r="K405" i="13"/>
  <c r="M403" i="13"/>
  <c r="M399" i="13"/>
  <c r="L397" i="13"/>
  <c r="K395" i="13"/>
  <c r="O392" i="13"/>
  <c r="N390" i="13"/>
  <c r="O382" i="13"/>
  <c r="L377" i="13"/>
  <c r="O374" i="13"/>
  <c r="N341" i="13"/>
  <c r="O330" i="13"/>
  <c r="O322" i="13"/>
  <c r="K286" i="13"/>
  <c r="N237" i="13"/>
  <c r="N506" i="13"/>
  <c r="M504" i="13"/>
  <c r="L502" i="13"/>
  <c r="K500" i="13"/>
  <c r="O497" i="13"/>
  <c r="N496" i="13"/>
  <c r="M494" i="13"/>
  <c r="L492" i="13"/>
  <c r="K490" i="13"/>
  <c r="O487" i="13"/>
  <c r="N486" i="13"/>
  <c r="M484" i="13"/>
  <c r="L482" i="13"/>
  <c r="K480" i="13"/>
  <c r="O477" i="13"/>
  <c r="N476" i="13"/>
  <c r="M474" i="13"/>
  <c r="L472" i="13"/>
  <c r="K470" i="13"/>
  <c r="O467" i="13"/>
  <c r="N466" i="13"/>
  <c r="M464" i="13"/>
  <c r="L462" i="13"/>
  <c r="K460" i="13"/>
  <c r="O457" i="13"/>
  <c r="N456" i="13"/>
  <c r="M454" i="13"/>
  <c r="L452" i="13"/>
  <c r="K450" i="13"/>
  <c r="O447" i="13"/>
  <c r="N446" i="13"/>
  <c r="M444" i="13"/>
  <c r="L442" i="13"/>
  <c r="K440" i="13"/>
  <c r="O437" i="13"/>
  <c r="N436" i="13"/>
  <c r="M434" i="13"/>
  <c r="L432" i="13"/>
  <c r="K430" i="13"/>
  <c r="O427" i="13"/>
  <c r="M426" i="13"/>
  <c r="L425" i="13"/>
  <c r="K424" i="13"/>
  <c r="O422" i="13"/>
  <c r="M421" i="13"/>
  <c r="L420" i="13"/>
  <c r="K419" i="13"/>
  <c r="L416" i="13"/>
  <c r="O414" i="13"/>
  <c r="K412" i="13"/>
  <c r="M410" i="13"/>
  <c r="L406" i="13"/>
  <c r="O404" i="13"/>
  <c r="M401" i="13"/>
  <c r="M390" i="13"/>
  <c r="L388" i="13"/>
  <c r="O385" i="13"/>
  <c r="L380" i="13"/>
  <c r="N371" i="13"/>
  <c r="N368" i="13"/>
  <c r="O361" i="13"/>
  <c r="K356" i="13"/>
  <c r="L348" i="13"/>
  <c r="O340" i="13"/>
  <c r="N330" i="13"/>
  <c r="O293" i="13"/>
  <c r="N233" i="13"/>
  <c r="N467" i="13"/>
  <c r="M465" i="13"/>
  <c r="L463" i="13"/>
  <c r="K461" i="13"/>
  <c r="O458" i="13"/>
  <c r="N457" i="13"/>
  <c r="M455" i="13"/>
  <c r="L453" i="13"/>
  <c r="K451" i="13"/>
  <c r="O448" i="13"/>
  <c r="N447" i="13"/>
  <c r="M445" i="13"/>
  <c r="L443" i="13"/>
  <c r="K441" i="13"/>
  <c r="O438" i="13"/>
  <c r="N437" i="13"/>
  <c r="M435" i="13"/>
  <c r="L433" i="13"/>
  <c r="K431" i="13"/>
  <c r="O428" i="13"/>
  <c r="M417" i="13"/>
  <c r="L413" i="13"/>
  <c r="O411" i="13"/>
  <c r="K409" i="13"/>
  <c r="M407" i="13"/>
  <c r="L403" i="13"/>
  <c r="L399" i="13"/>
  <c r="K397" i="13"/>
  <c r="O394" i="13"/>
  <c r="N392" i="13"/>
  <c r="K385" i="13"/>
  <c r="N382" i="13"/>
  <c r="M379" i="13"/>
  <c r="K377" i="13"/>
  <c r="M371" i="13"/>
  <c r="L367" i="13"/>
  <c r="M347" i="13"/>
  <c r="M330" i="13"/>
  <c r="N301" i="13"/>
  <c r="K293" i="13"/>
  <c r="L282" i="13"/>
  <c r="K226" i="13"/>
  <c r="L285" i="13"/>
  <c r="L273" i="13"/>
  <c r="N257" i="13"/>
  <c r="O386" i="13"/>
  <c r="N384" i="13"/>
  <c r="M383" i="13"/>
  <c r="L381" i="13"/>
  <c r="K379" i="13"/>
  <c r="O376" i="13"/>
  <c r="N374" i="13"/>
  <c r="M373" i="13"/>
  <c r="L371" i="13"/>
  <c r="K370" i="13"/>
  <c r="M368" i="13"/>
  <c r="L366" i="13"/>
  <c r="O360" i="13"/>
  <c r="L355" i="13"/>
  <c r="O352" i="13"/>
  <c r="L347" i="13"/>
  <c r="N340" i="13"/>
  <c r="K333" i="13"/>
  <c r="M329" i="13"/>
  <c r="K326" i="13"/>
  <c r="O310" i="13"/>
  <c r="L307" i="13"/>
  <c r="O303" i="13"/>
  <c r="N288" i="13"/>
  <c r="K285" i="13"/>
  <c r="O280" i="13"/>
  <c r="L211" i="13"/>
  <c r="K403" i="13"/>
  <c r="K402" i="13"/>
  <c r="K401" i="13"/>
  <c r="K400" i="13"/>
  <c r="O397" i="13"/>
  <c r="N395" i="13"/>
  <c r="M394" i="13"/>
  <c r="L392" i="13"/>
  <c r="K390" i="13"/>
  <c r="O387" i="13"/>
  <c r="N385" i="13"/>
  <c r="M384" i="13"/>
  <c r="L382" i="13"/>
  <c r="K380" i="13"/>
  <c r="O377" i="13"/>
  <c r="N375" i="13"/>
  <c r="M374" i="13"/>
  <c r="L372" i="13"/>
  <c r="O363" i="13"/>
  <c r="L358" i="13"/>
  <c r="N349" i="13"/>
  <c r="M340" i="13"/>
  <c r="O332" i="13"/>
  <c r="L325" i="13"/>
  <c r="L318" i="13"/>
  <c r="N310" i="13"/>
  <c r="K303" i="13"/>
  <c r="M299" i="13"/>
  <c r="K296" i="13"/>
  <c r="N279" i="13"/>
  <c r="O271" i="13"/>
  <c r="N253" i="13"/>
  <c r="O398" i="13"/>
  <c r="N396" i="13"/>
  <c r="M395" i="13"/>
  <c r="L393" i="13"/>
  <c r="K391" i="13"/>
  <c r="O388" i="13"/>
  <c r="N386" i="13"/>
  <c r="M385" i="13"/>
  <c r="L383" i="13"/>
  <c r="K381" i="13"/>
  <c r="O378" i="13"/>
  <c r="N376" i="13"/>
  <c r="M375" i="13"/>
  <c r="L373" i="13"/>
  <c r="K371" i="13"/>
  <c r="O369" i="13"/>
  <c r="L368" i="13"/>
  <c r="K366" i="13"/>
  <c r="K363" i="13"/>
  <c r="N360" i="13"/>
  <c r="M357" i="13"/>
  <c r="K355" i="13"/>
  <c r="M349" i="13"/>
  <c r="O343" i="13"/>
  <c r="N328" i="13"/>
  <c r="K325" i="13"/>
  <c r="N321" i="13"/>
  <c r="M317" i="13"/>
  <c r="M310" i="13"/>
  <c r="O302" i="13"/>
  <c r="L295" i="13"/>
  <c r="L288" i="13"/>
  <c r="L279" i="13"/>
  <c r="K271" i="13"/>
  <c r="L251" i="13"/>
  <c r="O193" i="13"/>
  <c r="O401" i="13"/>
  <c r="O400" i="13"/>
  <c r="O399" i="13"/>
  <c r="N397" i="13"/>
  <c r="M396" i="13"/>
  <c r="L394" i="13"/>
  <c r="K392" i="13"/>
  <c r="O389" i="13"/>
  <c r="N387" i="13"/>
  <c r="M386" i="13"/>
  <c r="L384" i="13"/>
  <c r="K382" i="13"/>
  <c r="O379" i="13"/>
  <c r="N377" i="13"/>
  <c r="M376" i="13"/>
  <c r="L374" i="13"/>
  <c r="K372" i="13"/>
  <c r="O367" i="13"/>
  <c r="N365" i="13"/>
  <c r="M360" i="13"/>
  <c r="O351" i="13"/>
  <c r="L346" i="13"/>
  <c r="K343" i="13"/>
  <c r="M339" i="13"/>
  <c r="K336" i="13"/>
  <c r="O320" i="13"/>
  <c r="L317" i="13"/>
  <c r="O313" i="13"/>
  <c r="N298" i="13"/>
  <c r="K295" i="13"/>
  <c r="N291" i="13"/>
  <c r="M287" i="13"/>
  <c r="O269" i="13"/>
  <c r="O248" i="13"/>
  <c r="O183" i="13"/>
  <c r="N398" i="13"/>
  <c r="M397" i="13"/>
  <c r="L395" i="13"/>
  <c r="K393" i="13"/>
  <c r="O390" i="13"/>
  <c r="N388" i="13"/>
  <c r="M387" i="13"/>
  <c r="L385" i="13"/>
  <c r="K383" i="13"/>
  <c r="O380" i="13"/>
  <c r="N378" i="13"/>
  <c r="M377" i="13"/>
  <c r="L375" i="13"/>
  <c r="K373" i="13"/>
  <c r="O370" i="13"/>
  <c r="N369" i="13"/>
  <c r="M367" i="13"/>
  <c r="L365" i="13"/>
  <c r="O362" i="13"/>
  <c r="L357" i="13"/>
  <c r="N348" i="13"/>
  <c r="O342" i="13"/>
  <c r="L335" i="13"/>
  <c r="L328" i="13"/>
  <c r="N320" i="13"/>
  <c r="K313" i="13"/>
  <c r="M309" i="13"/>
  <c r="K306" i="13"/>
  <c r="O290" i="13"/>
  <c r="L287" i="13"/>
  <c r="O283" i="13"/>
  <c r="O267" i="13"/>
  <c r="L246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M398" i="13"/>
  <c r="L396" i="13"/>
  <c r="K394" i="13"/>
  <c r="O391" i="13"/>
  <c r="N389" i="13"/>
  <c r="M388" i="13"/>
  <c r="L386" i="13"/>
  <c r="K384" i="13"/>
  <c r="O381" i="13"/>
  <c r="N379" i="13"/>
  <c r="M378" i="13"/>
  <c r="L376" i="13"/>
  <c r="K374" i="13"/>
  <c r="O371" i="13"/>
  <c r="M369" i="13"/>
  <c r="N359" i="13"/>
  <c r="K354" i="13"/>
  <c r="N351" i="13"/>
  <c r="M348" i="13"/>
  <c r="K346" i="13"/>
  <c r="N338" i="13"/>
  <c r="K335" i="13"/>
  <c r="N331" i="13"/>
  <c r="M327" i="13"/>
  <c r="M320" i="13"/>
  <c r="O312" i="13"/>
  <c r="L305" i="13"/>
  <c r="L298" i="13"/>
  <c r="N290" i="13"/>
  <c r="M276" i="13"/>
  <c r="K243" i="13"/>
  <c r="K344" i="13"/>
  <c r="O341" i="13"/>
  <c r="N339" i="13"/>
  <c r="M338" i="13"/>
  <c r="L336" i="13"/>
  <c r="K334" i="13"/>
  <c r="O331" i="13"/>
  <c r="N329" i="13"/>
  <c r="M328" i="13"/>
  <c r="L326" i="13"/>
  <c r="K324" i="13"/>
  <c r="O321" i="13"/>
  <c r="N319" i="13"/>
  <c r="M318" i="13"/>
  <c r="L316" i="13"/>
  <c r="K314" i="13"/>
  <c r="O311" i="13"/>
  <c r="N309" i="13"/>
  <c r="M308" i="13"/>
  <c r="L306" i="13"/>
  <c r="K304" i="13"/>
  <c r="O301" i="13"/>
  <c r="N299" i="13"/>
  <c r="M298" i="13"/>
  <c r="L296" i="13"/>
  <c r="K294" i="13"/>
  <c r="O291" i="13"/>
  <c r="N289" i="13"/>
  <c r="M288" i="13"/>
  <c r="L286" i="13"/>
  <c r="K284" i="13"/>
  <c r="O282" i="13"/>
  <c r="K281" i="13"/>
  <c r="O277" i="13"/>
  <c r="O274" i="13"/>
  <c r="N271" i="13"/>
  <c r="N269" i="13"/>
  <c r="N267" i="13"/>
  <c r="K266" i="13"/>
  <c r="O263" i="13"/>
  <c r="O259" i="13"/>
  <c r="L255" i="13"/>
  <c r="N248" i="13"/>
  <c r="O242" i="13"/>
  <c r="K233" i="13"/>
  <c r="O225" i="13"/>
  <c r="K220" i="13"/>
  <c r="O210" i="13"/>
  <c r="N193" i="13"/>
  <c r="N183" i="13"/>
  <c r="M279" i="13"/>
  <c r="N277" i="13"/>
  <c r="L276" i="13"/>
  <c r="M274" i="13"/>
  <c r="K273" i="13"/>
  <c r="N263" i="13"/>
  <c r="K251" i="13"/>
  <c r="K246" i="13"/>
  <c r="N241" i="13"/>
  <c r="M237" i="13"/>
  <c r="M231" i="13"/>
  <c r="N201" i="13"/>
  <c r="K193" i="13"/>
  <c r="O178" i="13"/>
  <c r="N163" i="13"/>
  <c r="O136" i="13"/>
  <c r="M269" i="13"/>
  <c r="M267" i="13"/>
  <c r="L265" i="13"/>
  <c r="L261" i="13"/>
  <c r="K259" i="13"/>
  <c r="L257" i="13"/>
  <c r="K255" i="13"/>
  <c r="O252" i="13"/>
  <c r="L250" i="13"/>
  <c r="O247" i="13"/>
  <c r="L245" i="13"/>
  <c r="L241" i="13"/>
  <c r="L231" i="13"/>
  <c r="N225" i="13"/>
  <c r="M201" i="13"/>
  <c r="M135" i="13"/>
  <c r="L369" i="13"/>
  <c r="K367" i="13"/>
  <c r="O364" i="13"/>
  <c r="N362" i="13"/>
  <c r="M361" i="13"/>
  <c r="L359" i="13"/>
  <c r="K357" i="13"/>
  <c r="O354" i="13"/>
  <c r="N352" i="13"/>
  <c r="M351" i="13"/>
  <c r="L349" i="13"/>
  <c r="K347" i="13"/>
  <c r="O344" i="13"/>
  <c r="N342" i="13"/>
  <c r="M341" i="13"/>
  <c r="L339" i="13"/>
  <c r="K337" i="13"/>
  <c r="O334" i="13"/>
  <c r="N332" i="13"/>
  <c r="M331" i="13"/>
  <c r="L329" i="13"/>
  <c r="K327" i="13"/>
  <c r="O324" i="13"/>
  <c r="N322" i="13"/>
  <c r="M321" i="13"/>
  <c r="L319" i="13"/>
  <c r="K317" i="13"/>
  <c r="O314" i="13"/>
  <c r="N312" i="13"/>
  <c r="M311" i="13"/>
  <c r="L309" i="13"/>
  <c r="K307" i="13"/>
  <c r="O304" i="13"/>
  <c r="N302" i="13"/>
  <c r="M301" i="13"/>
  <c r="L299" i="13"/>
  <c r="K297" i="13"/>
  <c r="O294" i="13"/>
  <c r="N292" i="13"/>
  <c r="M291" i="13"/>
  <c r="L289" i="13"/>
  <c r="K287" i="13"/>
  <c r="O284" i="13"/>
  <c r="N280" i="13"/>
  <c r="M277" i="13"/>
  <c r="L274" i="13"/>
  <c r="O272" i="13"/>
  <c r="N256" i="13"/>
  <c r="N252" i="13"/>
  <c r="N247" i="13"/>
  <c r="K241" i="13"/>
  <c r="M223" i="13"/>
  <c r="K217" i="13"/>
  <c r="K208" i="13"/>
  <c r="L201" i="13"/>
  <c r="M189" i="13"/>
  <c r="M178" i="13"/>
  <c r="O155" i="13"/>
  <c r="L370" i="13"/>
  <c r="K368" i="13"/>
  <c r="O365" i="13"/>
  <c r="N363" i="13"/>
  <c r="M362" i="13"/>
  <c r="L360" i="13"/>
  <c r="K358" i="13"/>
  <c r="O355" i="13"/>
  <c r="N353" i="13"/>
  <c r="M352" i="13"/>
  <c r="L350" i="13"/>
  <c r="K348" i="13"/>
  <c r="O345" i="13"/>
  <c r="N343" i="13"/>
  <c r="M342" i="13"/>
  <c r="L340" i="13"/>
  <c r="K338" i="13"/>
  <c r="O335" i="13"/>
  <c r="N333" i="13"/>
  <c r="M332" i="13"/>
  <c r="L330" i="13"/>
  <c r="K328" i="13"/>
  <c r="O325" i="13"/>
  <c r="N323" i="13"/>
  <c r="M322" i="13"/>
  <c r="L320" i="13"/>
  <c r="K318" i="13"/>
  <c r="O315" i="13"/>
  <c r="N313" i="13"/>
  <c r="M312" i="13"/>
  <c r="L310" i="13"/>
  <c r="K308" i="13"/>
  <c r="O305" i="13"/>
  <c r="N303" i="13"/>
  <c r="M302" i="13"/>
  <c r="L300" i="13"/>
  <c r="K298" i="13"/>
  <c r="O295" i="13"/>
  <c r="N293" i="13"/>
  <c r="M292" i="13"/>
  <c r="L290" i="13"/>
  <c r="K288" i="13"/>
  <c r="O285" i="13"/>
  <c r="N283" i="13"/>
  <c r="K282" i="13"/>
  <c r="O278" i="13"/>
  <c r="O270" i="13"/>
  <c r="O268" i="13"/>
  <c r="L267" i="13"/>
  <c r="K265" i="13"/>
  <c r="O262" i="13"/>
  <c r="K261" i="13"/>
  <c r="O258" i="13"/>
  <c r="O254" i="13"/>
  <c r="K250" i="13"/>
  <c r="K245" i="13"/>
  <c r="O240" i="13"/>
  <c r="N235" i="13"/>
  <c r="K223" i="13"/>
  <c r="O207" i="13"/>
  <c r="N177" i="13"/>
  <c r="K369" i="13"/>
  <c r="O366" i="13"/>
  <c r="N364" i="13"/>
  <c r="M363" i="13"/>
  <c r="L361" i="13"/>
  <c r="K359" i="13"/>
  <c r="O356" i="13"/>
  <c r="N354" i="13"/>
  <c r="M353" i="13"/>
  <c r="L351" i="13"/>
  <c r="K349" i="13"/>
  <c r="O346" i="13"/>
  <c r="N344" i="13"/>
  <c r="M343" i="13"/>
  <c r="L341" i="13"/>
  <c r="K339" i="13"/>
  <c r="O336" i="13"/>
  <c r="N334" i="13"/>
  <c r="M333" i="13"/>
  <c r="L331" i="13"/>
  <c r="K329" i="13"/>
  <c r="O326" i="13"/>
  <c r="N324" i="13"/>
  <c r="M323" i="13"/>
  <c r="L321" i="13"/>
  <c r="K319" i="13"/>
  <c r="O316" i="13"/>
  <c r="N314" i="13"/>
  <c r="M313" i="13"/>
  <c r="L311" i="13"/>
  <c r="K309" i="13"/>
  <c r="O306" i="13"/>
  <c r="N304" i="13"/>
  <c r="M303" i="13"/>
  <c r="L301" i="13"/>
  <c r="K299" i="13"/>
  <c r="O296" i="13"/>
  <c r="N294" i="13"/>
  <c r="M293" i="13"/>
  <c r="L291" i="13"/>
  <c r="K289" i="13"/>
  <c r="O286" i="13"/>
  <c r="N284" i="13"/>
  <c r="N278" i="13"/>
  <c r="L277" i="13"/>
  <c r="M275" i="13"/>
  <c r="K274" i="13"/>
  <c r="L272" i="13"/>
  <c r="N270" i="13"/>
  <c r="N268" i="13"/>
  <c r="N266" i="13"/>
  <c r="N262" i="13"/>
  <c r="N258" i="13"/>
  <c r="N239" i="13"/>
  <c r="M235" i="13"/>
  <c r="L198" i="13"/>
  <c r="N188" i="13"/>
  <c r="L124" i="13"/>
  <c r="M364" i="13"/>
  <c r="L362" i="13"/>
  <c r="K360" i="13"/>
  <c r="O357" i="13"/>
  <c r="N355" i="13"/>
  <c r="M354" i="13"/>
  <c r="L352" i="13"/>
  <c r="K350" i="13"/>
  <c r="O347" i="13"/>
  <c r="N345" i="13"/>
  <c r="M344" i="13"/>
  <c r="L342" i="13"/>
  <c r="K340" i="13"/>
  <c r="O337" i="13"/>
  <c r="N335" i="13"/>
  <c r="M334" i="13"/>
  <c r="L332" i="13"/>
  <c r="K330" i="13"/>
  <c r="O327" i="13"/>
  <c r="N325" i="13"/>
  <c r="M324" i="13"/>
  <c r="L322" i="13"/>
  <c r="K320" i="13"/>
  <c r="O317" i="13"/>
  <c r="N315" i="13"/>
  <c r="M314" i="13"/>
  <c r="L312" i="13"/>
  <c r="K310" i="13"/>
  <c r="O307" i="13"/>
  <c r="N305" i="13"/>
  <c r="M304" i="13"/>
  <c r="L302" i="13"/>
  <c r="K300" i="13"/>
  <c r="O297" i="13"/>
  <c r="N295" i="13"/>
  <c r="M294" i="13"/>
  <c r="L292" i="13"/>
  <c r="K290" i="13"/>
  <c r="O287" i="13"/>
  <c r="N285" i="13"/>
  <c r="M284" i="13"/>
  <c r="L283" i="13"/>
  <c r="O281" i="13"/>
  <c r="K280" i="13"/>
  <c r="K277" i="13"/>
  <c r="O264" i="13"/>
  <c r="L260" i="13"/>
  <c r="L256" i="13"/>
  <c r="K254" i="13"/>
  <c r="L252" i="13"/>
  <c r="O249" i="13"/>
  <c r="L247" i="13"/>
  <c r="L235" i="13"/>
  <c r="N228" i="13"/>
  <c r="K214" i="13"/>
  <c r="M207" i="13"/>
  <c r="K198" i="13"/>
  <c r="L172" i="13"/>
  <c r="L154" i="13"/>
  <c r="N123" i="13"/>
  <c r="O368" i="13"/>
  <c r="N366" i="13"/>
  <c r="M365" i="13"/>
  <c r="L363" i="13"/>
  <c r="K361" i="13"/>
  <c r="O358" i="13"/>
  <c r="N356" i="13"/>
  <c r="M355" i="13"/>
  <c r="L353" i="13"/>
  <c r="K351" i="13"/>
  <c r="O348" i="13"/>
  <c r="N346" i="13"/>
  <c r="M345" i="13"/>
  <c r="L343" i="13"/>
  <c r="K341" i="13"/>
  <c r="O338" i="13"/>
  <c r="N336" i="13"/>
  <c r="M335" i="13"/>
  <c r="L333" i="13"/>
  <c r="K331" i="13"/>
  <c r="O328" i="13"/>
  <c r="N326" i="13"/>
  <c r="M325" i="13"/>
  <c r="L323" i="13"/>
  <c r="K321" i="13"/>
  <c r="O318" i="13"/>
  <c r="N316" i="13"/>
  <c r="M315" i="13"/>
  <c r="L313" i="13"/>
  <c r="K311" i="13"/>
  <c r="O308" i="13"/>
  <c r="N306" i="13"/>
  <c r="M305" i="13"/>
  <c r="L303" i="13"/>
  <c r="K301" i="13"/>
  <c r="O298" i="13"/>
  <c r="N296" i="13"/>
  <c r="M295" i="13"/>
  <c r="L293" i="13"/>
  <c r="K291" i="13"/>
  <c r="O288" i="13"/>
  <c r="N286" i="13"/>
  <c r="M285" i="13"/>
  <c r="N281" i="13"/>
  <c r="M278" i="13"/>
  <c r="N276" i="13"/>
  <c r="L275" i="13"/>
  <c r="N273" i="13"/>
  <c r="K272" i="13"/>
  <c r="K270" i="13"/>
  <c r="M268" i="13"/>
  <c r="K249" i="13"/>
  <c r="L243" i="13"/>
  <c r="M239" i="13"/>
  <c r="O233" i="13"/>
  <c r="O213" i="13"/>
  <c r="O204" i="13"/>
  <c r="N184" i="13"/>
  <c r="N367" i="13"/>
  <c r="M366" i="13"/>
  <c r="L364" i="13"/>
  <c r="K362" i="13"/>
  <c r="O359" i="13"/>
  <c r="N357" i="13"/>
  <c r="M356" i="13"/>
  <c r="L354" i="13"/>
  <c r="K352" i="13"/>
  <c r="O349" i="13"/>
  <c r="N347" i="13"/>
  <c r="M346" i="13"/>
  <c r="L344" i="13"/>
  <c r="K342" i="13"/>
  <c r="O339" i="13"/>
  <c r="N337" i="13"/>
  <c r="M336" i="13"/>
  <c r="L334" i="13"/>
  <c r="K332" i="13"/>
  <c r="O329" i="13"/>
  <c r="N327" i="13"/>
  <c r="M326" i="13"/>
  <c r="L324" i="13"/>
  <c r="K322" i="13"/>
  <c r="O319" i="13"/>
  <c r="N317" i="13"/>
  <c r="M316" i="13"/>
  <c r="L314" i="13"/>
  <c r="K312" i="13"/>
  <c r="O309" i="13"/>
  <c r="N307" i="13"/>
  <c r="M306" i="13"/>
  <c r="L304" i="13"/>
  <c r="K302" i="13"/>
  <c r="O299" i="13"/>
  <c r="N297" i="13"/>
  <c r="M296" i="13"/>
  <c r="L294" i="13"/>
  <c r="K292" i="13"/>
  <c r="O289" i="13"/>
  <c r="N287" i="13"/>
  <c r="M286" i="13"/>
  <c r="L284" i="13"/>
  <c r="K283" i="13"/>
  <c r="M281" i="13"/>
  <c r="O279" i="13"/>
  <c r="L266" i="13"/>
  <c r="K264" i="13"/>
  <c r="L262" i="13"/>
  <c r="K260" i="13"/>
  <c r="O257" i="13"/>
  <c r="K256" i="13"/>
  <c r="O253" i="13"/>
  <c r="K239" i="13"/>
  <c r="L228" i="13"/>
  <c r="L220" i="13"/>
  <c r="N204" i="13"/>
  <c r="M197" i="13"/>
  <c r="M184" i="13"/>
  <c r="L171" i="13"/>
  <c r="O145" i="13"/>
  <c r="L107" i="13"/>
  <c r="O106" i="13"/>
  <c r="O121" i="13"/>
  <c r="N104" i="13"/>
  <c r="N282" i="13"/>
  <c r="M280" i="13"/>
  <c r="L278" i="13"/>
  <c r="K276" i="13"/>
  <c r="O273" i="13"/>
  <c r="N272" i="13"/>
  <c r="M270" i="13"/>
  <c r="L268" i="13"/>
  <c r="N264" i="13"/>
  <c r="N259" i="13"/>
  <c r="N254" i="13"/>
  <c r="N249" i="13"/>
  <c r="L237" i="13"/>
  <c r="O230" i="13"/>
  <c r="M225" i="13"/>
  <c r="N222" i="13"/>
  <c r="O219" i="13"/>
  <c r="O216" i="13"/>
  <c r="N213" i="13"/>
  <c r="M210" i="13"/>
  <c r="K204" i="13"/>
  <c r="O200" i="13"/>
  <c r="L188" i="13"/>
  <c r="M183" i="13"/>
  <c r="K171" i="13"/>
  <c r="K154" i="13"/>
  <c r="M271" i="13"/>
  <c r="L269" i="13"/>
  <c r="K267" i="13"/>
  <c r="O265" i="13"/>
  <c r="L263" i="13"/>
  <c r="K262" i="13"/>
  <c r="O260" i="13"/>
  <c r="L258" i="13"/>
  <c r="K257" i="13"/>
  <c r="O255" i="13"/>
  <c r="L253" i="13"/>
  <c r="K252" i="13"/>
  <c r="O250" i="13"/>
  <c r="L248" i="13"/>
  <c r="K247" i="13"/>
  <c r="O245" i="13"/>
  <c r="L244" i="13"/>
  <c r="N240" i="13"/>
  <c r="N238" i="13"/>
  <c r="K235" i="13"/>
  <c r="N232" i="13"/>
  <c r="L230" i="13"/>
  <c r="N209" i="13"/>
  <c r="M206" i="13"/>
  <c r="M203" i="13"/>
  <c r="K196" i="13"/>
  <c r="N191" i="13"/>
  <c r="K176" i="13"/>
  <c r="O168" i="13"/>
  <c r="K161" i="13"/>
  <c r="M151" i="13"/>
  <c r="K142" i="13"/>
  <c r="M117" i="13"/>
  <c r="N94" i="13"/>
  <c r="M282" i="13"/>
  <c r="L280" i="13"/>
  <c r="K278" i="13"/>
  <c r="O275" i="13"/>
  <c r="N274" i="13"/>
  <c r="M272" i="13"/>
  <c r="L270" i="13"/>
  <c r="K268" i="13"/>
  <c r="N265" i="13"/>
  <c r="N260" i="13"/>
  <c r="N255" i="13"/>
  <c r="N250" i="13"/>
  <c r="N245" i="13"/>
  <c r="O234" i="13"/>
  <c r="K230" i="13"/>
  <c r="N221" i="13"/>
  <c r="L209" i="13"/>
  <c r="K206" i="13"/>
  <c r="O195" i="13"/>
  <c r="M191" i="13"/>
  <c r="O186" i="13"/>
  <c r="L181" i="13"/>
  <c r="O159" i="13"/>
  <c r="L150" i="13"/>
  <c r="M141" i="13"/>
  <c r="M129" i="13"/>
  <c r="K93" i="13"/>
  <c r="M283" i="13"/>
  <c r="L281" i="13"/>
  <c r="K279" i="13"/>
  <c r="O276" i="13"/>
  <c r="N275" i="13"/>
  <c r="M273" i="13"/>
  <c r="L271" i="13"/>
  <c r="K269" i="13"/>
  <c r="O266" i="13"/>
  <c r="L264" i="13"/>
  <c r="K263" i="13"/>
  <c r="O261" i="13"/>
  <c r="L259" i="13"/>
  <c r="K258" i="13"/>
  <c r="O256" i="13"/>
  <c r="L254" i="13"/>
  <c r="K253" i="13"/>
  <c r="O251" i="13"/>
  <c r="L249" i="13"/>
  <c r="K248" i="13"/>
  <c r="O246" i="13"/>
  <c r="K244" i="13"/>
  <c r="K242" i="13"/>
  <c r="M238" i="13"/>
  <c r="M236" i="13"/>
  <c r="M234" i="13"/>
  <c r="M232" i="13"/>
  <c r="O229" i="13"/>
  <c r="K227" i="13"/>
  <c r="L224" i="13"/>
  <c r="N218" i="13"/>
  <c r="N215" i="13"/>
  <c r="M212" i="13"/>
  <c r="N199" i="13"/>
  <c r="L195" i="13"/>
  <c r="O190" i="13"/>
  <c r="L186" i="13"/>
  <c r="K175" i="13"/>
  <c r="N167" i="13"/>
  <c r="N159" i="13"/>
  <c r="K150" i="13"/>
  <c r="L140" i="13"/>
  <c r="O114" i="13"/>
  <c r="K86" i="13"/>
  <c r="N251" i="13"/>
  <c r="N246" i="13"/>
  <c r="O243" i="13"/>
  <c r="O241" i="13"/>
  <c r="O239" i="13"/>
  <c r="L232" i="13"/>
  <c r="M221" i="13"/>
  <c r="L215" i="13"/>
  <c r="L212" i="13"/>
  <c r="K209" i="13"/>
  <c r="O205" i="13"/>
  <c r="N202" i="13"/>
  <c r="M199" i="13"/>
  <c r="M167" i="13"/>
  <c r="K140" i="13"/>
  <c r="M243" i="13"/>
  <c r="O237" i="13"/>
  <c r="L236" i="13"/>
  <c r="K234" i="13"/>
  <c r="N231" i="13"/>
  <c r="N229" i="13"/>
  <c r="O226" i="13"/>
  <c r="K224" i="13"/>
  <c r="L221" i="13"/>
  <c r="L218" i="13"/>
  <c r="L199" i="13"/>
  <c r="O185" i="13"/>
  <c r="O180" i="13"/>
  <c r="N174" i="13"/>
  <c r="L167" i="13"/>
  <c r="M158" i="13"/>
  <c r="N127" i="13"/>
  <c r="O83" i="13"/>
  <c r="M229" i="13"/>
  <c r="K228" i="13"/>
  <c r="L225" i="13"/>
  <c r="O223" i="13"/>
  <c r="O211" i="13"/>
  <c r="L210" i="13"/>
  <c r="N208" i="13"/>
  <c r="K207" i="13"/>
  <c r="N205" i="13"/>
  <c r="O203" i="13"/>
  <c r="M202" i="13"/>
  <c r="K197" i="13"/>
  <c r="O194" i="13"/>
  <c r="N192" i="13"/>
  <c r="M190" i="13"/>
  <c r="L183" i="13"/>
  <c r="K180" i="13"/>
  <c r="L177" i="13"/>
  <c r="M166" i="13"/>
  <c r="M162" i="13"/>
  <c r="L158" i="13"/>
  <c r="M144" i="13"/>
  <c r="O138" i="13"/>
  <c r="L127" i="13"/>
  <c r="K120" i="13"/>
  <c r="M112" i="13"/>
  <c r="L104" i="13"/>
  <c r="N74" i="13"/>
  <c r="O244" i="13"/>
  <c r="N242" i="13"/>
  <c r="M240" i="13"/>
  <c r="L238" i="13"/>
  <c r="K236" i="13"/>
  <c r="K232" i="13"/>
  <c r="L229" i="13"/>
  <c r="M222" i="13"/>
  <c r="N219" i="13"/>
  <c r="K218" i="13"/>
  <c r="M216" i="13"/>
  <c r="O214" i="13"/>
  <c r="M213" i="13"/>
  <c r="N211" i="13"/>
  <c r="L205" i="13"/>
  <c r="L202" i="13"/>
  <c r="L190" i="13"/>
  <c r="K188" i="13"/>
  <c r="N185" i="13"/>
  <c r="O173" i="13"/>
  <c r="K170" i="13"/>
  <c r="L162" i="13"/>
  <c r="L157" i="13"/>
  <c r="O152" i="13"/>
  <c r="M143" i="13"/>
  <c r="M138" i="13"/>
  <c r="O132" i="13"/>
  <c r="K126" i="13"/>
  <c r="K101" i="13"/>
  <c r="N243" i="13"/>
  <c r="M241" i="13"/>
  <c r="L239" i="13"/>
  <c r="K237" i="13"/>
  <c r="O235" i="13"/>
  <c r="N234" i="13"/>
  <c r="M233" i="13"/>
  <c r="O227" i="13"/>
  <c r="M226" i="13"/>
  <c r="N223" i="13"/>
  <c r="L222" i="13"/>
  <c r="O220" i="13"/>
  <c r="M219" i="13"/>
  <c r="L216" i="13"/>
  <c r="K213" i="13"/>
  <c r="K210" i="13"/>
  <c r="L208" i="13"/>
  <c r="O206" i="13"/>
  <c r="N203" i="13"/>
  <c r="M200" i="13"/>
  <c r="N198" i="13"/>
  <c r="M196" i="13"/>
  <c r="K185" i="13"/>
  <c r="M176" i="13"/>
  <c r="O169" i="13"/>
  <c r="K166" i="13"/>
  <c r="M161" i="13"/>
  <c r="N147" i="13"/>
  <c r="L138" i="13"/>
  <c r="N131" i="13"/>
  <c r="N119" i="13"/>
  <c r="O100" i="13"/>
  <c r="M72" i="13"/>
  <c r="N244" i="13"/>
  <c r="M242" i="13"/>
  <c r="L240" i="13"/>
  <c r="K238" i="13"/>
  <c r="O236" i="13"/>
  <c r="O231" i="13"/>
  <c r="M230" i="13"/>
  <c r="K229" i="13"/>
  <c r="N227" i="13"/>
  <c r="L226" i="13"/>
  <c r="O224" i="13"/>
  <c r="K222" i="13"/>
  <c r="L219" i="13"/>
  <c r="O217" i="13"/>
  <c r="K216" i="13"/>
  <c r="N214" i="13"/>
  <c r="M211" i="13"/>
  <c r="O201" i="13"/>
  <c r="L200" i="13"/>
  <c r="L196" i="13"/>
  <c r="K194" i="13"/>
  <c r="O191" i="13"/>
  <c r="N189" i="13"/>
  <c r="M187" i="13"/>
  <c r="M182" i="13"/>
  <c r="N179" i="13"/>
  <c r="L176" i="13"/>
  <c r="M173" i="13"/>
  <c r="O156" i="13"/>
  <c r="L147" i="13"/>
  <c r="L131" i="13"/>
  <c r="N125" i="13"/>
  <c r="O109" i="13"/>
  <c r="O99" i="13"/>
  <c r="N59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L242" i="13"/>
  <c r="K240" i="13"/>
  <c r="O238" i="13"/>
  <c r="N236" i="13"/>
  <c r="L234" i="13"/>
  <c r="M227" i="13"/>
  <c r="N224" i="13"/>
  <c r="O221" i="13"/>
  <c r="M220" i="13"/>
  <c r="K219" i="13"/>
  <c r="M217" i="13"/>
  <c r="O215" i="13"/>
  <c r="N212" i="13"/>
  <c r="M209" i="13"/>
  <c r="L206" i="13"/>
  <c r="K203" i="13"/>
  <c r="K200" i="13"/>
  <c r="L189" i="13"/>
  <c r="K182" i="13"/>
  <c r="O175" i="13"/>
  <c r="N168" i="13"/>
  <c r="K160" i="13"/>
  <c r="N155" i="13"/>
  <c r="L151" i="13"/>
  <c r="N141" i="13"/>
  <c r="O129" i="13"/>
  <c r="O123" i="13"/>
  <c r="L93" i="13"/>
  <c r="O53" i="13"/>
  <c r="L178" i="13"/>
  <c r="L173" i="13"/>
  <c r="K172" i="13"/>
  <c r="O170" i="13"/>
  <c r="N169" i="13"/>
  <c r="M168" i="13"/>
  <c r="O165" i="13"/>
  <c r="N164" i="13"/>
  <c r="M163" i="13"/>
  <c r="K158" i="13"/>
  <c r="M155" i="13"/>
  <c r="O149" i="13"/>
  <c r="M148" i="13"/>
  <c r="N145" i="13"/>
  <c r="L144" i="13"/>
  <c r="O142" i="13"/>
  <c r="L141" i="13"/>
  <c r="O139" i="13"/>
  <c r="K138" i="13"/>
  <c r="N134" i="13"/>
  <c r="K129" i="13"/>
  <c r="M125" i="13"/>
  <c r="M121" i="13"/>
  <c r="M119" i="13"/>
  <c r="K117" i="13"/>
  <c r="N114" i="13"/>
  <c r="K112" i="13"/>
  <c r="N109" i="13"/>
  <c r="K104" i="13"/>
  <c r="N99" i="13"/>
  <c r="K70" i="13"/>
  <c r="M47" i="13"/>
  <c r="K199" i="13"/>
  <c r="O196" i="13"/>
  <c r="N194" i="13"/>
  <c r="M192" i="13"/>
  <c r="L191" i="13"/>
  <c r="K189" i="13"/>
  <c r="L184" i="13"/>
  <c r="K183" i="13"/>
  <c r="O181" i="13"/>
  <c r="N180" i="13"/>
  <c r="M179" i="13"/>
  <c r="K178" i="13"/>
  <c r="O176" i="13"/>
  <c r="N175" i="13"/>
  <c r="M174" i="13"/>
  <c r="L168" i="13"/>
  <c r="L163" i="13"/>
  <c r="K162" i="13"/>
  <c r="M159" i="13"/>
  <c r="N156" i="13"/>
  <c r="O153" i="13"/>
  <c r="M152" i="13"/>
  <c r="K151" i="13"/>
  <c r="N149" i="13"/>
  <c r="L148" i="13"/>
  <c r="O146" i="13"/>
  <c r="K144" i="13"/>
  <c r="N130" i="13"/>
  <c r="K125" i="13"/>
  <c r="M123" i="13"/>
  <c r="K121" i="13"/>
  <c r="O108" i="13"/>
  <c r="L106" i="13"/>
  <c r="K103" i="13"/>
  <c r="L81" i="13"/>
  <c r="N45" i="13"/>
  <c r="O197" i="13"/>
  <c r="N195" i="13"/>
  <c r="M193" i="13"/>
  <c r="L192" i="13"/>
  <c r="K190" i="13"/>
  <c r="O187" i="13"/>
  <c r="N186" i="13"/>
  <c r="M185" i="13"/>
  <c r="L174" i="13"/>
  <c r="K173" i="13"/>
  <c r="O171" i="13"/>
  <c r="N170" i="13"/>
  <c r="M169" i="13"/>
  <c r="K168" i="13"/>
  <c r="O166" i="13"/>
  <c r="N165" i="13"/>
  <c r="M164" i="13"/>
  <c r="N160" i="13"/>
  <c r="O157" i="13"/>
  <c r="K155" i="13"/>
  <c r="N153" i="13"/>
  <c r="L152" i="13"/>
  <c r="K148" i="13"/>
  <c r="M145" i="13"/>
  <c r="K141" i="13"/>
  <c r="M139" i="13"/>
  <c r="O137" i="13"/>
  <c r="K136" i="13"/>
  <c r="L134" i="13"/>
  <c r="M132" i="13"/>
  <c r="O126" i="13"/>
  <c r="K123" i="13"/>
  <c r="O118" i="13"/>
  <c r="M116" i="13"/>
  <c r="O113" i="13"/>
  <c r="M111" i="13"/>
  <c r="K106" i="13"/>
  <c r="O102" i="13"/>
  <c r="O97" i="13"/>
  <c r="O89" i="13"/>
  <c r="M79" i="13"/>
  <c r="O67" i="13"/>
  <c r="L233" i="13"/>
  <c r="K231" i="13"/>
  <c r="O228" i="13"/>
  <c r="N226" i="13"/>
  <c r="M224" i="13"/>
  <c r="L223" i="13"/>
  <c r="K221" i="13"/>
  <c r="O218" i="13"/>
  <c r="N216" i="13"/>
  <c r="M214" i="13"/>
  <c r="L213" i="13"/>
  <c r="K211" i="13"/>
  <c r="O208" i="13"/>
  <c r="N206" i="13"/>
  <c r="M204" i="13"/>
  <c r="L203" i="13"/>
  <c r="K201" i="13"/>
  <c r="O198" i="13"/>
  <c r="N196" i="13"/>
  <c r="M194" i="13"/>
  <c r="L193" i="13"/>
  <c r="K191" i="13"/>
  <c r="O188" i="13"/>
  <c r="L185" i="13"/>
  <c r="K184" i="13"/>
  <c r="O182" i="13"/>
  <c r="N181" i="13"/>
  <c r="L180" i="13"/>
  <c r="K179" i="13"/>
  <c r="O177" i="13"/>
  <c r="N176" i="13"/>
  <c r="M175" i="13"/>
  <c r="L164" i="13"/>
  <c r="K163" i="13"/>
  <c r="O161" i="13"/>
  <c r="K159" i="13"/>
  <c r="L156" i="13"/>
  <c r="M149" i="13"/>
  <c r="N146" i="13"/>
  <c r="O143" i="13"/>
  <c r="M142" i="13"/>
  <c r="O135" i="13"/>
  <c r="L132" i="13"/>
  <c r="L130" i="13"/>
  <c r="M128" i="13"/>
  <c r="O120" i="13"/>
  <c r="N118" i="13"/>
  <c r="K116" i="13"/>
  <c r="N113" i="13"/>
  <c r="K111" i="13"/>
  <c r="N105" i="13"/>
  <c r="M102" i="13"/>
  <c r="K79" i="13"/>
  <c r="N38" i="13"/>
  <c r="N217" i="13"/>
  <c r="M215" i="13"/>
  <c r="L214" i="13"/>
  <c r="K212" i="13"/>
  <c r="O209" i="13"/>
  <c r="N207" i="13"/>
  <c r="M205" i="13"/>
  <c r="L204" i="13"/>
  <c r="K202" i="13"/>
  <c r="O199" i="13"/>
  <c r="N197" i="13"/>
  <c r="M195" i="13"/>
  <c r="L194" i="13"/>
  <c r="K192" i="13"/>
  <c r="O189" i="13"/>
  <c r="N187" i="13"/>
  <c r="M186" i="13"/>
  <c r="M181" i="13"/>
  <c r="L175" i="13"/>
  <c r="K174" i="13"/>
  <c r="O172" i="13"/>
  <c r="N171" i="13"/>
  <c r="L170" i="13"/>
  <c r="K169" i="13"/>
  <c r="O167" i="13"/>
  <c r="N166" i="13"/>
  <c r="M165" i="13"/>
  <c r="L160" i="13"/>
  <c r="N157" i="13"/>
  <c r="M153" i="13"/>
  <c r="K152" i="13"/>
  <c r="N150" i="13"/>
  <c r="O147" i="13"/>
  <c r="K145" i="13"/>
  <c r="N143" i="13"/>
  <c r="L142" i="13"/>
  <c r="N140" i="13"/>
  <c r="K139" i="13"/>
  <c r="N137" i="13"/>
  <c r="O133" i="13"/>
  <c r="K132" i="13"/>
  <c r="L128" i="13"/>
  <c r="N124" i="13"/>
  <c r="N122" i="13"/>
  <c r="N120" i="13"/>
  <c r="M108" i="13"/>
  <c r="M96" i="13"/>
  <c r="L88" i="13"/>
  <c r="M171" i="13"/>
  <c r="L165" i="13"/>
  <c r="K164" i="13"/>
  <c r="O162" i="13"/>
  <c r="N161" i="13"/>
  <c r="O158" i="13"/>
  <c r="M157" i="13"/>
  <c r="K156" i="13"/>
  <c r="N154" i="13"/>
  <c r="L153" i="13"/>
  <c r="O151" i="13"/>
  <c r="K149" i="13"/>
  <c r="L146" i="13"/>
  <c r="L137" i="13"/>
  <c r="N135" i="13"/>
  <c r="N133" i="13"/>
  <c r="K130" i="13"/>
  <c r="K128" i="13"/>
  <c r="M122" i="13"/>
  <c r="M118" i="13"/>
  <c r="O115" i="13"/>
  <c r="M113" i="13"/>
  <c r="O110" i="13"/>
  <c r="M105" i="13"/>
  <c r="K88" i="13"/>
  <c r="N76" i="13"/>
  <c r="O63" i="13"/>
  <c r="O30" i="13"/>
  <c r="O22" i="13"/>
  <c r="O232" i="13"/>
  <c r="N230" i="13"/>
  <c r="M228" i="13"/>
  <c r="L227" i="13"/>
  <c r="K225" i="13"/>
  <c r="O222" i="13"/>
  <c r="N220" i="13"/>
  <c r="M218" i="13"/>
  <c r="L217" i="13"/>
  <c r="K215" i="13"/>
  <c r="O212" i="13"/>
  <c r="N210" i="13"/>
  <c r="M208" i="13"/>
  <c r="L207" i="13"/>
  <c r="K205" i="13"/>
  <c r="O202" i="13"/>
  <c r="N200" i="13"/>
  <c r="M198" i="13"/>
  <c r="L197" i="13"/>
  <c r="K195" i="13"/>
  <c r="O192" i="13"/>
  <c r="N190" i="13"/>
  <c r="M188" i="13"/>
  <c r="L187" i="13"/>
  <c r="K186" i="13"/>
  <c r="L182" i="13"/>
  <c r="K181" i="13"/>
  <c r="O179" i="13"/>
  <c r="N178" i="13"/>
  <c r="M177" i="13"/>
  <c r="N173" i="13"/>
  <c r="M172" i="13"/>
  <c r="L166" i="13"/>
  <c r="K165" i="13"/>
  <c r="O163" i="13"/>
  <c r="L161" i="13"/>
  <c r="M154" i="13"/>
  <c r="N151" i="13"/>
  <c r="O148" i="13"/>
  <c r="M147" i="13"/>
  <c r="K146" i="13"/>
  <c r="N144" i="13"/>
  <c r="L143" i="13"/>
  <c r="K135" i="13"/>
  <c r="M133" i="13"/>
  <c r="M131" i="13"/>
  <c r="O127" i="13"/>
  <c r="O125" i="13"/>
  <c r="K122" i="13"/>
  <c r="O119" i="13"/>
  <c r="N117" i="13"/>
  <c r="K115" i="13"/>
  <c r="N112" i="13"/>
  <c r="K110" i="13"/>
  <c r="M107" i="13"/>
  <c r="M19" i="13"/>
  <c r="K99" i="13"/>
  <c r="N97" i="13"/>
  <c r="L96" i="13"/>
  <c r="M94" i="13"/>
  <c r="L91" i="13"/>
  <c r="N85" i="13"/>
  <c r="K81" i="13"/>
  <c r="M76" i="13"/>
  <c r="M74" i="13"/>
  <c r="O71" i="13"/>
  <c r="O66" i="13"/>
  <c r="M59" i="13"/>
  <c r="N28" i="13"/>
  <c r="N136" i="13"/>
  <c r="M134" i="13"/>
  <c r="L133" i="13"/>
  <c r="K131" i="13"/>
  <c r="O128" i="13"/>
  <c r="N126" i="13"/>
  <c r="M124" i="13"/>
  <c r="N106" i="13"/>
  <c r="L102" i="13"/>
  <c r="O92" i="13"/>
  <c r="K91" i="13"/>
  <c r="M89" i="13"/>
  <c r="M87" i="13"/>
  <c r="O80" i="13"/>
  <c r="O78" i="13"/>
  <c r="L74" i="13"/>
  <c r="N69" i="13"/>
  <c r="N66" i="13"/>
  <c r="K63" i="13"/>
  <c r="O57" i="13"/>
  <c r="L45" i="13"/>
  <c r="K118" i="13"/>
  <c r="O116" i="13"/>
  <c r="N115" i="13"/>
  <c r="M114" i="13"/>
  <c r="K113" i="13"/>
  <c r="O111" i="13"/>
  <c r="N110" i="13"/>
  <c r="M109" i="13"/>
  <c r="O107" i="13"/>
  <c r="L105" i="13"/>
  <c r="K102" i="13"/>
  <c r="N100" i="13"/>
  <c r="O98" i="13"/>
  <c r="M97" i="13"/>
  <c r="N95" i="13"/>
  <c r="L94" i="13"/>
  <c r="M92" i="13"/>
  <c r="O82" i="13"/>
  <c r="L76" i="13"/>
  <c r="K74" i="13"/>
  <c r="N71" i="13"/>
  <c r="M66" i="13"/>
  <c r="O51" i="13"/>
  <c r="M43" i="13"/>
  <c r="M36" i="13"/>
  <c r="M28" i="13"/>
  <c r="O160" i="13"/>
  <c r="N158" i="13"/>
  <c r="M156" i="13"/>
  <c r="L155" i="13"/>
  <c r="K153" i="13"/>
  <c r="O150" i="13"/>
  <c r="N148" i="13"/>
  <c r="M146" i="13"/>
  <c r="L145" i="13"/>
  <c r="K143" i="13"/>
  <c r="O140" i="13"/>
  <c r="N138" i="13"/>
  <c r="M136" i="13"/>
  <c r="L135" i="13"/>
  <c r="K133" i="13"/>
  <c r="O130" i="13"/>
  <c r="N128" i="13"/>
  <c r="M126" i="13"/>
  <c r="L125" i="13"/>
  <c r="K109" i="13"/>
  <c r="M106" i="13"/>
  <c r="K105" i="13"/>
  <c r="M103" i="13"/>
  <c r="L100" i="13"/>
  <c r="K94" i="13"/>
  <c r="O90" i="13"/>
  <c r="O88" i="13"/>
  <c r="L87" i="13"/>
  <c r="L85" i="13"/>
  <c r="N80" i="13"/>
  <c r="K76" i="13"/>
  <c r="M73" i="13"/>
  <c r="M69" i="13"/>
  <c r="M57" i="13"/>
  <c r="K50" i="13"/>
  <c r="K43" i="13"/>
  <c r="L26" i="13"/>
  <c r="O141" i="13"/>
  <c r="N139" i="13"/>
  <c r="M137" i="13"/>
  <c r="L136" i="13"/>
  <c r="K134" i="13"/>
  <c r="O131" i="13"/>
  <c r="N129" i="13"/>
  <c r="M127" i="13"/>
  <c r="L126" i="13"/>
  <c r="K124" i="13"/>
  <c r="O122" i="13"/>
  <c r="N121" i="13"/>
  <c r="M120" i="13"/>
  <c r="K119" i="13"/>
  <c r="O117" i="13"/>
  <c r="N116" i="13"/>
  <c r="M115" i="13"/>
  <c r="K114" i="13"/>
  <c r="O112" i="13"/>
  <c r="N111" i="13"/>
  <c r="M110" i="13"/>
  <c r="N107" i="13"/>
  <c r="O101" i="13"/>
  <c r="K100" i="13"/>
  <c r="N98" i="13"/>
  <c r="O96" i="13"/>
  <c r="M95" i="13"/>
  <c r="L92" i="13"/>
  <c r="M82" i="13"/>
  <c r="O77" i="13"/>
  <c r="L71" i="13"/>
  <c r="L66" i="13"/>
  <c r="N61" i="13"/>
  <c r="K56" i="13"/>
  <c r="L34" i="13"/>
  <c r="M14" i="13"/>
  <c r="L103" i="13"/>
  <c r="K92" i="13"/>
  <c r="O86" i="13"/>
  <c r="M84" i="13"/>
  <c r="N75" i="13"/>
  <c r="K73" i="13"/>
  <c r="K71" i="13"/>
  <c r="M68" i="13"/>
  <c r="N49" i="13"/>
  <c r="L41" i="13"/>
  <c r="K34" i="13"/>
  <c r="M98" i="13"/>
  <c r="N96" i="13"/>
  <c r="L95" i="13"/>
  <c r="M93" i="13"/>
  <c r="K90" i="13"/>
  <c r="M88" i="13"/>
  <c r="L84" i="13"/>
  <c r="L82" i="13"/>
  <c r="N79" i="13"/>
  <c r="K75" i="13"/>
  <c r="O70" i="13"/>
  <c r="L61" i="13"/>
  <c r="N55" i="13"/>
  <c r="O47" i="13"/>
  <c r="O40" i="13"/>
  <c r="K23" i="13"/>
  <c r="M9" i="13"/>
  <c r="K187" i="13"/>
  <c r="O184" i="13"/>
  <c r="N182" i="13"/>
  <c r="M180" i="13"/>
  <c r="L179" i="13"/>
  <c r="K177" i="13"/>
  <c r="O174" i="13"/>
  <c r="N172" i="13"/>
  <c r="M170" i="13"/>
  <c r="L169" i="13"/>
  <c r="K167" i="13"/>
  <c r="O164" i="13"/>
  <c r="N162" i="13"/>
  <c r="M160" i="13"/>
  <c r="L159" i="13"/>
  <c r="K157" i="13"/>
  <c r="O154" i="13"/>
  <c r="N152" i="13"/>
  <c r="M150" i="13"/>
  <c r="L149" i="13"/>
  <c r="K147" i="13"/>
  <c r="O144" i="13"/>
  <c r="N142" i="13"/>
  <c r="M140" i="13"/>
  <c r="L139" i="13"/>
  <c r="K137" i="13"/>
  <c r="O134" i="13"/>
  <c r="N132" i="13"/>
  <c r="M130" i="13"/>
  <c r="L129" i="13"/>
  <c r="K127" i="13"/>
  <c r="O124" i="13"/>
  <c r="N108" i="13"/>
  <c r="M104" i="13"/>
  <c r="L101" i="13"/>
  <c r="K95" i="13"/>
  <c r="O91" i="13"/>
  <c r="L86" i="13"/>
  <c r="K84" i="13"/>
  <c r="M77" i="13"/>
  <c r="O72" i="13"/>
  <c r="L70" i="13"/>
  <c r="N64" i="13"/>
  <c r="L60" i="13"/>
  <c r="K54" i="13"/>
  <c r="O103" i="13"/>
  <c r="N101" i="13"/>
  <c r="M99" i="13"/>
  <c r="L97" i="13"/>
  <c r="K96" i="13"/>
  <c r="O93" i="13"/>
  <c r="N91" i="13"/>
  <c r="M90" i="13"/>
  <c r="L89" i="13"/>
  <c r="N86" i="13"/>
  <c r="K85" i="13"/>
  <c r="M83" i="13"/>
  <c r="O81" i="13"/>
  <c r="L80" i="13"/>
  <c r="N78" i="13"/>
  <c r="L77" i="13"/>
  <c r="K69" i="13"/>
  <c r="K66" i="13"/>
  <c r="M64" i="13"/>
  <c r="O62" i="13"/>
  <c r="O60" i="13"/>
  <c r="K59" i="13"/>
  <c r="K45" i="13"/>
  <c r="O42" i="13"/>
  <c r="N40" i="13"/>
  <c r="M38" i="13"/>
  <c r="L36" i="13"/>
  <c r="L25" i="13"/>
  <c r="L18" i="13"/>
  <c r="L8" i="13"/>
  <c r="L108" i="13"/>
  <c r="K107" i="13"/>
  <c r="O104" i="13"/>
  <c r="N102" i="13"/>
  <c r="M100" i="13"/>
  <c r="L98" i="13"/>
  <c r="K97" i="13"/>
  <c r="O94" i="13"/>
  <c r="N92" i="13"/>
  <c r="K89" i="13"/>
  <c r="O87" i="13"/>
  <c r="M86" i="13"/>
  <c r="K80" i="13"/>
  <c r="O76" i="13"/>
  <c r="O73" i="13"/>
  <c r="L72" i="13"/>
  <c r="N70" i="13"/>
  <c r="M67" i="13"/>
  <c r="L64" i="13"/>
  <c r="L57" i="13"/>
  <c r="L55" i="13"/>
  <c r="M53" i="13"/>
  <c r="K49" i="13"/>
  <c r="O46" i="13"/>
  <c r="N44" i="13"/>
  <c r="M42" i="13"/>
  <c r="L40" i="13"/>
  <c r="K33" i="13"/>
  <c r="N30" i="13"/>
  <c r="K25" i="13"/>
  <c r="O21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K108" i="13"/>
  <c r="O105" i="13"/>
  <c r="N103" i="13"/>
  <c r="M101" i="13"/>
  <c r="L99" i="13"/>
  <c r="K98" i="13"/>
  <c r="O95" i="13"/>
  <c r="N93" i="13"/>
  <c r="M91" i="13"/>
  <c r="L90" i="13"/>
  <c r="N84" i="13"/>
  <c r="K83" i="13"/>
  <c r="N81" i="13"/>
  <c r="M78" i="13"/>
  <c r="L75" i="13"/>
  <c r="O68" i="13"/>
  <c r="N65" i="13"/>
  <c r="K64" i="13"/>
  <c r="M62" i="13"/>
  <c r="N60" i="13"/>
  <c r="N58" i="13"/>
  <c r="O56" i="13"/>
  <c r="K55" i="13"/>
  <c r="K53" i="13"/>
  <c r="L51" i="13"/>
  <c r="K40" i="13"/>
  <c r="O37" i="13"/>
  <c r="N35" i="13"/>
  <c r="L30" i="13"/>
  <c r="M27" i="13"/>
  <c r="N24" i="13"/>
  <c r="L13" i="13"/>
  <c r="O6" i="13"/>
  <c r="N68" i="13"/>
  <c r="L67" i="13"/>
  <c r="O50" i="13"/>
  <c r="N48" i="13"/>
  <c r="M46" i="13"/>
  <c r="L44" i="13"/>
  <c r="O32" i="13"/>
  <c r="L24" i="13"/>
  <c r="O16" i="13"/>
  <c r="M58" i="13"/>
  <c r="M56" i="13"/>
  <c r="N54" i="13"/>
  <c r="O52" i="13"/>
  <c r="K44" i="13"/>
  <c r="O41" i="13"/>
  <c r="N39" i="13"/>
  <c r="M37" i="13"/>
  <c r="L35" i="13"/>
  <c r="M32" i="13"/>
  <c r="N29" i="13"/>
  <c r="O26" i="13"/>
  <c r="K24" i="13"/>
  <c r="N20" i="13"/>
  <c r="O11" i="13"/>
  <c r="N5" i="13"/>
  <c r="L65" i="13"/>
  <c r="O61" i="13"/>
  <c r="K60" i="13"/>
  <c r="N50" i="13"/>
  <c r="M48" i="13"/>
  <c r="L46" i="13"/>
  <c r="K35" i="13"/>
  <c r="M26" i="13"/>
  <c r="K65" i="13"/>
  <c r="M63" i="13"/>
  <c r="L56" i="13"/>
  <c r="L54" i="13"/>
  <c r="M52" i="13"/>
  <c r="L50" i="13"/>
  <c r="K39" i="13"/>
  <c r="O36" i="13"/>
  <c r="N34" i="13"/>
  <c r="O31" i="13"/>
  <c r="K29" i="13"/>
  <c r="N15" i="13"/>
  <c r="N10" i="13"/>
  <c r="M4" i="13"/>
  <c r="N51" i="13"/>
  <c r="M49" i="13"/>
  <c r="L47" i="13"/>
  <c r="K46" i="13"/>
  <c r="O43" i="13"/>
  <c r="N41" i="13"/>
  <c r="M39" i="13"/>
  <c r="L37" i="13"/>
  <c r="K36" i="13"/>
  <c r="O33" i="13"/>
  <c r="N31" i="13"/>
  <c r="M29" i="13"/>
  <c r="L27" i="13"/>
  <c r="K26" i="13"/>
  <c r="O23" i="13"/>
  <c r="N21" i="13"/>
  <c r="M20" i="13"/>
  <c r="L19" i="13"/>
  <c r="O17" i="13"/>
  <c r="N16" i="13"/>
  <c r="M15" i="13"/>
  <c r="L14" i="13"/>
  <c r="O12" i="13"/>
  <c r="N11" i="13"/>
  <c r="M10" i="13"/>
  <c r="L9" i="13"/>
  <c r="O7" i="13"/>
  <c r="N6" i="13"/>
  <c r="M5" i="13"/>
  <c r="L4" i="13"/>
  <c r="K87" i="13"/>
  <c r="O84" i="13"/>
  <c r="N82" i="13"/>
  <c r="M80" i="13"/>
  <c r="L78" i="13"/>
  <c r="K77" i="13"/>
  <c r="O74" i="13"/>
  <c r="N72" i="13"/>
  <c r="M70" i="13"/>
  <c r="L68" i="13"/>
  <c r="K67" i="13"/>
  <c r="O64" i="13"/>
  <c r="N62" i="13"/>
  <c r="M60" i="13"/>
  <c r="L58" i="13"/>
  <c r="K57" i="13"/>
  <c r="O54" i="13"/>
  <c r="N52" i="13"/>
  <c r="M50" i="13"/>
  <c r="L48" i="13"/>
  <c r="K47" i="13"/>
  <c r="O44" i="13"/>
  <c r="N42" i="13"/>
  <c r="M40" i="13"/>
  <c r="L38" i="13"/>
  <c r="K37" i="13"/>
  <c r="O34" i="13"/>
  <c r="N32" i="13"/>
  <c r="M30" i="13"/>
  <c r="L28" i="13"/>
  <c r="K27" i="13"/>
  <c r="O24" i="13"/>
  <c r="N22" i="13"/>
  <c r="O85" i="13"/>
  <c r="N83" i="13"/>
  <c r="M81" i="13"/>
  <c r="L79" i="13"/>
  <c r="K78" i="13"/>
  <c r="O75" i="13"/>
  <c r="N73" i="13"/>
  <c r="M71" i="13"/>
  <c r="L69" i="13"/>
  <c r="K68" i="13"/>
  <c r="O65" i="13"/>
  <c r="N63" i="13"/>
  <c r="M61" i="13"/>
  <c r="L59" i="13"/>
  <c r="K58" i="13"/>
  <c r="O55" i="13"/>
  <c r="N53" i="13"/>
  <c r="M51" i="13"/>
  <c r="L49" i="13"/>
  <c r="K48" i="13"/>
  <c r="O45" i="13"/>
  <c r="N43" i="13"/>
  <c r="M41" i="13"/>
  <c r="L39" i="13"/>
  <c r="K38" i="13"/>
  <c r="O35" i="13"/>
  <c r="N33" i="13"/>
  <c r="M31" i="13"/>
  <c r="L29" i="13"/>
  <c r="K28" i="13"/>
  <c r="O25" i="13"/>
  <c r="N23" i="13"/>
  <c r="M21" i="13"/>
  <c r="L20" i="13"/>
  <c r="O18" i="13"/>
  <c r="N17" i="13"/>
  <c r="M16" i="13"/>
  <c r="L15" i="13"/>
  <c r="O13" i="13"/>
  <c r="N12" i="13"/>
  <c r="M11" i="13"/>
  <c r="L10" i="13"/>
  <c r="O8" i="13"/>
  <c r="N7" i="13"/>
  <c r="M6" i="13"/>
  <c r="L5" i="13"/>
  <c r="O3" i="13"/>
  <c r="M22" i="13"/>
  <c r="M33" i="13"/>
  <c r="L31" i="13"/>
  <c r="K30" i="13"/>
  <c r="O27" i="13"/>
  <c r="N25" i="13"/>
  <c r="M23" i="13"/>
  <c r="L21" i="13"/>
  <c r="O19" i="13"/>
  <c r="N18" i="13"/>
  <c r="M17" i="13"/>
  <c r="L16" i="13"/>
  <c r="O14" i="13"/>
  <c r="N13" i="13"/>
  <c r="M12" i="13"/>
  <c r="L11" i="13"/>
  <c r="O9" i="13"/>
  <c r="N8" i="13"/>
  <c r="M7" i="13"/>
  <c r="L6" i="13"/>
  <c r="O4" i="13"/>
  <c r="N3" i="13"/>
  <c r="L62" i="13"/>
  <c r="K61" i="13"/>
  <c r="O58" i="13"/>
  <c r="N56" i="13"/>
  <c r="M54" i="13"/>
  <c r="L52" i="13"/>
  <c r="K51" i="13"/>
  <c r="O48" i="13"/>
  <c r="N46" i="13"/>
  <c r="M44" i="13"/>
  <c r="L42" i="13"/>
  <c r="K41" i="13"/>
  <c r="O38" i="13"/>
  <c r="N36" i="13"/>
  <c r="M34" i="13"/>
  <c r="L32" i="13"/>
  <c r="K31" i="13"/>
  <c r="O28" i="13"/>
  <c r="N26" i="13"/>
  <c r="M24" i="13"/>
  <c r="L22" i="13"/>
  <c r="N90" i="13"/>
  <c r="N89" i="13"/>
  <c r="N88" i="13"/>
  <c r="N87" i="13"/>
  <c r="M85" i="13"/>
  <c r="L83" i="13"/>
  <c r="K82" i="13"/>
  <c r="O79" i="13"/>
  <c r="N77" i="13"/>
  <c r="M75" i="13"/>
  <c r="L73" i="13"/>
  <c r="K72" i="13"/>
  <c r="O69" i="13"/>
  <c r="N67" i="13"/>
  <c r="M65" i="13"/>
  <c r="L63" i="13"/>
  <c r="K62" i="13"/>
  <c r="O59" i="13"/>
  <c r="N57" i="13"/>
  <c r="M55" i="13"/>
  <c r="L53" i="13"/>
  <c r="K52" i="13"/>
  <c r="O49" i="13"/>
  <c r="N47" i="13"/>
  <c r="M45" i="13"/>
  <c r="L43" i="13"/>
  <c r="K42" i="13"/>
  <c r="O39" i="13"/>
  <c r="N37" i="13"/>
  <c r="M35" i="13"/>
  <c r="L33" i="13"/>
  <c r="K32" i="13"/>
  <c r="O29" i="13"/>
  <c r="N27" i="13"/>
  <c r="M25" i="13"/>
  <c r="L23" i="13"/>
  <c r="K22" i="13"/>
  <c r="O20" i="13"/>
  <c r="N19" i="13"/>
  <c r="M18" i="13"/>
  <c r="L17" i="13"/>
  <c r="O15" i="13"/>
  <c r="N14" i="13"/>
  <c r="M13" i="13"/>
  <c r="L12" i="13"/>
  <c r="O10" i="13"/>
  <c r="N9" i="13"/>
  <c r="M8" i="13"/>
  <c r="L7" i="13"/>
  <c r="O5" i="13"/>
  <c r="N4" i="13"/>
  <c r="L3" i="13"/>
  <c r="M3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O2" i="13"/>
  <c r="N2" i="13"/>
  <c r="M2" i="13"/>
  <c r="L2" i="13"/>
  <c r="K2" i="13"/>
  <c r="B73" i="11"/>
  <c r="A73" i="11"/>
  <c r="A72" i="11"/>
  <c r="C73" i="11"/>
  <c r="D72" i="11"/>
  <c r="C72" i="11"/>
  <c r="J74" i="11"/>
  <c r="B35" i="11"/>
  <c r="D27" i="11"/>
  <c r="B65" i="11"/>
  <c r="D57" i="11"/>
  <c r="A19" i="11"/>
  <c r="D17" i="11"/>
  <c r="C51" i="11"/>
  <c r="A49" i="11"/>
  <c r="B55" i="11"/>
  <c r="D47" i="11"/>
  <c r="A59" i="11"/>
  <c r="C41" i="11"/>
  <c r="A39" i="11"/>
  <c r="C31" i="11"/>
  <c r="C71" i="11"/>
  <c r="B25" i="11"/>
  <c r="A69" i="11"/>
  <c r="C61" i="11"/>
  <c r="B15" i="11"/>
  <c r="B45" i="11"/>
  <c r="D37" i="11"/>
  <c r="D67" i="11"/>
  <c r="A29" i="11"/>
  <c r="C21" i="11"/>
  <c r="A9" i="11"/>
  <c r="D70" i="11"/>
  <c r="C34" i="11"/>
  <c r="C68" i="11"/>
  <c r="A66" i="11"/>
  <c r="D64" i="11"/>
  <c r="B62" i="11"/>
  <c r="C58" i="11"/>
  <c r="A56" i="11"/>
  <c r="D54" i="11"/>
  <c r="B52" i="11"/>
  <c r="C48" i="11"/>
  <c r="A46" i="11"/>
  <c r="D44" i="11"/>
  <c r="B42" i="11"/>
  <c r="C38" i="11"/>
  <c r="A36" i="11"/>
  <c r="D34" i="11"/>
  <c r="B32" i="11"/>
  <c r="C28" i="11"/>
  <c r="A26" i="11"/>
  <c r="D24" i="11"/>
  <c r="B22" i="11"/>
  <c r="C18" i="11"/>
  <c r="A16" i="11"/>
  <c r="D14" i="11"/>
  <c r="B12" i="11"/>
  <c r="C8" i="11"/>
  <c r="A6" i="11"/>
  <c r="D4" i="11"/>
  <c r="A32" i="11"/>
  <c r="B28" i="11"/>
  <c r="C24" i="11"/>
  <c r="A22" i="11"/>
  <c r="D20" i="11"/>
  <c r="B18" i="11"/>
  <c r="C14" i="11"/>
  <c r="A12" i="11"/>
  <c r="D10" i="11"/>
  <c r="B8" i="11"/>
  <c r="C4" i="11"/>
  <c r="D30" i="11"/>
  <c r="A65" i="11"/>
  <c r="D63" i="11"/>
  <c r="B61" i="11"/>
  <c r="C57" i="11"/>
  <c r="A55" i="11"/>
  <c r="D53" i="11"/>
  <c r="B51" i="11"/>
  <c r="C47" i="11"/>
  <c r="A45" i="11"/>
  <c r="D43" i="11"/>
  <c r="B41" i="11"/>
  <c r="C37" i="11"/>
  <c r="A35" i="11"/>
  <c r="D33" i="11"/>
  <c r="B31" i="11"/>
  <c r="C27" i="11"/>
  <c r="A25" i="11"/>
  <c r="D23" i="11"/>
  <c r="B21" i="11"/>
  <c r="C17" i="11"/>
  <c r="A15" i="11"/>
  <c r="D13" i="11"/>
  <c r="B11" i="11"/>
  <c r="C7" i="11"/>
  <c r="A5" i="11"/>
  <c r="D3" i="11"/>
  <c r="D60" i="11"/>
  <c r="A52" i="11"/>
  <c r="A42" i="11"/>
  <c r="B38" i="11"/>
  <c r="B71" i="11"/>
  <c r="C67" i="11"/>
  <c r="C70" i="11"/>
  <c r="D66" i="11"/>
  <c r="C60" i="11"/>
  <c r="A58" i="11"/>
  <c r="B54" i="11"/>
  <c r="C50" i="11"/>
  <c r="A48" i="11"/>
  <c r="D46" i="11"/>
  <c r="B44" i="11"/>
  <c r="C40" i="11"/>
  <c r="A38" i="11"/>
  <c r="D36" i="11"/>
  <c r="B34" i="11"/>
  <c r="C30" i="11"/>
  <c r="A28" i="11"/>
  <c r="D26" i="11"/>
  <c r="B24" i="11"/>
  <c r="C20" i="11"/>
  <c r="A18" i="11"/>
  <c r="D16" i="11"/>
  <c r="B14" i="11"/>
  <c r="C10" i="11"/>
  <c r="A8" i="11"/>
  <c r="D6" i="11"/>
  <c r="B4" i="11"/>
  <c r="B68" i="11"/>
  <c r="D50" i="11"/>
  <c r="B48" i="11"/>
  <c r="C44" i="11"/>
  <c r="A68" i="11"/>
  <c r="D56" i="11"/>
  <c r="A71" i="11"/>
  <c r="D69" i="11"/>
  <c r="B67" i="11"/>
  <c r="C63" i="11"/>
  <c r="A61" i="11"/>
  <c r="D59" i="11"/>
  <c r="B57" i="11"/>
  <c r="C53" i="11"/>
  <c r="A51" i="11"/>
  <c r="D49" i="11"/>
  <c r="B47" i="11"/>
  <c r="C43" i="11"/>
  <c r="A41" i="11"/>
  <c r="D39" i="11"/>
  <c r="B37" i="11"/>
  <c r="C33" i="11"/>
  <c r="A31" i="11"/>
  <c r="D29" i="11"/>
  <c r="B27" i="11"/>
  <c r="C23" i="11"/>
  <c r="A21" i="11"/>
  <c r="D19" i="11"/>
  <c r="B17" i="11"/>
  <c r="C13" i="11"/>
  <c r="A11" i="11"/>
  <c r="D9" i="11"/>
  <c r="B7" i="11"/>
  <c r="C3" i="11"/>
  <c r="D7" i="11"/>
  <c r="B70" i="11"/>
  <c r="C66" i="11"/>
  <c r="A64" i="11"/>
  <c r="D62" i="11"/>
  <c r="B60" i="11"/>
  <c r="C56" i="11"/>
  <c r="A54" i="11"/>
  <c r="D52" i="11"/>
  <c r="B50" i="11"/>
  <c r="C46" i="11"/>
  <c r="A44" i="11"/>
  <c r="D42" i="11"/>
  <c r="B40" i="11"/>
  <c r="C36" i="11"/>
  <c r="A34" i="11"/>
  <c r="D32" i="11"/>
  <c r="B30" i="11"/>
  <c r="C26" i="11"/>
  <c r="A24" i="11"/>
  <c r="D22" i="11"/>
  <c r="B20" i="11"/>
  <c r="C16" i="11"/>
  <c r="A14" i="11"/>
  <c r="D12" i="11"/>
  <c r="B10" i="11"/>
  <c r="C6" i="11"/>
  <c r="A4" i="11"/>
  <c r="C64" i="11"/>
  <c r="B64" i="11"/>
  <c r="C69" i="11"/>
  <c r="A67" i="11"/>
  <c r="D65" i="11"/>
  <c r="B63" i="11"/>
  <c r="C59" i="11"/>
  <c r="A57" i="11"/>
  <c r="D55" i="11"/>
  <c r="B53" i="11"/>
  <c r="C49" i="11"/>
  <c r="A47" i="11"/>
  <c r="D45" i="11"/>
  <c r="B43" i="11"/>
  <c r="C39" i="11"/>
  <c r="A37" i="11"/>
  <c r="D35" i="11"/>
  <c r="B33" i="11"/>
  <c r="C29" i="11"/>
  <c r="A27" i="11"/>
  <c r="D25" i="11"/>
  <c r="B23" i="11"/>
  <c r="C19" i="11"/>
  <c r="A17" i="11"/>
  <c r="D15" i="11"/>
  <c r="B13" i="11"/>
  <c r="C9" i="11"/>
  <c r="A7" i="11"/>
  <c r="D5" i="11"/>
  <c r="B3" i="11"/>
  <c r="A70" i="11"/>
  <c r="D68" i="11"/>
  <c r="B66" i="11"/>
  <c r="C62" i="11"/>
  <c r="A60" i="11"/>
  <c r="D58" i="11"/>
  <c r="B56" i="11"/>
  <c r="C52" i="11"/>
  <c r="A50" i="11"/>
  <c r="D48" i="11"/>
  <c r="B46" i="11"/>
  <c r="C42" i="11"/>
  <c r="A40" i="11"/>
  <c r="D38" i="11"/>
  <c r="B36" i="11"/>
  <c r="C32" i="11"/>
  <c r="A30" i="11"/>
  <c r="D28" i="11"/>
  <c r="B26" i="11"/>
  <c r="C22" i="11"/>
  <c r="A20" i="11"/>
  <c r="D18" i="11"/>
  <c r="B16" i="11"/>
  <c r="C12" i="11"/>
  <c r="A10" i="11"/>
  <c r="D8" i="11"/>
  <c r="B6" i="11"/>
  <c r="C11" i="11"/>
  <c r="B5" i="11"/>
  <c r="A62" i="11"/>
  <c r="B58" i="11"/>
  <c r="C54" i="11"/>
  <c r="D40" i="11"/>
  <c r="D71" i="11"/>
  <c r="B69" i="11"/>
  <c r="C65" i="11"/>
  <c r="A63" i="11"/>
  <c r="D61" i="11"/>
  <c r="B59" i="11"/>
  <c r="C55" i="11"/>
  <c r="A53" i="11"/>
  <c r="D51" i="11"/>
  <c r="B49" i="11"/>
  <c r="C45" i="11"/>
  <c r="A43" i="11"/>
  <c r="D41" i="11"/>
  <c r="B39" i="11"/>
  <c r="C35" i="11"/>
  <c r="A33" i="11"/>
  <c r="D31" i="11"/>
  <c r="B29" i="11"/>
  <c r="C25" i="11"/>
  <c r="A23" i="11"/>
  <c r="D21" i="11"/>
  <c r="B19" i="11"/>
  <c r="C15" i="11"/>
  <c r="A13" i="11"/>
  <c r="D11" i="11"/>
  <c r="B9" i="11"/>
  <c r="C5" i="11"/>
  <c r="A3" i="11"/>
  <c r="D2" i="11"/>
  <c r="C2" i="11"/>
  <c r="B2" i="11"/>
  <c r="A2" i="11"/>
  <c r="E5" i="5"/>
  <c r="E4" i="8"/>
  <c r="C2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AA2" i="13"/>
  <c r="X5" i="13"/>
  <c r="Y5" i="13"/>
  <c r="U4" i="13" a="1"/>
  <c r="X4" i="13"/>
  <c r="Y4" i="13"/>
  <c r="X2" i="13"/>
  <c r="Y2" i="13"/>
  <c r="Z4" i="13"/>
  <c r="AA4" i="13"/>
  <c r="Z2" i="13"/>
  <c r="V2" i="13"/>
  <c r="W2" i="13"/>
  <c r="V5" i="13"/>
  <c r="W5" i="13"/>
  <c r="V3" i="13"/>
  <c r="W3" i="13"/>
  <c r="U5" i="13" a="1"/>
  <c r="U3" i="13" a="1"/>
  <c r="U2" i="13" a="1"/>
  <c r="V4" i="13"/>
  <c r="W4" i="13"/>
  <c r="Z3" i="13"/>
  <c r="AA3" i="13"/>
  <c r="Z5" i="13"/>
  <c r="AA5" i="13"/>
  <c r="X3" i="13"/>
  <c r="Y3" i="13"/>
  <c r="H73" i="11"/>
  <c r="H72" i="11"/>
  <c r="G73" i="11"/>
  <c r="I72" i="11"/>
  <c r="B72" i="11" a="1"/>
  <c r="F73" i="11"/>
  <c r="G72" i="11"/>
  <c r="D73" i="11" a="1"/>
  <c r="E73" i="11"/>
  <c r="A2" i="8" a="1"/>
  <c r="D3" i="8"/>
  <c r="A3" i="8" a="1"/>
  <c r="D4" i="5"/>
  <c r="B2" i="5" a="1"/>
  <c r="C3" i="8" a="1"/>
  <c r="D3" i="5"/>
  <c r="C4" i="5"/>
  <c r="B3" i="8" a="1"/>
  <c r="B2" i="8" a="1"/>
  <c r="B4" i="5" a="1"/>
  <c r="K49" i="12" l="1"/>
  <c r="K48" i="12"/>
  <c r="K46" i="12"/>
  <c r="K47" i="12"/>
  <c r="K45" i="12"/>
  <c r="U2" i="13"/>
  <c r="U3" i="13"/>
  <c r="U5" i="13"/>
  <c r="V6" i="13"/>
  <c r="Z6" i="13"/>
  <c r="J49" i="12" s="1"/>
  <c r="X6" i="13"/>
  <c r="F49" i="12" s="1"/>
  <c r="U4" i="13"/>
  <c r="G49" i="12"/>
  <c r="G46" i="12"/>
  <c r="G47" i="12"/>
  <c r="G48" i="12"/>
  <c r="G45" i="12"/>
  <c r="D49" i="12"/>
  <c r="D46" i="12"/>
  <c r="D47" i="12"/>
  <c r="D48" i="12"/>
  <c r="D45" i="12"/>
  <c r="F46" i="12"/>
  <c r="F47" i="12"/>
  <c r="F48" i="12"/>
  <c r="J48" i="12"/>
  <c r="J46" i="12"/>
  <c r="J47" i="12"/>
  <c r="J45" i="12"/>
  <c r="F45" i="12"/>
  <c r="C46" i="12"/>
  <c r="C47" i="12"/>
  <c r="C48" i="12"/>
  <c r="C45" i="12"/>
  <c r="D73" i="11"/>
  <c r="B72" i="11"/>
  <c r="J75" i="11"/>
  <c r="B2" i="8"/>
  <c r="B3" i="8"/>
  <c r="C3" i="8"/>
  <c r="A3" i="8"/>
  <c r="A2" i="8"/>
  <c r="E5" i="8"/>
  <c r="E6" i="5"/>
  <c r="C34" i="4"/>
  <c r="B4" i="5"/>
  <c r="B2" i="5"/>
  <c r="A74" i="11" a="1"/>
  <c r="D74" i="11" a="1"/>
  <c r="B74" i="11" a="1"/>
  <c r="I74" i="11"/>
  <c r="C74" i="11" a="1"/>
  <c r="F74" i="11"/>
  <c r="E74" i="11"/>
  <c r="G74" i="11"/>
  <c r="H74" i="11"/>
  <c r="C5" i="5"/>
  <c r="A2" i="5" a="1"/>
  <c r="D5" i="5"/>
  <c r="A4" i="8" a="1"/>
  <c r="B4" i="8" a="1"/>
  <c r="J2" i="8"/>
  <c r="C4" i="8" a="1"/>
  <c r="B3" i="5" a="1"/>
  <c r="D4" i="8"/>
  <c r="B5" i="5" a="1"/>
  <c r="L47" i="12" l="1"/>
  <c r="L48" i="12"/>
  <c r="L46" i="12"/>
  <c r="H48" i="12"/>
  <c r="H47" i="12"/>
  <c r="H46" i="12"/>
  <c r="H45" i="12"/>
  <c r="L45" i="12"/>
  <c r="C49" i="12"/>
  <c r="H49" i="12" s="1"/>
  <c r="C74" i="11"/>
  <c r="B74" i="11"/>
  <c r="D74" i="11"/>
  <c r="A74" i="11"/>
  <c r="J76" i="11"/>
  <c r="C4" i="8"/>
  <c r="B4" i="8"/>
  <c r="A4" i="8"/>
  <c r="C35" i="4"/>
  <c r="E6" i="8"/>
  <c r="E7" i="5"/>
  <c r="Q2" i="8"/>
  <c r="Q3" i="8" s="1"/>
  <c r="Q4" i="8" s="1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C33" i="4"/>
  <c r="B5" i="5"/>
  <c r="B3" i="5"/>
  <c r="C32" i="4"/>
  <c r="A2" i="5"/>
  <c r="E2" i="2"/>
  <c r="C75" i="11" a="1"/>
  <c r="D75" i="11" a="1"/>
  <c r="A75" i="11" a="1"/>
  <c r="I75" i="11"/>
  <c r="B75" i="11" a="1"/>
  <c r="E75" i="11"/>
  <c r="F75" i="11"/>
  <c r="G75" i="11"/>
  <c r="H75" i="11"/>
  <c r="A3" i="5" a="1"/>
  <c r="D6" i="5"/>
  <c r="C6" i="5"/>
  <c r="B6" i="5" a="1"/>
  <c r="A2" i="2" a="1"/>
  <c r="J3" i="8"/>
  <c r="C5" i="8" a="1"/>
  <c r="J8" i="8"/>
  <c r="A5" i="8" a="1"/>
  <c r="B5" i="8" a="1"/>
  <c r="P2" i="8"/>
  <c r="D5" i="8"/>
  <c r="L49" i="12" l="1"/>
  <c r="B75" i="11"/>
  <c r="A75" i="11"/>
  <c r="D75" i="11"/>
  <c r="C75" i="11"/>
  <c r="J77" i="11"/>
  <c r="B5" i="8"/>
  <c r="A5" i="8"/>
  <c r="C5" i="8"/>
  <c r="B6" i="5"/>
  <c r="C36" i="4"/>
  <c r="E7" i="8"/>
  <c r="E3" i="2"/>
  <c r="E8" i="5"/>
  <c r="W2" i="8"/>
  <c r="W3" i="8" s="1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A2" i="2"/>
  <c r="A3" i="5"/>
  <c r="I76" i="11"/>
  <c r="E76" i="11"/>
  <c r="B76" i="11" a="1"/>
  <c r="H76" i="11"/>
  <c r="G76" i="11"/>
  <c r="F76" i="11"/>
  <c r="C76" i="11" a="1"/>
  <c r="D76" i="11" a="1"/>
  <c r="A76" i="11" a="1"/>
  <c r="D2" i="2"/>
  <c r="P8" i="8"/>
  <c r="C2" i="2"/>
  <c r="V2" i="8" a="1"/>
  <c r="P3" i="8"/>
  <c r="B7" i="5" a="1"/>
  <c r="C6" i="8" a="1"/>
  <c r="B2" i="2" a="1"/>
  <c r="J4" i="8"/>
  <c r="J9" i="8"/>
  <c r="J14" i="8"/>
  <c r="D6" i="8"/>
  <c r="A4" i="5" a="1"/>
  <c r="C7" i="5"/>
  <c r="D7" i="5"/>
  <c r="B6" i="8" a="1"/>
  <c r="A6" i="8" a="1"/>
  <c r="A76" i="11" l="1"/>
  <c r="D76" i="11"/>
  <c r="C76" i="11"/>
  <c r="B76" i="11"/>
  <c r="J78" i="11"/>
  <c r="A6" i="8"/>
  <c r="B6" i="8"/>
  <c r="C37" i="4"/>
  <c r="C6" i="8"/>
  <c r="B7" i="5"/>
  <c r="E8" i="8"/>
  <c r="E9" i="5"/>
  <c r="E4" i="2"/>
  <c r="V2" i="8"/>
  <c r="B2" i="2"/>
  <c r="C23" i="4"/>
  <c r="A4" i="5"/>
  <c r="C77" i="11" a="1"/>
  <c r="H77" i="11"/>
  <c r="F77" i="11"/>
  <c r="E77" i="11"/>
  <c r="D77" i="11" a="1"/>
  <c r="A77" i="11" a="1"/>
  <c r="G77" i="11"/>
  <c r="I77" i="11"/>
  <c r="B77" i="11" a="1"/>
  <c r="P14" i="8"/>
  <c r="P9" i="8"/>
  <c r="H20" i="8" a="1"/>
  <c r="G20" i="8" a="1"/>
  <c r="D8" i="5"/>
  <c r="I20" i="8" a="1"/>
  <c r="P4" i="8"/>
  <c r="A5" i="5" a="1"/>
  <c r="C8" i="5"/>
  <c r="T8" i="8" a="1"/>
  <c r="B8" i="5" a="1"/>
  <c r="U8" i="8" a="1"/>
  <c r="A7" i="8" a="1"/>
  <c r="J5" i="8"/>
  <c r="J15" i="8"/>
  <c r="V3" i="8" a="1"/>
  <c r="C7" i="8" a="1"/>
  <c r="B7" i="8" a="1"/>
  <c r="N14" i="8" a="1"/>
  <c r="J20" i="8"/>
  <c r="S8" i="8" a="1"/>
  <c r="J10" i="8"/>
  <c r="C3" i="2"/>
  <c r="D3" i="2"/>
  <c r="V8" i="8" a="1"/>
  <c r="D7" i="8"/>
  <c r="B3" i="2" a="1"/>
  <c r="M14" i="8" a="1"/>
  <c r="O14" i="8" a="1"/>
  <c r="A3" i="2" a="1"/>
  <c r="A4" i="2" a="1"/>
  <c r="B77" i="11" l="1"/>
  <c r="A77" i="11"/>
  <c r="D77" i="11"/>
  <c r="C77" i="11"/>
  <c r="J79" i="11"/>
  <c r="C24" i="4"/>
  <c r="B7" i="8"/>
  <c r="C7" i="8"/>
  <c r="A7" i="8"/>
  <c r="B8" i="5"/>
  <c r="D32" i="4"/>
  <c r="E9" i="8"/>
  <c r="E5" i="2"/>
  <c r="E10" i="5"/>
  <c r="N14" i="8"/>
  <c r="O14" i="8"/>
  <c r="M14" i="8"/>
  <c r="V3" i="8"/>
  <c r="V8" i="8"/>
  <c r="S8" i="8"/>
  <c r="U8" i="8"/>
  <c r="T8" i="8"/>
  <c r="G20" i="8"/>
  <c r="H20" i="8"/>
  <c r="I20" i="8"/>
  <c r="A3" i="2"/>
  <c r="B3" i="2"/>
  <c r="A4" i="2"/>
  <c r="A5" i="5"/>
  <c r="A78" i="11" a="1"/>
  <c r="C78" i="11" a="1"/>
  <c r="G78" i="11"/>
  <c r="D78" i="11" a="1"/>
  <c r="E78" i="11"/>
  <c r="F78" i="11"/>
  <c r="B78" i="11" a="1"/>
  <c r="I78" i="11"/>
  <c r="H78" i="11"/>
  <c r="B8" i="8" a="1"/>
  <c r="D9" i="5"/>
  <c r="P20" i="8"/>
  <c r="V14" i="8" a="1"/>
  <c r="I21" i="8" a="1"/>
  <c r="J26" i="8"/>
  <c r="C8" i="8" a="1"/>
  <c r="V4" i="8" a="1"/>
  <c r="O15" i="8" a="1"/>
  <c r="U9" i="8" a="1"/>
  <c r="T9" i="8" a="1"/>
  <c r="J6" i="8"/>
  <c r="D4" i="2"/>
  <c r="V9" i="8" a="1"/>
  <c r="J16" i="8"/>
  <c r="M20" i="8" a="1"/>
  <c r="B4" i="2" a="1"/>
  <c r="U14" i="8" a="1"/>
  <c r="G26" i="8" a="1"/>
  <c r="N20" i="8" a="1"/>
  <c r="H21" i="8" a="1"/>
  <c r="A8" i="8" a="1"/>
  <c r="B9" i="5" a="1"/>
  <c r="J21" i="8"/>
  <c r="N15" i="8" a="1"/>
  <c r="O20" i="8" a="1"/>
  <c r="P5" i="8"/>
  <c r="B5" i="2" a="1"/>
  <c r="P10" i="8"/>
  <c r="A6" i="5" a="1"/>
  <c r="T14" i="8" a="1"/>
  <c r="I26" i="8" a="1"/>
  <c r="D8" i="8"/>
  <c r="C9" i="5"/>
  <c r="S14" i="8" a="1"/>
  <c r="A5" i="2" a="1"/>
  <c r="S9" i="8" a="1"/>
  <c r="J11" i="8"/>
  <c r="M15" i="8" a="1"/>
  <c r="P15" i="8"/>
  <c r="C4" i="2"/>
  <c r="G21" i="8" a="1"/>
  <c r="H26" i="8" a="1"/>
  <c r="B78" i="11" l="1"/>
  <c r="D78" i="11"/>
  <c r="C78" i="11"/>
  <c r="A78" i="11"/>
  <c r="J80" i="11"/>
  <c r="C25" i="4"/>
  <c r="D33" i="4"/>
  <c r="B9" i="5"/>
  <c r="A8" i="8"/>
  <c r="B4" i="2"/>
  <c r="C8" i="8"/>
  <c r="B8" i="8"/>
  <c r="E6" i="2"/>
  <c r="E11" i="5"/>
  <c r="E10" i="8"/>
  <c r="M15" i="8"/>
  <c r="O15" i="8"/>
  <c r="N15" i="8"/>
  <c r="H26" i="8"/>
  <c r="I26" i="8"/>
  <c r="G26" i="8"/>
  <c r="I21" i="8"/>
  <c r="H21" i="8"/>
  <c r="G21" i="8"/>
  <c r="V14" i="8"/>
  <c r="S14" i="8"/>
  <c r="T14" i="8"/>
  <c r="U14" i="8"/>
  <c r="V9" i="8"/>
  <c r="T9" i="8"/>
  <c r="U9" i="8"/>
  <c r="S9" i="8"/>
  <c r="V4" i="8"/>
  <c r="N20" i="8"/>
  <c r="M20" i="8"/>
  <c r="O20" i="8"/>
  <c r="A5" i="2"/>
  <c r="B5" i="2"/>
  <c r="A6" i="5"/>
  <c r="A79" i="11" a="1"/>
  <c r="E79" i="11"/>
  <c r="F79" i="11"/>
  <c r="I79" i="11"/>
  <c r="C79" i="11" a="1"/>
  <c r="D79" i="11" a="1"/>
  <c r="H79" i="11"/>
  <c r="B79" i="11" a="1"/>
  <c r="G79" i="11"/>
  <c r="C5" i="2"/>
  <c r="D9" i="8"/>
  <c r="H27" i="8" a="1"/>
  <c r="S15" i="8" a="1"/>
  <c r="S10" i="8" a="1"/>
  <c r="P26" i="8"/>
  <c r="P6" i="8"/>
  <c r="U15" i="8" a="1"/>
  <c r="S20" i="8" a="1"/>
  <c r="V10" i="8" a="1"/>
  <c r="O16" i="8" a="1"/>
  <c r="H22" i="8" a="1"/>
  <c r="M16" i="8" a="1"/>
  <c r="V20" i="8" a="1"/>
  <c r="V5" i="8" a="1"/>
  <c r="I22" i="8" a="1"/>
  <c r="H2" i="8" a="1"/>
  <c r="D10" i="5"/>
  <c r="P11" i="8"/>
  <c r="J7" i="8"/>
  <c r="D5" i="2"/>
  <c r="B9" i="8" a="1"/>
  <c r="J12" i="8"/>
  <c r="J27" i="8"/>
  <c r="T15" i="8" a="1"/>
  <c r="U10" i="8" a="1"/>
  <c r="O21" i="8" a="1"/>
  <c r="C9" i="8" a="1"/>
  <c r="T20" i="8" a="1"/>
  <c r="T10" i="8" a="1"/>
  <c r="N16" i="8" a="1"/>
  <c r="V15" i="8" a="1"/>
  <c r="M21" i="8" a="1"/>
  <c r="U20" i="8" a="1"/>
  <c r="P16" i="8"/>
  <c r="G22" i="8" a="1"/>
  <c r="B10" i="5" a="1"/>
  <c r="I27" i="8" a="1"/>
  <c r="J17" i="8"/>
  <c r="J22" i="8"/>
  <c r="N21" i="8" a="1"/>
  <c r="A9" i="8" a="1"/>
  <c r="G27" i="8" a="1"/>
  <c r="A7" i="5" a="1"/>
  <c r="C10" i="5"/>
  <c r="P21" i="8"/>
  <c r="B6" i="2" a="1"/>
  <c r="B79" i="11" l="1"/>
  <c r="D79" i="11"/>
  <c r="C79" i="11"/>
  <c r="A79" i="11"/>
  <c r="J81" i="11"/>
  <c r="D34" i="4"/>
  <c r="A9" i="8"/>
  <c r="B10" i="5"/>
  <c r="C9" i="8"/>
  <c r="B9" i="8"/>
  <c r="C26" i="4"/>
  <c r="E7" i="2"/>
  <c r="E12" i="5"/>
  <c r="E11" i="8"/>
  <c r="G22" i="8"/>
  <c r="I22" i="8"/>
  <c r="H22" i="8"/>
  <c r="V10" i="8"/>
  <c r="T10" i="8"/>
  <c r="U10" i="8"/>
  <c r="S10" i="8"/>
  <c r="N21" i="8"/>
  <c r="V5" i="8"/>
  <c r="V15" i="8"/>
  <c r="U15" i="8"/>
  <c r="T15" i="8"/>
  <c r="S15" i="8"/>
  <c r="V20" i="8"/>
  <c r="U20" i="8"/>
  <c r="S20" i="8"/>
  <c r="T20" i="8"/>
  <c r="H27" i="8"/>
  <c r="G27" i="8"/>
  <c r="I27" i="8"/>
  <c r="M16" i="8"/>
  <c r="O16" i="8"/>
  <c r="N16" i="8"/>
  <c r="H2" i="8"/>
  <c r="O21" i="8"/>
  <c r="M21" i="8"/>
  <c r="B6" i="2"/>
  <c r="A7" i="5"/>
  <c r="H80" i="11"/>
  <c r="F80" i="11"/>
  <c r="G80" i="11"/>
  <c r="B80" i="11" a="1"/>
  <c r="E80" i="11"/>
  <c r="A80" i="11" a="1"/>
  <c r="I80" i="11"/>
  <c r="C80" i="11" a="1"/>
  <c r="D80" i="11" a="1"/>
  <c r="C6" i="2"/>
  <c r="A6" i="2" a="1"/>
  <c r="S11" i="8" a="1"/>
  <c r="P12" i="8"/>
  <c r="H23" i="8" a="1"/>
  <c r="M22" i="8" a="1"/>
  <c r="J13" i="8"/>
  <c r="G23" i="8" a="1"/>
  <c r="V11" i="8" a="1"/>
  <c r="V6" i="8" a="1"/>
  <c r="I23" i="8" a="1"/>
  <c r="N22" i="8" a="1"/>
  <c r="J28" i="8"/>
  <c r="J18" i="8"/>
  <c r="U11" i="8" a="1"/>
  <c r="V26" i="8" a="1"/>
  <c r="T11" i="8" a="1"/>
  <c r="A8" i="5" a="1"/>
  <c r="D10" i="8"/>
  <c r="D11" i="5"/>
  <c r="T21" i="8" a="1"/>
  <c r="O22" i="8" a="1"/>
  <c r="A10" i="8" a="1"/>
  <c r="P7" i="8"/>
  <c r="I2" i="8" a="1"/>
  <c r="C11" i="5"/>
  <c r="N17" i="8" a="1"/>
  <c r="U21" i="8" a="1"/>
  <c r="J23" i="8"/>
  <c r="B11" i="5" a="1"/>
  <c r="M17" i="8" a="1"/>
  <c r="S16" i="8" a="1"/>
  <c r="S21" i="8" a="1"/>
  <c r="I28" i="8" a="1"/>
  <c r="G2" i="8" a="1"/>
  <c r="T16" i="8" a="1"/>
  <c r="V21" i="8" a="1"/>
  <c r="G28" i="8" a="1"/>
  <c r="H3" i="8" a="1"/>
  <c r="H28" i="8" a="1"/>
  <c r="B10" i="8" a="1"/>
  <c r="P27" i="8"/>
  <c r="P17" i="8"/>
  <c r="O17" i="8" a="1"/>
  <c r="C10" i="8" a="1"/>
  <c r="U16" i="8" a="1"/>
  <c r="P22" i="8"/>
  <c r="V16" i="8" a="1"/>
  <c r="D6" i="2"/>
  <c r="D80" i="11" l="1"/>
  <c r="C80" i="11"/>
  <c r="A80" i="11"/>
  <c r="B80" i="11"/>
  <c r="J82" i="11"/>
  <c r="C10" i="8"/>
  <c r="B10" i="8"/>
  <c r="B11" i="5"/>
  <c r="D35" i="4"/>
  <c r="A10" i="8"/>
  <c r="A6" i="2"/>
  <c r="C27" i="4"/>
  <c r="E8" i="2"/>
  <c r="E12" i="8"/>
  <c r="E13" i="5"/>
  <c r="H28" i="8"/>
  <c r="G28" i="8"/>
  <c r="I28" i="8"/>
  <c r="I23" i="8"/>
  <c r="G23" i="8"/>
  <c r="H23" i="8"/>
  <c r="V26" i="8"/>
  <c r="V21" i="8"/>
  <c r="S21" i="8"/>
  <c r="U21" i="8"/>
  <c r="T21" i="8"/>
  <c r="V16" i="8"/>
  <c r="U16" i="8"/>
  <c r="T16" i="8"/>
  <c r="S16" i="8"/>
  <c r="V6" i="8"/>
  <c r="N22" i="8"/>
  <c r="O17" i="8"/>
  <c r="M17" i="8"/>
  <c r="N17" i="8"/>
  <c r="V11" i="8"/>
  <c r="T11" i="8"/>
  <c r="S11" i="8"/>
  <c r="U11" i="8"/>
  <c r="H3" i="8"/>
  <c r="I2" i="8"/>
  <c r="O22" i="8"/>
  <c r="M22" i="8"/>
  <c r="G2" i="8"/>
  <c r="A8" i="5"/>
  <c r="A81" i="11" a="1"/>
  <c r="C81" i="11" a="1"/>
  <c r="G81" i="11"/>
  <c r="D81" i="11" a="1"/>
  <c r="I81" i="11"/>
  <c r="H81" i="11"/>
  <c r="B81" i="11" a="1"/>
  <c r="E81" i="11"/>
  <c r="F81" i="11"/>
  <c r="D12" i="5"/>
  <c r="T22" i="8" a="1"/>
  <c r="S17" i="8" a="1"/>
  <c r="J24" i="8"/>
  <c r="M23" i="8" a="1"/>
  <c r="B12" i="5" a="1"/>
  <c r="U22" i="8" a="1"/>
  <c r="N23" i="8" a="1"/>
  <c r="A11" i="8" a="1"/>
  <c r="D11" i="8"/>
  <c r="V17" i="8" a="1"/>
  <c r="J19" i="8"/>
  <c r="I29" i="8" a="1"/>
  <c r="P23" i="8"/>
  <c r="A8" i="2" a="1"/>
  <c r="U12" i="8" a="1"/>
  <c r="G29" i="8" a="1"/>
  <c r="J29" i="8"/>
  <c r="V22" i="8" a="1"/>
  <c r="V27" i="8" a="1"/>
  <c r="T12" i="8" a="1"/>
  <c r="O18" i="8" a="1"/>
  <c r="C12" i="5"/>
  <c r="B11" i="8" a="1"/>
  <c r="V7" i="8" a="1"/>
  <c r="A9" i="5" a="1"/>
  <c r="T17" i="8" a="1"/>
  <c r="H4" i="8" a="1"/>
  <c r="C11" i="8" a="1"/>
  <c r="S12" i="8" a="1"/>
  <c r="H29" i="8" a="1"/>
  <c r="N18" i="8" a="1"/>
  <c r="G3" i="8" a="1"/>
  <c r="B7" i="2" a="1"/>
  <c r="V12" i="8" a="1"/>
  <c r="P13" i="8"/>
  <c r="M18" i="8" a="1"/>
  <c r="P28" i="8"/>
  <c r="H24" i="8" a="1"/>
  <c r="O23" i="8" a="1"/>
  <c r="G24" i="8" a="1"/>
  <c r="I3" i="8" a="1"/>
  <c r="C7" i="2"/>
  <c r="P18" i="8"/>
  <c r="D7" i="2"/>
  <c r="U17" i="8" a="1"/>
  <c r="A7" i="2" a="1"/>
  <c r="I24" i="8" a="1"/>
  <c r="S22" i="8" a="1"/>
  <c r="B81" i="11" l="1"/>
  <c r="D81" i="11"/>
  <c r="C81" i="11"/>
  <c r="A81" i="11"/>
  <c r="J83" i="11"/>
  <c r="C28" i="4"/>
  <c r="B7" i="2"/>
  <c r="C11" i="8"/>
  <c r="B11" i="8"/>
  <c r="D36" i="4"/>
  <c r="A11" i="8"/>
  <c r="B12" i="5"/>
  <c r="E14" i="5"/>
  <c r="E9" i="2"/>
  <c r="E13" i="8"/>
  <c r="M18" i="8"/>
  <c r="O18" i="8"/>
  <c r="N18" i="8"/>
  <c r="V27" i="8"/>
  <c r="N23" i="8"/>
  <c r="I24" i="8"/>
  <c r="G24" i="8"/>
  <c r="H24" i="8"/>
  <c r="H29" i="8"/>
  <c r="G29" i="8"/>
  <c r="I29" i="8"/>
  <c r="V17" i="8"/>
  <c r="S17" i="8"/>
  <c r="T17" i="8"/>
  <c r="U17" i="8"/>
  <c r="V7" i="8"/>
  <c r="V22" i="8"/>
  <c r="U22" i="8"/>
  <c r="T22" i="8"/>
  <c r="S22" i="8"/>
  <c r="V12" i="8"/>
  <c r="T12" i="8"/>
  <c r="S12" i="8"/>
  <c r="U12" i="8"/>
  <c r="A7" i="2"/>
  <c r="H4" i="8"/>
  <c r="G3" i="8"/>
  <c r="I3" i="8"/>
  <c r="O23" i="8"/>
  <c r="M23" i="8"/>
  <c r="A8" i="2"/>
  <c r="A9" i="5"/>
  <c r="D82" i="11" a="1"/>
  <c r="E82" i="11"/>
  <c r="F82" i="11"/>
  <c r="C82" i="11" a="1"/>
  <c r="G82" i="11"/>
  <c r="H82" i="11"/>
  <c r="I82" i="11"/>
  <c r="A82" i="11" a="1"/>
  <c r="B82" i="11" a="1"/>
  <c r="C13" i="5"/>
  <c r="B12" i="8" a="1"/>
  <c r="U18" i="8" a="1"/>
  <c r="V23" i="8" a="1"/>
  <c r="T13" i="8" a="1"/>
  <c r="N2" i="8" a="1"/>
  <c r="B13" i="5" a="1"/>
  <c r="H25" i="8" a="1"/>
  <c r="T18" i="8" a="1"/>
  <c r="P29" i="8"/>
  <c r="V13" i="8" a="1"/>
  <c r="G4" i="8" a="1"/>
  <c r="I25" i="8" a="1"/>
  <c r="V18" i="8" a="1"/>
  <c r="N19" i="8" a="1"/>
  <c r="V28" i="8" a="1"/>
  <c r="A10" i="5" a="1"/>
  <c r="C8" i="2"/>
  <c r="G25" i="8" a="1"/>
  <c r="O19" i="8" a="1"/>
  <c r="M24" i="8" a="1"/>
  <c r="D8" i="2"/>
  <c r="J25" i="8"/>
  <c r="M19" i="8" a="1"/>
  <c r="H5" i="8" a="1"/>
  <c r="B8" i="2" a="1"/>
  <c r="I30" i="8" a="1"/>
  <c r="N24" i="8" a="1"/>
  <c r="O24" i="8" a="1"/>
  <c r="P24" i="8"/>
  <c r="J30" i="8"/>
  <c r="S13" i="8" a="1"/>
  <c r="D13" i="5"/>
  <c r="D12" i="8"/>
  <c r="H30" i="8" a="1"/>
  <c r="S23" i="8" a="1"/>
  <c r="B9" i="2" a="1"/>
  <c r="A12" i="8" a="1"/>
  <c r="T23" i="8" a="1"/>
  <c r="I4" i="8" a="1"/>
  <c r="C12" i="8" a="1"/>
  <c r="S18" i="8" a="1"/>
  <c r="U13" i="8" a="1"/>
  <c r="A9" i="2" a="1"/>
  <c r="P19" i="8"/>
  <c r="U23" i="8" a="1"/>
  <c r="G30" i="8" a="1"/>
  <c r="B82" i="11" l="1"/>
  <c r="A82" i="11"/>
  <c r="C82" i="11"/>
  <c r="D82" i="11"/>
  <c r="J84" i="11"/>
  <c r="C12" i="8"/>
  <c r="A12" i="8"/>
  <c r="B8" i="2"/>
  <c r="B13" i="5"/>
  <c r="B12" i="8"/>
  <c r="D37" i="4"/>
  <c r="E15" i="5"/>
  <c r="E14" i="8"/>
  <c r="E10" i="2"/>
  <c r="V28" i="8"/>
  <c r="V13" i="8"/>
  <c r="T13" i="8"/>
  <c r="U13" i="8"/>
  <c r="S13" i="8"/>
  <c r="N24" i="8"/>
  <c r="M19" i="8"/>
  <c r="O19" i="8"/>
  <c r="N19" i="8"/>
  <c r="V23" i="8"/>
  <c r="U23" i="8"/>
  <c r="T23" i="8"/>
  <c r="S23" i="8"/>
  <c r="V18" i="8"/>
  <c r="T18" i="8"/>
  <c r="U18" i="8"/>
  <c r="S18" i="8"/>
  <c r="H30" i="8"/>
  <c r="I30" i="8"/>
  <c r="G30" i="8"/>
  <c r="G25" i="8"/>
  <c r="I25" i="8"/>
  <c r="H25" i="8"/>
  <c r="D23" i="4"/>
  <c r="N2" i="8"/>
  <c r="H5" i="8"/>
  <c r="O24" i="8"/>
  <c r="M24" i="8"/>
  <c r="G4" i="8"/>
  <c r="I4" i="8"/>
  <c r="A9" i="2"/>
  <c r="B9" i="2"/>
  <c r="A10" i="5"/>
  <c r="A83" i="11" a="1"/>
  <c r="F83" i="11"/>
  <c r="E83" i="11"/>
  <c r="C83" i="11" a="1"/>
  <c r="I83" i="11"/>
  <c r="G83" i="11"/>
  <c r="H83" i="11"/>
  <c r="D83" i="11" a="1"/>
  <c r="B83" i="11" a="1"/>
  <c r="T19" i="8" a="1"/>
  <c r="I31" i="8" a="1"/>
  <c r="M25" i="8" a="1"/>
  <c r="J31" i="8"/>
  <c r="C13" i="8" a="1"/>
  <c r="V29" i="8" a="1"/>
  <c r="D13" i="8"/>
  <c r="P30" i="8"/>
  <c r="N26" i="8" a="1"/>
  <c r="G5" i="8" a="1"/>
  <c r="H6" i="8" a="1"/>
  <c r="T24" i="8" a="1"/>
  <c r="O25" i="8" a="1"/>
  <c r="B10" i="2" a="1"/>
  <c r="S24" i="8" a="1"/>
  <c r="M2" i="8" a="1"/>
  <c r="U19" i="8" a="1"/>
  <c r="V24" i="8" a="1"/>
  <c r="I5" i="8" a="1"/>
  <c r="S19" i="8" a="1"/>
  <c r="G31" i="8" a="1"/>
  <c r="A13" i="8" a="1"/>
  <c r="V19" i="8" a="1"/>
  <c r="H31" i="8" a="1"/>
  <c r="N3" i="8" a="1"/>
  <c r="A11" i="5" a="1"/>
  <c r="B13" i="8" a="1"/>
  <c r="N25" i="8" a="1"/>
  <c r="P25" i="8"/>
  <c r="O2" i="8" a="1"/>
  <c r="A10" i="2" a="1"/>
  <c r="U24" i="8" a="1"/>
  <c r="D9" i="2"/>
  <c r="D14" i="5"/>
  <c r="C9" i="2"/>
  <c r="C14" i="5"/>
  <c r="B14" i="5" a="1"/>
  <c r="B83" i="11" l="1"/>
  <c r="D83" i="11"/>
  <c r="C83" i="11"/>
  <c r="A83" i="11"/>
  <c r="J85" i="11"/>
  <c r="B14" i="5"/>
  <c r="E32" i="4"/>
  <c r="D24" i="4"/>
  <c r="B13" i="8"/>
  <c r="A13" i="8"/>
  <c r="C13" i="8"/>
  <c r="E16" i="5"/>
  <c r="E11" i="2"/>
  <c r="E15" i="8"/>
  <c r="V29" i="8"/>
  <c r="H31" i="8"/>
  <c r="I31" i="8"/>
  <c r="G31" i="8"/>
  <c r="V24" i="8"/>
  <c r="S24" i="8"/>
  <c r="T24" i="8"/>
  <c r="U24" i="8"/>
  <c r="N25" i="8"/>
  <c r="V19" i="8"/>
  <c r="T19" i="8"/>
  <c r="S19" i="8"/>
  <c r="U19" i="8"/>
  <c r="N26" i="8"/>
  <c r="N3" i="8"/>
  <c r="H6" i="8"/>
  <c r="M25" i="8"/>
  <c r="O2" i="8"/>
  <c r="I5" i="8"/>
  <c r="M2" i="8"/>
  <c r="O25" i="8"/>
  <c r="G5" i="8"/>
  <c r="A10" i="2"/>
  <c r="B10" i="2"/>
  <c r="A11" i="5"/>
  <c r="F84" i="11"/>
  <c r="D84" i="11" a="1"/>
  <c r="G84" i="11"/>
  <c r="E84" i="11"/>
  <c r="B84" i="11" a="1"/>
  <c r="I84" i="11"/>
  <c r="C84" i="11" a="1"/>
  <c r="H84" i="11"/>
  <c r="A84" i="11" a="1"/>
  <c r="S25" i="8" a="1"/>
  <c r="N27" i="8" a="1"/>
  <c r="D10" i="2"/>
  <c r="V25" i="8" a="1"/>
  <c r="M26" i="8" a="1"/>
  <c r="C10" i="2"/>
  <c r="P31" i="8"/>
  <c r="M3" i="8" a="1"/>
  <c r="A11" i="2" a="1"/>
  <c r="A12" i="5" a="1"/>
  <c r="B14" i="8" a="1"/>
  <c r="B11" i="2" a="1"/>
  <c r="O26" i="8" a="1"/>
  <c r="C14" i="8" a="1"/>
  <c r="D14" i="8"/>
  <c r="D15" i="5"/>
  <c r="A14" i="8" a="1"/>
  <c r="V30" i="8" a="1"/>
  <c r="T26" i="8" a="1"/>
  <c r="N4" i="8" a="1"/>
  <c r="C15" i="5"/>
  <c r="T25" i="8" a="1"/>
  <c r="I6" i="8" a="1"/>
  <c r="G6" i="8" a="1"/>
  <c r="U25" i="8" a="1"/>
  <c r="U26" i="8" a="1"/>
  <c r="O3" i="8" a="1"/>
  <c r="B15" i="5" a="1"/>
  <c r="S26" i="8" a="1"/>
  <c r="H7" i="8" a="1"/>
  <c r="A84" i="11" l="1"/>
  <c r="C84" i="11"/>
  <c r="B84" i="11"/>
  <c r="D84" i="11"/>
  <c r="J86" i="11"/>
  <c r="B15" i="5"/>
  <c r="E33" i="4"/>
  <c r="A14" i="8"/>
  <c r="C14" i="8"/>
  <c r="B14" i="8"/>
  <c r="D25" i="4"/>
  <c r="E17" i="5"/>
  <c r="E16" i="8"/>
  <c r="E12" i="2"/>
  <c r="V25" i="8"/>
  <c r="S25" i="8"/>
  <c r="U25" i="8"/>
  <c r="T25" i="8"/>
  <c r="V30" i="8"/>
  <c r="S26" i="8"/>
  <c r="U26" i="8"/>
  <c r="T26" i="8"/>
  <c r="N27" i="8"/>
  <c r="N4" i="8"/>
  <c r="H7" i="8"/>
  <c r="O3" i="8"/>
  <c r="M3" i="8"/>
  <c r="I6" i="8"/>
  <c r="G6" i="8"/>
  <c r="O26" i="8"/>
  <c r="M26" i="8"/>
  <c r="A11" i="2"/>
  <c r="B11" i="2"/>
  <c r="A12" i="5"/>
  <c r="C85" i="11" a="1"/>
  <c r="I85" i="11"/>
  <c r="H85" i="11"/>
  <c r="F85" i="11"/>
  <c r="A85" i="11" a="1"/>
  <c r="G85" i="11"/>
  <c r="B85" i="11" a="1"/>
  <c r="D85" i="11" a="1"/>
  <c r="E85" i="11"/>
  <c r="A13" i="5" a="1"/>
  <c r="A12" i="2" a="1"/>
  <c r="B15" i="8" a="1"/>
  <c r="O27" i="8" a="1"/>
  <c r="A15" i="8" a="1"/>
  <c r="V31" i="8" a="1"/>
  <c r="G7" i="8" a="1"/>
  <c r="C15" i="8" a="1"/>
  <c r="H8" i="8" a="1"/>
  <c r="O4" i="8" a="1"/>
  <c r="D15" i="8"/>
  <c r="T27" i="8" a="1"/>
  <c r="M27" i="8" a="1"/>
  <c r="U27" i="8" a="1"/>
  <c r="C16" i="5"/>
  <c r="N28" i="8" a="1"/>
  <c r="D16" i="5"/>
  <c r="M4" i="8" a="1"/>
  <c r="B16" i="5" a="1"/>
  <c r="N5" i="8" a="1"/>
  <c r="S27" i="8" a="1"/>
  <c r="D11" i="2"/>
  <c r="B12" i="2" a="1"/>
  <c r="C11" i="2"/>
  <c r="I7" i="8" a="1"/>
  <c r="D85" i="11" l="1"/>
  <c r="B85" i="11"/>
  <c r="A85" i="11"/>
  <c r="C85" i="11"/>
  <c r="J87" i="11"/>
  <c r="D26" i="4"/>
  <c r="B16" i="5"/>
  <c r="E34" i="4"/>
  <c r="C15" i="8"/>
  <c r="A15" i="8"/>
  <c r="B15" i="8"/>
  <c r="E13" i="2"/>
  <c r="E18" i="5"/>
  <c r="E17" i="8"/>
  <c r="V31" i="8"/>
  <c r="T27" i="8"/>
  <c r="S27" i="8"/>
  <c r="U27" i="8"/>
  <c r="N28" i="8"/>
  <c r="N5" i="8"/>
  <c r="H8" i="8"/>
  <c r="O4" i="8"/>
  <c r="M4" i="8"/>
  <c r="I7" i="8"/>
  <c r="M27" i="8"/>
  <c r="G7" i="8"/>
  <c r="O27" i="8"/>
  <c r="A12" i="2"/>
  <c r="B12" i="2"/>
  <c r="A13" i="5"/>
  <c r="E86" i="11"/>
  <c r="F86" i="11"/>
  <c r="H86" i="11"/>
  <c r="G86" i="11"/>
  <c r="D86" i="11" a="1"/>
  <c r="I86" i="11"/>
  <c r="B86" i="11" a="1"/>
  <c r="A86" i="11" a="1"/>
  <c r="C86" i="11" a="1"/>
  <c r="C17" i="5"/>
  <c r="S28" i="8" a="1"/>
  <c r="A16" i="8" a="1"/>
  <c r="B13" i="2" a="1"/>
  <c r="D17" i="5"/>
  <c r="G8" i="8" a="1"/>
  <c r="U28" i="8" a="1"/>
  <c r="N6" i="8" a="1"/>
  <c r="N29" i="8" a="1"/>
  <c r="O5" i="8" a="1"/>
  <c r="C12" i="2"/>
  <c r="D16" i="8"/>
  <c r="A14" i="5" a="1"/>
  <c r="B17" i="5" a="1"/>
  <c r="M28" i="8" a="1"/>
  <c r="B16" i="8" a="1"/>
  <c r="I8" i="8" a="1"/>
  <c r="D12" i="2"/>
  <c r="C16" i="8" a="1"/>
  <c r="O28" i="8" a="1"/>
  <c r="H9" i="8" a="1"/>
  <c r="T28" i="8" a="1"/>
  <c r="M5" i="8" a="1"/>
  <c r="C86" i="11" l="1"/>
  <c r="A86" i="11"/>
  <c r="B86" i="11"/>
  <c r="D86" i="11"/>
  <c r="J88" i="11"/>
  <c r="C16" i="8"/>
  <c r="B16" i="8"/>
  <c r="B17" i="5"/>
  <c r="D27" i="4"/>
  <c r="A16" i="8"/>
  <c r="E35" i="4"/>
  <c r="E19" i="5"/>
  <c r="E14" i="2"/>
  <c r="E18" i="8"/>
  <c r="U28" i="8"/>
  <c r="T28" i="8"/>
  <c r="S28" i="8"/>
  <c r="N29" i="8"/>
  <c r="N6" i="8"/>
  <c r="H9" i="8"/>
  <c r="O5" i="8"/>
  <c r="M5" i="8"/>
  <c r="O28" i="8"/>
  <c r="M28" i="8"/>
  <c r="I8" i="8"/>
  <c r="G8" i="8"/>
  <c r="B13" i="2"/>
  <c r="A14" i="5"/>
  <c r="D87" i="11" a="1"/>
  <c r="E87" i="11"/>
  <c r="C87" i="11" a="1"/>
  <c r="F87" i="11"/>
  <c r="G87" i="11"/>
  <c r="I87" i="11"/>
  <c r="A87" i="11" a="1"/>
  <c r="H87" i="11"/>
  <c r="B87" i="11" a="1"/>
  <c r="S29" i="8" a="1"/>
  <c r="N7" i="8" a="1"/>
  <c r="D13" i="2"/>
  <c r="B14" i="2" a="1"/>
  <c r="M6" i="8" a="1"/>
  <c r="C13" i="2"/>
  <c r="O29" i="8" a="1"/>
  <c r="U29" i="8" a="1"/>
  <c r="T29" i="8" a="1"/>
  <c r="N30" i="8" a="1"/>
  <c r="C17" i="8" a="1"/>
  <c r="I9" i="8" a="1"/>
  <c r="O6" i="8" a="1"/>
  <c r="A17" i="8" a="1"/>
  <c r="G9" i="8" a="1"/>
  <c r="H10" i="8" a="1"/>
  <c r="D18" i="5"/>
  <c r="D17" i="8"/>
  <c r="A13" i="2" a="1"/>
  <c r="A15" i="5" a="1"/>
  <c r="M29" i="8" a="1"/>
  <c r="B17" i="8" a="1"/>
  <c r="C18" i="5"/>
  <c r="B18" i="5" a="1"/>
  <c r="A14" i="2" a="1"/>
  <c r="B87" i="11" l="1"/>
  <c r="A87" i="11"/>
  <c r="C87" i="11"/>
  <c r="D87" i="11"/>
  <c r="J89" i="11"/>
  <c r="B18" i="5"/>
  <c r="E36" i="4"/>
  <c r="B17" i="8"/>
  <c r="A13" i="2"/>
  <c r="A17" i="8"/>
  <c r="C17" i="8"/>
  <c r="D28" i="4"/>
  <c r="E20" i="5"/>
  <c r="E19" i="8"/>
  <c r="E15" i="2"/>
  <c r="U29" i="8"/>
  <c r="T29" i="8"/>
  <c r="S29" i="8"/>
  <c r="N30" i="8"/>
  <c r="N7" i="8"/>
  <c r="H10" i="8"/>
  <c r="I9" i="8"/>
  <c r="M29" i="8"/>
  <c r="G9" i="8"/>
  <c r="O29" i="8"/>
  <c r="O6" i="8"/>
  <c r="M6" i="8"/>
  <c r="A14" i="2"/>
  <c r="B14" i="2"/>
  <c r="A15" i="5"/>
  <c r="C88" i="11" a="1"/>
  <c r="E88" i="11"/>
  <c r="B88" i="11" a="1"/>
  <c r="H88" i="11"/>
  <c r="I88" i="11"/>
  <c r="F88" i="11"/>
  <c r="D88" i="11" a="1"/>
  <c r="A88" i="11" a="1"/>
  <c r="G88" i="11"/>
  <c r="B19" i="5" a="1"/>
  <c r="O7" i="8" a="1"/>
  <c r="O30" i="8" a="1"/>
  <c r="B18" i="8" a="1"/>
  <c r="U30" i="8" a="1"/>
  <c r="S30" i="8" a="1"/>
  <c r="N31" i="8" a="1"/>
  <c r="C18" i="8" a="1"/>
  <c r="T30" i="8" a="1"/>
  <c r="A16" i="5" a="1"/>
  <c r="C19" i="5"/>
  <c r="G10" i="8" a="1"/>
  <c r="D19" i="5"/>
  <c r="M7" i="8" a="1"/>
  <c r="D18" i="8"/>
  <c r="M30" i="8" a="1"/>
  <c r="A18" i="8" a="1"/>
  <c r="D14" i="2"/>
  <c r="N8" i="8" a="1"/>
  <c r="C14" i="2"/>
  <c r="I10" i="8" a="1"/>
  <c r="H11" i="8" a="1"/>
  <c r="A88" i="11" l="1"/>
  <c r="D88" i="11"/>
  <c r="B88" i="11"/>
  <c r="C88" i="11"/>
  <c r="J90" i="11"/>
  <c r="A18" i="8"/>
  <c r="E37" i="4"/>
  <c r="C18" i="8"/>
  <c r="B18" i="8"/>
  <c r="B19" i="5"/>
  <c r="E21" i="5"/>
  <c r="E16" i="2"/>
  <c r="E20" i="8"/>
  <c r="E23" i="4"/>
  <c r="U30" i="8"/>
  <c r="T30" i="8"/>
  <c r="S30" i="8"/>
  <c r="N31" i="8"/>
  <c r="N8" i="8"/>
  <c r="H11" i="8"/>
  <c r="M30" i="8"/>
  <c r="O30" i="8"/>
  <c r="G10" i="8"/>
  <c r="O7" i="8"/>
  <c r="I10" i="8"/>
  <c r="M7" i="8"/>
  <c r="A16" i="5"/>
  <c r="D89" i="11" a="1"/>
  <c r="E89" i="11"/>
  <c r="F89" i="11"/>
  <c r="H89" i="11"/>
  <c r="I89" i="11"/>
  <c r="B89" i="11" a="1"/>
  <c r="G89" i="11"/>
  <c r="A89" i="11" a="1"/>
  <c r="C89" i="11" a="1"/>
  <c r="C15" i="2"/>
  <c r="H12" i="8" a="1"/>
  <c r="D15" i="2"/>
  <c r="O31" i="8" a="1"/>
  <c r="M8" i="8" a="1"/>
  <c r="T31" i="8" a="1"/>
  <c r="D20" i="5"/>
  <c r="B20" i="5" a="1"/>
  <c r="M31" i="8" a="1"/>
  <c r="I11" i="8" a="1"/>
  <c r="B16" i="2" a="1"/>
  <c r="T2" i="8" a="1"/>
  <c r="B19" i="8" a="1"/>
  <c r="G11" i="8" a="1"/>
  <c r="A19" i="8" a="1"/>
  <c r="A17" i="5" a="1"/>
  <c r="C20" i="5"/>
  <c r="C19" i="8" a="1"/>
  <c r="D19" i="8"/>
  <c r="S31" i="8" a="1"/>
  <c r="B15" i="2" a="1"/>
  <c r="N9" i="8" a="1"/>
  <c r="A15" i="2" a="1"/>
  <c r="O8" i="8" a="1"/>
  <c r="U31" i="8" a="1"/>
  <c r="A16" i="2" a="1"/>
  <c r="C89" i="11" l="1"/>
  <c r="A89" i="11"/>
  <c r="B89" i="11"/>
  <c r="D89" i="11"/>
  <c r="J91" i="11"/>
  <c r="A15" i="2"/>
  <c r="B15" i="2"/>
  <c r="C19" i="8"/>
  <c r="F32" i="4"/>
  <c r="A19" i="8"/>
  <c r="B19" i="8"/>
  <c r="B20" i="5"/>
  <c r="E24" i="4"/>
  <c r="E17" i="2"/>
  <c r="E22" i="5"/>
  <c r="E21" i="8"/>
  <c r="T31" i="8"/>
  <c r="U31" i="8"/>
  <c r="S31" i="8"/>
  <c r="T2" i="8"/>
  <c r="N9" i="8"/>
  <c r="H12" i="8"/>
  <c r="O8" i="8"/>
  <c r="O31" i="8"/>
  <c r="M8" i="8"/>
  <c r="I11" i="8"/>
  <c r="M31" i="8"/>
  <c r="G11" i="8"/>
  <c r="A16" i="2"/>
  <c r="B16" i="2"/>
  <c r="A17" i="5"/>
  <c r="D90" i="11" a="1"/>
  <c r="H90" i="11"/>
  <c r="C90" i="11" a="1"/>
  <c r="I90" i="11"/>
  <c r="F90" i="11"/>
  <c r="A90" i="11" a="1"/>
  <c r="B90" i="11" a="1"/>
  <c r="E90" i="11"/>
  <c r="G90" i="11"/>
  <c r="D16" i="2"/>
  <c r="U2" i="8" a="1"/>
  <c r="H13" i="8" a="1"/>
  <c r="I12" i="8" a="1"/>
  <c r="D21" i="5"/>
  <c r="M9" i="8" a="1"/>
  <c r="C21" i="5"/>
  <c r="B21" i="5" a="1"/>
  <c r="G12" i="8" a="1"/>
  <c r="S2" i="8" a="1"/>
  <c r="C20" i="8" a="1"/>
  <c r="O9" i="8" a="1"/>
  <c r="B20" i="8" a="1"/>
  <c r="T3" i="8" a="1"/>
  <c r="A20" i="8" a="1"/>
  <c r="N10" i="8" a="1"/>
  <c r="C16" i="2"/>
  <c r="D20" i="8"/>
  <c r="A18" i="5" a="1"/>
  <c r="B90" i="11" l="1"/>
  <c r="A90" i="11"/>
  <c r="C90" i="11"/>
  <c r="D90" i="11"/>
  <c r="J92" i="11"/>
  <c r="J93" i="11" s="1"/>
  <c r="E25" i="4"/>
  <c r="A20" i="8"/>
  <c r="B20" i="8"/>
  <c r="C20" i="8"/>
  <c r="B21" i="5"/>
  <c r="F33" i="4"/>
  <c r="E18" i="2"/>
  <c r="E22" i="8"/>
  <c r="E23" i="5"/>
  <c r="T3" i="8"/>
  <c r="N10" i="8"/>
  <c r="H13" i="8"/>
  <c r="O9" i="8"/>
  <c r="G12" i="8"/>
  <c r="M9" i="8"/>
  <c r="I12" i="8"/>
  <c r="U2" i="8"/>
  <c r="S2" i="8"/>
  <c r="A18" i="5"/>
  <c r="H93" i="11"/>
  <c r="G93" i="11"/>
  <c r="C93" i="11" a="1"/>
  <c r="A93" i="11" a="1"/>
  <c r="D93" i="11" a="1"/>
  <c r="E93" i="11"/>
  <c r="F93" i="11"/>
  <c r="I93" i="11"/>
  <c r="B93" i="11" a="1"/>
  <c r="G91" i="11"/>
  <c r="D91" i="11" a="1"/>
  <c r="E91" i="11"/>
  <c r="F91" i="11"/>
  <c r="I91" i="11"/>
  <c r="C91" i="11" a="1"/>
  <c r="A91" i="11" a="1"/>
  <c r="B91" i="11" a="1"/>
  <c r="H91" i="11"/>
  <c r="C21" i="8" a="1"/>
  <c r="S3" i="8" a="1"/>
  <c r="B21" i="8" a="1"/>
  <c r="A19" i="5" a="1"/>
  <c r="D21" i="8"/>
  <c r="U3" i="8" a="1"/>
  <c r="A21" i="8" a="1"/>
  <c r="G13" i="8" a="1"/>
  <c r="B17" i="2" a="1"/>
  <c r="T4" i="8" a="1"/>
  <c r="A18" i="2" a="1"/>
  <c r="N11" i="8" a="1"/>
  <c r="C17" i="2"/>
  <c r="D22" i="5"/>
  <c r="H14" i="8" a="1"/>
  <c r="C22" i="5"/>
  <c r="I13" i="8" a="1"/>
  <c r="A17" i="2" a="1"/>
  <c r="D17" i="2"/>
  <c r="M10" i="8" a="1"/>
  <c r="O10" i="8" a="1"/>
  <c r="B22" i="5" a="1"/>
  <c r="B93" i="11" l="1"/>
  <c r="D93" i="11"/>
  <c r="A93" i="11"/>
  <c r="C93" i="11"/>
  <c r="J94" i="11"/>
  <c r="B91" i="11"/>
  <c r="A91" i="11"/>
  <c r="C91" i="11"/>
  <c r="D91" i="11"/>
  <c r="B22" i="5"/>
  <c r="A17" i="2"/>
  <c r="F34" i="4"/>
  <c r="E26" i="4"/>
  <c r="B17" i="2"/>
  <c r="A21" i="8"/>
  <c r="B21" i="8"/>
  <c r="C21" i="8"/>
  <c r="E23" i="8"/>
  <c r="E24" i="5"/>
  <c r="E19" i="2"/>
  <c r="T4" i="8"/>
  <c r="N11" i="8"/>
  <c r="H14" i="8"/>
  <c r="I13" i="8"/>
  <c r="U3" i="8"/>
  <c r="M10" i="8"/>
  <c r="S3" i="8"/>
  <c r="G13" i="8"/>
  <c r="O10" i="8"/>
  <c r="A18" i="2"/>
  <c r="A19" i="5"/>
  <c r="H94" i="11"/>
  <c r="A94" i="11" a="1"/>
  <c r="G94" i="11"/>
  <c r="I94" i="11"/>
  <c r="B94" i="11" a="1"/>
  <c r="E94" i="11"/>
  <c r="F94" i="11"/>
  <c r="D94" i="11" a="1"/>
  <c r="C94" i="11" a="1"/>
  <c r="C92" i="11" a="1"/>
  <c r="E92" i="11"/>
  <c r="D92" i="11" a="1"/>
  <c r="A92" i="11" a="1"/>
  <c r="G92" i="11"/>
  <c r="B92" i="11" a="1"/>
  <c r="H92" i="11"/>
  <c r="I92" i="11"/>
  <c r="F92" i="11"/>
  <c r="C22" i="8" a="1"/>
  <c r="I14" i="8" a="1"/>
  <c r="D23" i="5"/>
  <c r="B18" i="2" a="1"/>
  <c r="B23" i="5" a="1"/>
  <c r="M11" i="8" a="1"/>
  <c r="T5" i="8" a="1"/>
  <c r="D18" i="2"/>
  <c r="D22" i="8"/>
  <c r="H15" i="8" a="1"/>
  <c r="A22" i="8" a="1"/>
  <c r="O11" i="8" a="1"/>
  <c r="B22" i="8" a="1"/>
  <c r="G14" i="8" a="1"/>
  <c r="A20" i="5" a="1"/>
  <c r="C23" i="5"/>
  <c r="S4" i="8" a="1"/>
  <c r="N12" i="8" a="1"/>
  <c r="U4" i="8" a="1"/>
  <c r="C18" i="2"/>
  <c r="C94" i="11" l="1"/>
  <c r="D94" i="11"/>
  <c r="B94" i="11"/>
  <c r="A94" i="11"/>
  <c r="J95" i="11"/>
  <c r="B92" i="11"/>
  <c r="A92" i="11"/>
  <c r="D92" i="11"/>
  <c r="C92" i="11"/>
  <c r="E27" i="4"/>
  <c r="F35" i="4"/>
  <c r="B22" i="8"/>
  <c r="A22" i="8"/>
  <c r="B23" i="5"/>
  <c r="C22" i="8"/>
  <c r="E20" i="2"/>
  <c r="E25" i="5"/>
  <c r="E24" i="8"/>
  <c r="B18" i="2"/>
  <c r="T5" i="8"/>
  <c r="N12" i="8"/>
  <c r="H15" i="8"/>
  <c r="G14" i="8"/>
  <c r="I14" i="8"/>
  <c r="U4" i="8"/>
  <c r="S4" i="8"/>
  <c r="M11" i="8"/>
  <c r="O11" i="8"/>
  <c r="A20" i="5"/>
  <c r="D95" i="11" a="1"/>
  <c r="G95" i="11"/>
  <c r="C95" i="11" a="1"/>
  <c r="I95" i="11"/>
  <c r="B95" i="11" a="1"/>
  <c r="A95" i="11" a="1"/>
  <c r="F95" i="11"/>
  <c r="H95" i="11"/>
  <c r="E95" i="11"/>
  <c r="D24" i="5"/>
  <c r="I15" i="8" a="1"/>
  <c r="G15" i="8" a="1"/>
  <c r="A23" i="8" a="1"/>
  <c r="N13" i="8" a="1"/>
  <c r="D19" i="2"/>
  <c r="A21" i="5" a="1"/>
  <c r="A19" i="2" a="1"/>
  <c r="S5" i="8" a="1"/>
  <c r="C24" i="5"/>
  <c r="U5" i="8" a="1"/>
  <c r="B24" i="5" a="1"/>
  <c r="D23" i="8"/>
  <c r="T6" i="8" a="1"/>
  <c r="O12" i="8" a="1"/>
  <c r="B23" i="8" a="1"/>
  <c r="B19" i="2" a="1"/>
  <c r="C23" i="8" a="1"/>
  <c r="B20" i="2" a="1"/>
  <c r="C19" i="2"/>
  <c r="H16" i="8" a="1"/>
  <c r="M12" i="8" a="1"/>
  <c r="A95" i="11" l="1"/>
  <c r="B95" i="11"/>
  <c r="C95" i="11"/>
  <c r="D95" i="11"/>
  <c r="J96" i="11"/>
  <c r="E28" i="4"/>
  <c r="C23" i="8"/>
  <c r="B23" i="8"/>
  <c r="B24" i="5"/>
  <c r="F36" i="4"/>
  <c r="A23" i="8"/>
  <c r="E21" i="2"/>
  <c r="E25" i="8"/>
  <c r="B19" i="2"/>
  <c r="A19" i="2"/>
  <c r="T6" i="8"/>
  <c r="N13" i="8"/>
  <c r="H16" i="8"/>
  <c r="U5" i="8"/>
  <c r="O12" i="8"/>
  <c r="S5" i="8"/>
  <c r="M12" i="8"/>
  <c r="I15" i="8"/>
  <c r="G15" i="8"/>
  <c r="B20" i="2"/>
  <c r="A21" i="5"/>
  <c r="A96" i="11" a="1"/>
  <c r="E96" i="11"/>
  <c r="F96" i="11"/>
  <c r="D96" i="11" a="1"/>
  <c r="G96" i="11"/>
  <c r="C96" i="11" a="1"/>
  <c r="I96" i="11"/>
  <c r="B96" i="11" a="1"/>
  <c r="H96" i="11"/>
  <c r="D25" i="5"/>
  <c r="A22" i="5" a="1"/>
  <c r="T7" i="8" a="1"/>
  <c r="G16" i="8" a="1"/>
  <c r="B25" i="5" a="1"/>
  <c r="B24" i="8" a="1"/>
  <c r="C24" i="8" a="1"/>
  <c r="D24" i="8"/>
  <c r="M13" i="8" a="1"/>
  <c r="H17" i="8" a="1"/>
  <c r="B21" i="2" a="1"/>
  <c r="A24" i="8" a="1"/>
  <c r="I16" i="8" a="1"/>
  <c r="C20" i="2"/>
  <c r="A20" i="2" a="1"/>
  <c r="S6" i="8" a="1"/>
  <c r="D20" i="2"/>
  <c r="C25" i="5"/>
  <c r="U6" i="8" a="1"/>
  <c r="O13" i="8" a="1"/>
  <c r="B96" i="11" l="1"/>
  <c r="C96" i="11"/>
  <c r="D96" i="11"/>
  <c r="A96" i="11"/>
  <c r="J97" i="11"/>
  <c r="F37" i="4"/>
  <c r="A20" i="2"/>
  <c r="F23" i="4"/>
  <c r="A24" i="8"/>
  <c r="C24" i="8"/>
  <c r="B24" i="8"/>
  <c r="B25" i="5"/>
  <c r="E22" i="2"/>
  <c r="E26" i="8"/>
  <c r="T7" i="8"/>
  <c r="H17" i="8"/>
  <c r="M13" i="8"/>
  <c r="G16" i="8"/>
  <c r="O13" i="8"/>
  <c r="U6" i="8"/>
  <c r="S6" i="8"/>
  <c r="I16" i="8"/>
  <c r="B21" i="2"/>
  <c r="A22" i="5"/>
  <c r="E97" i="11"/>
  <c r="B97" i="11" a="1"/>
  <c r="H97" i="11"/>
  <c r="D97" i="11" a="1"/>
  <c r="I97" i="11"/>
  <c r="C97" i="11" a="1"/>
  <c r="G97" i="11"/>
  <c r="F97" i="11"/>
  <c r="A97" i="11" a="1"/>
  <c r="A23" i="5" a="1"/>
  <c r="S7" i="8" a="1"/>
  <c r="G17" i="8" a="1"/>
  <c r="U7" i="8" a="1"/>
  <c r="I17" i="8" a="1"/>
  <c r="C21" i="2"/>
  <c r="D21" i="2"/>
  <c r="B22" i="2" a="1"/>
  <c r="B25" i="8" a="1"/>
  <c r="C25" i="8" a="1"/>
  <c r="D25" i="8"/>
  <c r="A25" i="8" a="1"/>
  <c r="H18" i="8" a="1"/>
  <c r="A21" i="2" a="1"/>
  <c r="A97" i="11" l="1"/>
  <c r="C97" i="11"/>
  <c r="D97" i="11"/>
  <c r="B97" i="11"/>
  <c r="J98" i="11"/>
  <c r="A25" i="8"/>
  <c r="C25" i="8"/>
  <c r="B25" i="8"/>
  <c r="F24" i="4"/>
  <c r="E23" i="2"/>
  <c r="E27" i="8"/>
  <c r="A21" i="2"/>
  <c r="H18" i="8"/>
  <c r="S7" i="8"/>
  <c r="I17" i="8"/>
  <c r="G17" i="8"/>
  <c r="U7" i="8"/>
  <c r="B22" i="2"/>
  <c r="A23" i="5"/>
  <c r="C98" i="11" a="1"/>
  <c r="I98" i="11"/>
  <c r="B98" i="11" a="1"/>
  <c r="G98" i="11"/>
  <c r="A98" i="11" a="1"/>
  <c r="D98" i="11" a="1"/>
  <c r="H98" i="11"/>
  <c r="F98" i="11"/>
  <c r="E98" i="11"/>
  <c r="A26" i="8" a="1"/>
  <c r="H19" i="8" a="1"/>
  <c r="G18" i="8" a="1"/>
  <c r="B26" i="8" a="1"/>
  <c r="C22" i="2"/>
  <c r="A24" i="5" a="1"/>
  <c r="A22" i="2" a="1"/>
  <c r="D26" i="8"/>
  <c r="I18" i="8" a="1"/>
  <c r="D22" i="2"/>
  <c r="C26" i="8" a="1"/>
  <c r="A23" i="2" a="1"/>
  <c r="D98" i="11" l="1"/>
  <c r="A98" i="11"/>
  <c r="B98" i="11"/>
  <c r="C98" i="11"/>
  <c r="J99" i="11"/>
  <c r="C26" i="8"/>
  <c r="F25" i="4"/>
  <c r="B26" i="8"/>
  <c r="A26" i="8"/>
  <c r="E28" i="8"/>
  <c r="E24" i="2"/>
  <c r="A22" i="2"/>
  <c r="H19" i="8"/>
  <c r="G18" i="8"/>
  <c r="I18" i="8"/>
  <c r="A23" i="2"/>
  <c r="A24" i="5"/>
  <c r="G99" i="11"/>
  <c r="A99" i="11" a="1"/>
  <c r="F99" i="11"/>
  <c r="I99" i="11"/>
  <c r="E99" i="11"/>
  <c r="D99" i="11" a="1"/>
  <c r="C99" i="11" a="1"/>
  <c r="B99" i="11" a="1"/>
  <c r="H99" i="11"/>
  <c r="B24" i="2" a="1"/>
  <c r="G19" i="8" a="1"/>
  <c r="B27" i="8" a="1"/>
  <c r="A27" i="8" a="1"/>
  <c r="I19" i="8" a="1"/>
  <c r="C27" i="8" a="1"/>
  <c r="D27" i="8"/>
  <c r="A25" i="5" a="1"/>
  <c r="B23" i="2" a="1"/>
  <c r="D23" i="2"/>
  <c r="C23" i="2"/>
  <c r="A24" i="2" a="1"/>
  <c r="B99" i="11" l="1"/>
  <c r="C99" i="11"/>
  <c r="D99" i="11"/>
  <c r="A99" i="11"/>
  <c r="J100" i="11"/>
  <c r="F26" i="4"/>
  <c r="B23" i="2"/>
  <c r="C27" i="8"/>
  <c r="A27" i="8"/>
  <c r="B27" i="8"/>
  <c r="E29" i="8"/>
  <c r="E25" i="2"/>
  <c r="I19" i="8"/>
  <c r="G19" i="8"/>
  <c r="A24" i="2"/>
  <c r="B24" i="2"/>
  <c r="A25" i="5"/>
  <c r="D100" i="11" a="1"/>
  <c r="E100" i="11"/>
  <c r="C100" i="11" a="1"/>
  <c r="I100" i="11"/>
  <c r="B100" i="11" a="1"/>
  <c r="H100" i="11"/>
  <c r="G100" i="11"/>
  <c r="A100" i="11" a="1"/>
  <c r="F100" i="11"/>
  <c r="C24" i="2"/>
  <c r="B25" i="2" a="1"/>
  <c r="A25" i="2" a="1"/>
  <c r="C28" i="8" a="1"/>
  <c r="A28" i="8" a="1"/>
  <c r="B28" i="8" a="1"/>
  <c r="D28" i="8"/>
  <c r="D24" i="2"/>
  <c r="A100" i="11" l="1"/>
  <c r="B100" i="11"/>
  <c r="C100" i="11"/>
  <c r="D100" i="11"/>
  <c r="J101" i="11"/>
  <c r="B28" i="8"/>
  <c r="A28" i="8"/>
  <c r="C28" i="8"/>
  <c r="F27" i="4"/>
  <c r="E30" i="8"/>
  <c r="A25" i="2"/>
  <c r="B25" i="2"/>
  <c r="H101" i="11"/>
  <c r="G101" i="11"/>
  <c r="C101" i="11" a="1"/>
  <c r="D101" i="11" a="1"/>
  <c r="F101" i="11"/>
  <c r="A101" i="11" a="1"/>
  <c r="E101" i="11"/>
  <c r="I101" i="11"/>
  <c r="B101" i="11" a="1"/>
  <c r="C25" i="2"/>
  <c r="B29" i="8" a="1"/>
  <c r="D29" i="8"/>
  <c r="C29" i="8" a="1"/>
  <c r="A29" i="8" a="1"/>
  <c r="D25" i="2"/>
  <c r="B101" i="11" l="1"/>
  <c r="A101" i="11"/>
  <c r="D101" i="11"/>
  <c r="C101" i="11"/>
  <c r="J102" i="11"/>
  <c r="A29" i="8"/>
  <c r="C29" i="8"/>
  <c r="B29" i="8"/>
  <c r="E31" i="8"/>
  <c r="F28" i="4"/>
  <c r="E102" i="11"/>
  <c r="A102" i="11" a="1"/>
  <c r="G102" i="11"/>
  <c r="D102" i="11" a="1"/>
  <c r="C102" i="11" a="1"/>
  <c r="I102" i="11"/>
  <c r="B102" i="11" a="1"/>
  <c r="H102" i="11"/>
  <c r="F102" i="11"/>
  <c r="D30" i="8"/>
  <c r="A30" i="8" a="1"/>
  <c r="B30" i="8" a="1"/>
  <c r="C30" i="8" a="1"/>
  <c r="B102" i="11" l="1"/>
  <c r="C102" i="11"/>
  <c r="D102" i="11"/>
  <c r="A102" i="11"/>
  <c r="J103" i="11"/>
  <c r="C30" i="8"/>
  <c r="B30" i="8"/>
  <c r="A30" i="8"/>
  <c r="H103" i="11"/>
  <c r="E103" i="11"/>
  <c r="B103" i="11" a="1"/>
  <c r="I103" i="11"/>
  <c r="G103" i="11"/>
  <c r="A103" i="11" a="1"/>
  <c r="F103" i="11"/>
  <c r="D103" i="11" a="1"/>
  <c r="C103" i="11" a="1"/>
  <c r="D31" i="8"/>
  <c r="B31" i="8" a="1"/>
  <c r="A31" i="8" a="1"/>
  <c r="C31" i="8" a="1"/>
  <c r="C103" i="11" l="1"/>
  <c r="D103" i="11"/>
  <c r="A103" i="11"/>
  <c r="B103" i="11"/>
  <c r="J104" i="11"/>
  <c r="C31" i="8"/>
  <c r="A31" i="8"/>
  <c r="B31" i="8"/>
  <c r="A104" i="11" a="1"/>
  <c r="G104" i="11"/>
  <c r="F104" i="11"/>
  <c r="E104" i="11"/>
  <c r="D104" i="11" a="1"/>
  <c r="C104" i="11" a="1"/>
  <c r="I104" i="11"/>
  <c r="B104" i="11" a="1"/>
  <c r="H104" i="11"/>
  <c r="B104" i="11" l="1"/>
  <c r="C104" i="11"/>
  <c r="D104" i="11"/>
  <c r="A104" i="11"/>
  <c r="J105" i="11"/>
  <c r="G105" i="11"/>
  <c r="C105" i="11" a="1"/>
  <c r="H105" i="11"/>
  <c r="I105" i="11"/>
  <c r="F105" i="11"/>
  <c r="A105" i="11" a="1"/>
  <c r="B105" i="11" a="1"/>
  <c r="E105" i="11"/>
  <c r="D105" i="11" a="1"/>
  <c r="D105" i="11" l="1"/>
  <c r="B105" i="11"/>
  <c r="A105" i="11"/>
  <c r="C105" i="11"/>
  <c r="J106" i="11"/>
  <c r="H106" i="11"/>
  <c r="G106" i="11"/>
  <c r="F106" i="11"/>
  <c r="A106" i="11" a="1"/>
  <c r="E106" i="11"/>
  <c r="D106" i="11" a="1"/>
  <c r="C106" i="11" a="1"/>
  <c r="I106" i="11"/>
  <c r="B106" i="11" a="1"/>
  <c r="B106" i="11" l="1"/>
  <c r="C106" i="11"/>
  <c r="D106" i="11"/>
  <c r="A106" i="11"/>
  <c r="J107" i="11"/>
  <c r="G107" i="11"/>
  <c r="B107" i="11" a="1"/>
  <c r="I107" i="11"/>
  <c r="C107" i="11" a="1"/>
  <c r="A107" i="11" a="1"/>
  <c r="F107" i="11"/>
  <c r="D107" i="11" a="1"/>
  <c r="H107" i="11"/>
  <c r="E107" i="11"/>
  <c r="D107" i="11" l="1"/>
  <c r="A107" i="11"/>
  <c r="C107" i="11"/>
  <c r="B107" i="11"/>
  <c r="J108" i="11"/>
  <c r="H108" i="11"/>
  <c r="I108" i="11"/>
  <c r="B108" i="11" a="1"/>
  <c r="E108" i="11"/>
  <c r="D108" i="11" a="1"/>
  <c r="G108" i="11"/>
  <c r="A108" i="11" a="1"/>
  <c r="C108" i="11" a="1"/>
  <c r="F108" i="11"/>
  <c r="C108" i="11" l="1"/>
  <c r="A108" i="11"/>
  <c r="D108" i="11"/>
  <c r="B108" i="11"/>
  <c r="J109" i="11"/>
  <c r="E109" i="11"/>
  <c r="A109" i="11" a="1"/>
  <c r="D109" i="11" a="1"/>
  <c r="F109" i="11"/>
  <c r="G109" i="11"/>
  <c r="C109" i="11" a="1"/>
  <c r="I109" i="11"/>
  <c r="B109" i="11" a="1"/>
  <c r="H109" i="11"/>
  <c r="B109" i="11" l="1"/>
  <c r="C109" i="11"/>
  <c r="D109" i="11"/>
  <c r="A109" i="11"/>
  <c r="J110" i="11"/>
  <c r="F110" i="11"/>
  <c r="A110" i="11" a="1"/>
  <c r="I110" i="11"/>
  <c r="B110" i="11" a="1"/>
  <c r="G110" i="11"/>
  <c r="C110" i="11" a="1"/>
  <c r="H110" i="11"/>
  <c r="E110" i="11"/>
  <c r="D110" i="11" a="1"/>
  <c r="D110" i="11" l="1"/>
  <c r="C110" i="11"/>
  <c r="B110" i="11"/>
  <c r="A110" i="11"/>
  <c r="J111" i="11"/>
  <c r="I111" i="11"/>
  <c r="H111" i="11"/>
  <c r="A111" i="11" a="1"/>
  <c r="D111" i="11" a="1"/>
  <c r="G111" i="11"/>
  <c r="F111" i="11"/>
  <c r="E111" i="11"/>
  <c r="C111" i="11" a="1"/>
  <c r="B111" i="11" a="1"/>
  <c r="B111" i="11" l="1"/>
  <c r="C111" i="11"/>
  <c r="D111" i="11"/>
  <c r="A111" i="11"/>
  <c r="J112" i="11"/>
  <c r="A112" i="11" a="1"/>
  <c r="B112" i="11" a="1"/>
  <c r="D112" i="11" a="1"/>
  <c r="C112" i="11" a="1"/>
  <c r="H112" i="11"/>
  <c r="I112" i="11"/>
  <c r="G112" i="11"/>
  <c r="F112" i="11"/>
  <c r="E112" i="11"/>
  <c r="C112" i="11" l="1"/>
  <c r="D112" i="11"/>
  <c r="B112" i="11"/>
  <c r="A112" i="11"/>
  <c r="J113" i="11"/>
  <c r="I113" i="11"/>
  <c r="E113" i="11"/>
  <c r="H113" i="11"/>
  <c r="F113" i="11"/>
  <c r="A113" i="11" a="1"/>
  <c r="B113" i="11" a="1"/>
  <c r="G113" i="11"/>
  <c r="D113" i="11" a="1"/>
  <c r="C113" i="11" a="1"/>
  <c r="C113" i="11" l="1"/>
  <c r="D113" i="11"/>
  <c r="B113" i="11"/>
  <c r="A113" i="11"/>
  <c r="J114" i="11"/>
  <c r="H114" i="11"/>
  <c r="A114" i="11" a="1"/>
  <c r="F114" i="11"/>
  <c r="D114" i="11" a="1"/>
  <c r="I114" i="11"/>
  <c r="E114" i="11"/>
  <c r="C114" i="11" a="1"/>
  <c r="B114" i="11" a="1"/>
  <c r="G114" i="11"/>
  <c r="B114" i="11" l="1"/>
  <c r="C114" i="11"/>
  <c r="D114" i="11"/>
  <c r="A114" i="11"/>
  <c r="J115" i="11"/>
  <c r="F115" i="11"/>
  <c r="A115" i="11" a="1"/>
  <c r="G115" i="11"/>
  <c r="C115" i="11" a="1"/>
  <c r="I115" i="11"/>
  <c r="B115" i="11" a="1"/>
  <c r="H115" i="11"/>
  <c r="E115" i="11"/>
  <c r="D115" i="11" a="1"/>
  <c r="D115" i="11" l="1"/>
  <c r="B115" i="11"/>
  <c r="C115" i="11"/>
  <c r="A115" i="11"/>
  <c r="J116" i="11"/>
  <c r="B116" i="11" a="1"/>
  <c r="D116" i="11" a="1"/>
  <c r="G116" i="11"/>
  <c r="A116" i="11" a="1"/>
  <c r="E116" i="11"/>
  <c r="C116" i="11" a="1"/>
  <c r="F116" i="11"/>
  <c r="I116" i="11"/>
  <c r="H116" i="11"/>
  <c r="C116" i="11" l="1"/>
  <c r="A116" i="11"/>
  <c r="D116" i="11"/>
  <c r="B116" i="11"/>
  <c r="J117" i="11"/>
  <c r="B117" i="11" a="1"/>
  <c r="E117" i="11"/>
  <c r="A117" i="11" a="1"/>
  <c r="D117" i="11" a="1"/>
  <c r="G117" i="11"/>
  <c r="C117" i="11" a="1"/>
  <c r="I117" i="11"/>
  <c r="H117" i="11"/>
  <c r="F117" i="11"/>
  <c r="C117" i="11" l="1"/>
  <c r="D117" i="11"/>
  <c r="A117" i="11"/>
  <c r="B117" i="11"/>
  <c r="J118" i="11"/>
  <c r="E118" i="11"/>
  <c r="I118" i="11"/>
  <c r="H118" i="11"/>
  <c r="A118" i="11" a="1"/>
  <c r="F118" i="11"/>
  <c r="B118" i="11" a="1"/>
  <c r="G118" i="11"/>
  <c r="D118" i="11" a="1"/>
  <c r="C118" i="11" a="1"/>
  <c r="C118" i="11" l="1"/>
  <c r="D118" i="11"/>
  <c r="B118" i="11"/>
  <c r="A118" i="11"/>
  <c r="J119" i="11"/>
  <c r="H119" i="11"/>
  <c r="I119" i="11"/>
  <c r="C119" i="11" a="1"/>
  <c r="B119" i="11" a="1"/>
  <c r="A119" i="11" a="1"/>
  <c r="F119" i="11"/>
  <c r="E119" i="11"/>
  <c r="D119" i="11" a="1"/>
  <c r="G119" i="11"/>
  <c r="D119" i="11" l="1"/>
  <c r="A119" i="11"/>
  <c r="B119" i="11"/>
  <c r="C119" i="11"/>
  <c r="J120" i="11"/>
  <c r="H120" i="11"/>
  <c r="D120" i="11" a="1"/>
  <c r="G120" i="11"/>
  <c r="A120" i="11" a="1"/>
  <c r="E120" i="11"/>
  <c r="I120" i="11"/>
  <c r="B120" i="11" a="1"/>
  <c r="F120" i="11"/>
  <c r="C120" i="11" a="1"/>
  <c r="C120" i="11" l="1"/>
  <c r="B120" i="11"/>
  <c r="A120" i="11"/>
  <c r="D120" i="11"/>
  <c r="J121" i="11"/>
  <c r="F121" i="11"/>
  <c r="A121" i="11" a="1"/>
  <c r="E121" i="11"/>
  <c r="H121" i="11"/>
  <c r="D121" i="11" a="1"/>
  <c r="C121" i="11" a="1"/>
  <c r="I121" i="11"/>
  <c r="B121" i="11" a="1"/>
  <c r="G121" i="11"/>
  <c r="B121" i="11" l="1"/>
  <c r="C121" i="11"/>
  <c r="D121" i="11"/>
  <c r="A121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<sst xmlns="http://schemas.openxmlformats.org/spreadsheetml/2006/main" count="4196" uniqueCount="114">
  <si>
    <t>protocol</t>
  </si>
  <si>
    <t>payload_bytes</t>
  </si>
  <si>
    <t>updates_per_second</t>
  </si>
  <si>
    <t>total_updates</t>
  </si>
  <si>
    <t>drops</t>
  </si>
  <si>
    <t>errors</t>
  </si>
  <si>
    <t>duration_seconds</t>
  </si>
  <si>
    <t>CA</t>
  </si>
  <si>
    <t>PVA</t>
  </si>
  <si>
    <t>SPVA</t>
  </si>
  <si>
    <t>SPVA_CERTMON</t>
  </si>
  <si>
    <t>cat /tmp/pvxperf-full-results.csv</t>
  </si>
  <si>
    <t>Sequential Mode (1 subscription)</t>
  </si>
  <si>
    <t>Payload</t>
  </si>
  <si>
    <t>1B</t>
  </si>
  <si>
    <t>10B</t>
  </si>
  <si>
    <t>100B</t>
  </si>
  <si>
    <t>1KB</t>
  </si>
  <si>
    <t>10KB</t>
  </si>
  <si>
    <t>100KB</t>
  </si>
  <si>
    <t>Parallel Mode (1000 subscriptions)</t>
  </si>
  <si>
    <t>Key Observations</t>
  </si>
  <si>
    <t>row to choose</t>
  </si>
  <si>
    <t>payload_mode</t>
  </si>
  <si>
    <t>subscribers</t>
  </si>
  <si>
    <t>raw</t>
  </si>
  <si>
    <t>per_sub_updates_per_second</t>
  </si>
  <si>
    <t>Per Sub Uodates</t>
  </si>
  <si>
    <t>Payload Size</t>
  </si>
  <si>
    <t>Subscribers</t>
  </si>
  <si>
    <t>Protocol</t>
  </si>
  <si>
    <t>Summary</t>
  </si>
  <si>
    <t>Platform</t>
  </si>
  <si>
    <t>macOS darwin-aarch64 (Apple Silicon)</t>
  </si>
  <si>
    <t>EPICS Base</t>
  </si>
  <si>
    <t>R7.0.10</t>
  </si>
  <si>
    <t>PVXS</t>
  </si>
  <si>
    <t>1.5.0</t>
  </si>
  <si>
    <t>OpenSSL</t>
  </si>
  <si>
    <t>3.6.1</t>
  </si>
  <si>
    <t>1000 parallel subscriptions</t>
  </si>
  <si>
    <t>5s measurement per data point</t>
  </si>
  <si>
    <t>100 warm-up updates</t>
  </si>
  <si>
    <t>loopback (127.0.0.1)</t>
  </si>
  <si>
    <t>isolated server ↔ client in same process</t>
  </si>
  <si>
    <t>Transport</t>
  </si>
  <si>
    <t>Results</t>
  </si>
  <si>
    <t>Environment</t>
  </si>
  <si>
    <t>Benchmark Config</t>
  </si>
  <si>
    <t>All values are updates/second (application-layer throughput).</t>
  </si>
  <si>
    <t>Drops are expected — they reflect squashed updates under load, not errors.</t>
  </si>
  <si>
    <t>PVA vs SPVA vs SPVA_CERTMON</t>
  </si>
  <si>
    <t>Virtually identical throughput</t>
  </si>
  <si>
    <t>TLS encryption and certificate monitoring add no measurable overhead.</t>
  </si>
  <si>
    <t>100KB payloads are the equalizer</t>
  </si>
  <si>
    <t>indicating the bottleneck shifts to memory/serialization.</t>
  </si>
  <si>
    <t>all protocols converge to ~15K/s</t>
  </si>
  <si>
    <t>PVA/SPVA vs CA</t>
  </si>
  <si>
    <t>outperform CA by ~3-4x in parallel mode for small-to-medium payloads</t>
  </si>
  <si>
    <t>parallel scales ~4-7x over sequential for small payloads (1B–100B)</t>
  </si>
  <si>
    <t>PVA/SPVA</t>
  </si>
  <si>
    <t>tapering at larger sizes.</t>
  </si>
  <si>
    <t>parallel scales ~2-3x over sequential for small payloads</t>
  </si>
  <si>
    <t>degrades faster with payload size</t>
  </si>
  <si>
    <t>How to run</t>
  </si>
  <si>
    <t>PVXS_LOG="pvxs.perf=INFO" ./bin/darwin-aarch64/pvxperf \</t>
  </si>
  <si>
    <t>--setup-cms \</t>
  </si>
  <si>
    <t>--keychain test/O.darwin-aarch64/server1.p12 \</t>
  </si>
  <si>
    <t>--duration 5 \</t>
  </si>
  <si>
    <t>--output /tmp/pvxperf-full-results.csv 2&gt;&amp;1</t>
  </si>
  <si>
    <t>* paste csv contents in last tab to see graphs</t>
  </si>
  <si>
    <t>topology</t>
  </si>
  <si>
    <t>iteration</t>
  </si>
  <si>
    <t>loopback</t>
  </si>
  <si>
    <t>stdandard_dev</t>
  </si>
  <si>
    <t>standard_dev</t>
  </si>
  <si>
    <t>&lt;==</t>
  </si>
  <si>
    <t>PASTE CSV to the left</t>
  </si>
  <si>
    <t>pva_queue_size</t>
  </si>
  <si>
    <t>PVA performance is very sensitive to changes in pipeline window when it has larger payloads.  In the above benchmark</t>
  </si>
  <si>
    <t>CA has an effective window of 144 while PVA, and SPVA have a window of 4 for payloads of 100KB.  This is why we see</t>
  </si>
  <si>
    <t>different performance numbers for CA vs PVA - apples to oranges!</t>
  </si>
  <si>
    <t>PVA and SPVA again perform exactly the same and both outperform CA by roughly 4 times</t>
  </si>
  <si>
    <t xml:space="preserve">This graph compares the increase in aggregated data throughput that can be achieved by applying a thousand subscribers </t>
  </si>
  <si>
    <t>to the same source with varying payload sizes</t>
  </si>
  <si>
    <t>Topology</t>
  </si>
  <si>
    <t>Subs</t>
  </si>
  <si>
    <t>Mean Ups</t>
  </si>
  <si>
    <t>Stddev</t>
  </si>
  <si>
    <t>Min</t>
  </si>
  <si>
    <t>Max</t>
  </si>
  <si>
    <t>Drops</t>
  </si>
  <si>
    <t>Phase</t>
  </si>
  <si>
    <t>PVA (baseline)</t>
  </si>
  <si>
    <t>test_type</t>
  </si>
  <si>
    <t>phase</t>
  </si>
  <si>
    <t>duration_us</t>
  </si>
  <si>
    <t>connection_phase</t>
  </si>
  <si>
    <t>search</t>
  </si>
  <si>
    <t>tcp_connect</t>
  </si>
  <si>
    <t>validation</t>
  </si>
  <si>
    <t>create_channel</t>
  </si>
  <si>
    <t>total</t>
  </si>
  <si>
    <t>PASTE connection phase CSV to the left</t>
  </si>
  <si>
    <t>TOTAL</t>
  </si>
  <si>
    <t>Search</t>
  </si>
  <si>
    <t>Connect</t>
  </si>
  <si>
    <t>Validate</t>
  </si>
  <si>
    <t>Create Channel</t>
  </si>
  <si>
    <t xml:space="preserve">           ± %</t>
  </si>
  <si>
    <t xml:space="preserve">         ± %</t>
  </si>
  <si>
    <t>SPVA Cert Monitor</t>
  </si>
  <si>
    <t>SPVA (with or without certificate monitoring) performs 200% better than CA with about 30% lower throughput than PVA</t>
  </si>
  <si>
    <t>What these sets of graphs DO show conclusively is that PVA compared performs nearly 290% netter than 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</si>
</sst>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70" formatCode="_(* #,##0.00_)\ &quot;ms&quot;;_(* \(#,##0.00\);_(* &quot;-&quot;??_);_(@_)"/>
    <numFmt numFmtId="174" formatCode="_(* #,##0.0_)\ &quot;ms&quot;;_(* \(#,##0.0\);_(* &quot;-&quot;??_);_(@_)"/>
    <numFmt numFmtId="175" formatCode="0.00\ &quot;ms&quot;"/>
    <numFmt numFmtId="178" formatCode="&quot;(&quot;#,##0.00&quot;%)&quot;"/>
    <numFmt numFmtId="179" formatCode="#,##0.00&quot; %&quot;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Meslo LG L DZ Regular for Powe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3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3" fillId="0" borderId="1" xfId="3"/>
    <xf numFmtId="0" fontId="4" fillId="0" borderId="2" xfId="4"/>
    <xf numFmtId="0" fontId="18" fillId="0" borderId="0" xfId="0" applyFont="1"/>
    <xf numFmtId="0" fontId="5" fillId="0" borderId="3" xfId="5"/>
    <xf numFmtId="0" fontId="5" fillId="0" borderId="0" xfId="6"/>
    <xf numFmtId="0" fontId="1" fillId="23" borderId="0" xfId="33"/>
    <xf numFmtId="3" fontId="1" fillId="23" borderId="0" xfId="33" applyNumberFormat="1"/>
    <xf numFmtId="0" fontId="1" fillId="22" borderId="0" xfId="32"/>
    <xf numFmtId="0" fontId="15" fillId="0" borderId="0" xfId="17"/>
    <xf numFmtId="0" fontId="6" fillId="2" borderId="0" xfId="7"/>
    <xf numFmtId="0" fontId="8" fillId="4" borderId="0" xfId="9"/>
    <xf numFmtId="0" fontId="7" fillId="3" borderId="0" xfId="8"/>
    <xf numFmtId="0" fontId="18" fillId="0" borderId="0" xfId="0" quotePrefix="1" applyFont="1"/>
    <xf numFmtId="3" fontId="0" fillId="22" borderId="0" xfId="32" applyNumberFormat="1" applyFont="1"/>
    <xf numFmtId="164" fontId="0" fillId="34" borderId="11" xfId="1" applyNumberFormat="1" applyFont="1" applyFill="1" applyBorder="1"/>
    <xf numFmtId="164" fontId="0" fillId="0" borderId="11" xfId="1" applyNumberFormat="1" applyFont="1" applyBorder="1"/>
    <xf numFmtId="0" fontId="13" fillId="33" borderId="0" xfId="0" applyFont="1" applyFill="1"/>
    <xf numFmtId="164" fontId="0" fillId="34" borderId="12" xfId="1" applyNumberFormat="1" applyFont="1" applyFill="1" applyBorder="1"/>
    <xf numFmtId="164" fontId="0" fillId="0" borderId="12" xfId="1" applyNumberFormat="1" applyFont="1" applyBorder="1"/>
    <xf numFmtId="0" fontId="0" fillId="34" borderId="10" xfId="0" applyFill="1" applyBorder="1"/>
    <xf numFmtId="0" fontId="0" fillId="0" borderId="10" xfId="0" applyBorder="1"/>
    <xf numFmtId="0" fontId="0" fillId="0" borderId="0" xfId="0" applyAlignment="1">
      <alignment horizontal="right"/>
    </xf>
    <xf numFmtId="43" fontId="0" fillId="34" borderId="11" xfId="1" applyFont="1" applyFill="1" applyBorder="1"/>
    <xf numFmtId="43" fontId="0" fillId="0" borderId="11" xfId="1" applyFont="1" applyBorder="1"/>
    <xf numFmtId="164" fontId="0" fillId="0" borderId="11" xfId="0" applyNumberFormat="1" applyBorder="1"/>
    <xf numFmtId="164" fontId="0" fillId="34" borderId="11" xfId="0" applyNumberFormat="1" applyFill="1" applyBorder="1"/>
    <xf numFmtId="0" fontId="0" fillId="0" borderId="0" xfId="0" applyAlignment="1">
      <alignment horizontal="center"/>
    </xf>
    <xf numFmtId="175" fontId="0" fillId="0" borderId="0" xfId="0" applyNumberFormat="1"/>
    <xf numFmtId="0" fontId="16" fillId="0" borderId="9" xfId="18"/>
    <xf numFmtId="174" fontId="16" fillId="2" borderId="9" xfId="18" applyNumberFormat="1" applyFill="1"/>
    <xf numFmtId="0" fontId="16" fillId="2" borderId="9" xfId="18" applyFill="1"/>
    <xf numFmtId="174" fontId="16" fillId="4" borderId="9" xfId="18" applyNumberFormat="1" applyFill="1"/>
    <xf numFmtId="0" fontId="16" fillId="4" borderId="9" xfId="18" applyFill="1"/>
    <xf numFmtId="170" fontId="16" fillId="3" borderId="9" xfId="18" applyNumberFormat="1" applyFill="1"/>
    <xf numFmtId="0" fontId="16" fillId="3" borderId="9" xfId="18" applyFill="1"/>
    <xf numFmtId="0" fontId="4" fillId="2" borderId="2" xfId="4" applyFill="1" applyAlignment="1">
      <alignment horizontal="center"/>
    </xf>
    <xf numFmtId="0" fontId="4" fillId="4" borderId="2" xfId="4" applyFill="1" applyAlignment="1">
      <alignment horizontal="center"/>
    </xf>
    <xf numFmtId="0" fontId="4" fillId="3" borderId="2" xfId="4" applyFill="1" applyAlignment="1">
      <alignment horizontal="left"/>
    </xf>
    <xf numFmtId="0" fontId="4" fillId="3" borderId="2" xfId="4" applyFill="1"/>
    <xf numFmtId="174" fontId="1" fillId="32" borderId="0" xfId="42" applyNumberFormat="1"/>
    <xf numFmtId="174" fontId="1" fillId="24" borderId="0" xfId="34" applyNumberFormat="1"/>
    <xf numFmtId="0" fontId="1" fillId="31" borderId="0" xfId="41"/>
    <xf numFmtId="170" fontId="1" fillId="16" borderId="0" xfId="26" applyNumberFormat="1"/>
    <xf numFmtId="0" fontId="1" fillId="15" borderId="0" xfId="25"/>
    <xf numFmtId="0" fontId="4" fillId="4" borderId="2" xfId="4" quotePrefix="1" applyFill="1" applyAlignment="1">
      <alignment horizontal="left"/>
    </xf>
    <xf numFmtId="0" fontId="4" fillId="3" borderId="2" xfId="4" quotePrefix="1" applyFill="1" applyAlignment="1">
      <alignment horizontal="left"/>
    </xf>
    <xf numFmtId="178" fontId="8" fillId="4" borderId="0" xfId="9" applyNumberFormat="1" applyAlignment="1">
      <alignment horizontal="left"/>
    </xf>
    <xf numFmtId="178" fontId="7" fillId="3" borderId="0" xfId="8" applyNumberFormat="1" applyAlignment="1">
      <alignment horizontal="left"/>
    </xf>
    <xf numFmtId="178" fontId="16" fillId="3" borderId="9" xfId="18" applyNumberFormat="1" applyFill="1" applyAlignment="1">
      <alignment horizontal="left"/>
    </xf>
    <xf numFmtId="178" fontId="16" fillId="4" borderId="9" xfId="18" applyNumberFormat="1" applyFill="1" applyAlignment="1">
      <alignment horizontal="left"/>
    </xf>
    <xf numFmtId="179" fontId="7" fillId="3" borderId="0" xfId="8" applyNumberFormat="1" applyAlignment="1">
      <alignment horizontal="right"/>
    </xf>
    <xf numFmtId="179" fontId="16" fillId="3" borderId="9" xfId="18" applyNumberFormat="1" applyFill="1" applyAlignment="1">
      <alignment horizontal="right"/>
    </xf>
    <xf numFmtId="179" fontId="8" fillId="4" borderId="0" xfId="9" applyNumberFormat="1" applyAlignment="1">
      <alignment horizontal="right"/>
    </xf>
    <xf numFmtId="179" fontId="16" fillId="4" borderId="9" xfId="18" applyNumberFormat="1" applyFill="1" applyAlignment="1">
      <alignment horizontal="right"/>
    </xf>
    <xf numFmtId="0" fontId="4" fillId="4" borderId="2" xfId="4" applyFill="1" applyAlignment="1">
      <alignment horizontal="right"/>
    </xf>
    <xf numFmtId="0" fontId="4" fillId="2" borderId="2" xfId="4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Agregated Max Data Throughput: 1,000 Parallel Subscriptions</a:t>
            </a:r>
            <a:br>
              <a:rPr lang="en-GB"/>
            </a:br>
            <a:r>
              <a:rPr lang="en-GB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1,000-updates / 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Channel Access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par!$D$2:$D$7</c:f>
                <c:numCache>
                  <c:formatCode>General</c:formatCode>
                  <c:ptCount val="6"/>
                  <c:pt idx="0">
                    <c:v>2306.3854311454543</c:v>
                  </c:pt>
                  <c:pt idx="1">
                    <c:v>2399.5449308150064</c:v>
                  </c:pt>
                  <c:pt idx="2">
                    <c:v>2893.3483799915975</c:v>
                  </c:pt>
                  <c:pt idx="3">
                    <c:v>1757.8141440436757</c:v>
                  </c:pt>
                  <c:pt idx="4">
                    <c:v>157.83604784712529</c:v>
                  </c:pt>
                  <c:pt idx="5">
                    <c:v>701.08956417850072</c:v>
                  </c:pt>
                </c:numCache>
              </c:numRef>
            </c:plus>
            <c:minus>
              <c:numRef>
                <c:f>par!$D$2:$D$7</c:f>
                <c:numCache>
                  <c:formatCode>General</c:formatCode>
                  <c:ptCount val="6"/>
                  <c:pt idx="0">
                    <c:v>2306.3854311454543</c:v>
                  </c:pt>
                  <c:pt idx="1">
                    <c:v>2399.5449308150064</c:v>
                  </c:pt>
                  <c:pt idx="2">
                    <c:v>2893.3483799915975</c:v>
                  </c:pt>
                  <c:pt idx="3">
                    <c:v>1757.8141440436757</c:v>
                  </c:pt>
                  <c:pt idx="4">
                    <c:v>157.83604784712529</c:v>
                  </c:pt>
                  <c:pt idx="5">
                    <c:v>701.08956417850072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numRef>
              <c:f>par!$B$2:$B$7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par!$C$2:$C$7</c:f>
              <c:numCache>
                <c:formatCode>_(* #,##0.00_);_(* \(#,##0.00\);_(* "-"??_);_(@_)</c:formatCode>
                <c:ptCount val="6"/>
                <c:pt idx="0">
                  <c:v>58071.079999999994</c:v>
                </c:pt>
                <c:pt idx="1">
                  <c:v>57867.3</c:v>
                </c:pt>
                <c:pt idx="2">
                  <c:v>56693.659999999996</c:v>
                </c:pt>
                <c:pt idx="3">
                  <c:v>55102.6</c:v>
                </c:pt>
                <c:pt idx="4">
                  <c:v>26119.06</c:v>
                </c:pt>
                <c:pt idx="5">
                  <c:v>11354.420000000002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C-E74A-9ACB-83576166ED79}"/>
            </c:ext>
          </c:extLst>
        </c:ser>
        <c:ser>
          <c:idx val="1"/>
          <c:order val="1"/>
          <c:tx>
            <c:v>PVAccess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par!$D$8:$D$13</c:f>
                <c:numCache>
                  <c:formatCode>General</c:formatCode>
                  <c:ptCount val="6"/>
                  <c:pt idx="0">
                    <c:v>3586.3926583685729</c:v>
                  </c:pt>
                  <c:pt idx="1">
                    <c:v>16114.285112905256</c:v>
                  </c:pt>
                  <c:pt idx="2">
                    <c:v>6515.5633678140221</c:v>
                  </c:pt>
                  <c:pt idx="3">
                    <c:v>2629.2143366412702</c:v>
                  </c:pt>
                  <c:pt idx="4">
                    <c:v>4028.4375562989671</c:v>
                  </c:pt>
                  <c:pt idx="5">
                    <c:v>321.58710017660871</c:v>
                  </c:pt>
                </c:numCache>
              </c:numRef>
            </c:plus>
            <c:minus>
              <c:numRef>
                <c:f>par!$D$8:$D$13</c:f>
                <c:numCache>
                  <c:formatCode>General</c:formatCode>
                  <c:ptCount val="6"/>
                  <c:pt idx="0">
                    <c:v>3586.3926583685729</c:v>
                  </c:pt>
                  <c:pt idx="1">
                    <c:v>16114.285112905256</c:v>
                  </c:pt>
                  <c:pt idx="2">
                    <c:v>6515.5633678140221</c:v>
                  </c:pt>
                  <c:pt idx="3">
                    <c:v>2629.2143366412702</c:v>
                  </c:pt>
                  <c:pt idx="4">
                    <c:v>4028.4375562989671</c:v>
                  </c:pt>
                  <c:pt idx="5">
                    <c:v>321.58710017660871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numRef>
              <c:f>par!$B$2:$B$7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par!$C$8:$C$13</c:f>
              <c:numCache>
                <c:formatCode>_(* #,##0.00_);_(* \(#,##0.00\);_(* "-"??_);_(@_)</c:formatCode>
                <c:ptCount val="6"/>
                <c:pt idx="0">
                  <c:v>257999.4</c:v>
                </c:pt>
                <c:pt idx="1">
                  <c:v>161745.20000000001</c:v>
                </c:pt>
                <c:pt idx="2">
                  <c:v>160598</c:v>
                </c:pt>
                <c:pt idx="3">
                  <c:v>67008.360000000015</c:v>
                </c:pt>
                <c:pt idx="4">
                  <c:v>54524.1</c:v>
                </c:pt>
                <c:pt idx="5">
                  <c:v>13769.439999999999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C-E74A-9ACB-83576166ED79}"/>
            </c:ext>
          </c:extLst>
        </c:ser>
        <c:ser>
          <c:idx val="3"/>
          <c:order val="2"/>
          <c:tx>
            <c:v>Secure PVAccess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par!$D$8:$D$13</c:f>
                <c:numCache>
                  <c:formatCode>General</c:formatCode>
                  <c:ptCount val="6"/>
                  <c:pt idx="0">
                    <c:v>3586.3926583685729</c:v>
                  </c:pt>
                  <c:pt idx="1">
                    <c:v>16114.285112905256</c:v>
                  </c:pt>
                  <c:pt idx="2">
                    <c:v>6515.5633678140221</c:v>
                  </c:pt>
                  <c:pt idx="3">
                    <c:v>2629.2143366412702</c:v>
                  </c:pt>
                  <c:pt idx="4">
                    <c:v>4028.4375562989671</c:v>
                  </c:pt>
                  <c:pt idx="5">
                    <c:v>321.58710017660871</c:v>
                  </c:pt>
                </c:numCache>
              </c:numRef>
            </c:plus>
            <c:minus>
              <c:numRef>
                <c:f>par!$D$8:$D$13</c:f>
                <c:numCache>
                  <c:formatCode>General</c:formatCode>
                  <c:ptCount val="6"/>
                  <c:pt idx="0">
                    <c:v>3586.3926583685729</c:v>
                  </c:pt>
                  <c:pt idx="1">
                    <c:v>16114.285112905256</c:v>
                  </c:pt>
                  <c:pt idx="2">
                    <c:v>6515.5633678140221</c:v>
                  </c:pt>
                  <c:pt idx="3">
                    <c:v>2629.2143366412702</c:v>
                  </c:pt>
                  <c:pt idx="4">
                    <c:v>4028.4375562989671</c:v>
                  </c:pt>
                  <c:pt idx="5">
                    <c:v>321.58710017660871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numRef>
              <c:f>par!$B$2:$B$7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par!$C$20:$C$25</c:f>
              <c:numCache>
                <c:formatCode>_(* #,##0.00_);_(* \(#,##0.00\);_(* "-"??_);_(@_)</c:formatCode>
                <c:ptCount val="6"/>
                <c:pt idx="0">
                  <c:v>70928.899999999994</c:v>
                </c:pt>
                <c:pt idx="1">
                  <c:v>43837.460000000006</c:v>
                </c:pt>
                <c:pt idx="2">
                  <c:v>54729.880000000005</c:v>
                </c:pt>
                <c:pt idx="3">
                  <c:v>54275</c:v>
                </c:pt>
                <c:pt idx="4">
                  <c:v>23893.420000000002</c:v>
                </c:pt>
                <c:pt idx="5">
                  <c:v>3792.05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5C-E74A-9ACB-83576166ED79}"/>
            </c:ext>
          </c:extLst>
        </c:ser>
        <c:ser>
          <c:idx val="2"/>
          <c:order val="3"/>
          <c:tx>
            <c:v>Secure PVAccess with Status Monitoring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par!$D$14:$D$19</c:f>
                <c:numCache>
                  <c:formatCode>General</c:formatCode>
                  <c:ptCount val="6"/>
                  <c:pt idx="0">
                    <c:v>1079.2627423384931</c:v>
                  </c:pt>
                  <c:pt idx="1">
                    <c:v>1334.1890147201773</c:v>
                  </c:pt>
                  <c:pt idx="2">
                    <c:v>833.1987800039085</c:v>
                  </c:pt>
                  <c:pt idx="3">
                    <c:v>3389.8904625371015</c:v>
                  </c:pt>
                  <c:pt idx="4">
                    <c:v>255.40393105823594</c:v>
                  </c:pt>
                  <c:pt idx="5">
                    <c:v>20.550123600601491</c:v>
                  </c:pt>
                </c:numCache>
              </c:numRef>
            </c:plus>
            <c:minus>
              <c:numRef>
                <c:f>par!$D$14:$D$19</c:f>
                <c:numCache>
                  <c:formatCode>General</c:formatCode>
                  <c:ptCount val="6"/>
                  <c:pt idx="0">
                    <c:v>1079.2627423384931</c:v>
                  </c:pt>
                  <c:pt idx="1">
                    <c:v>1334.1890147201773</c:v>
                  </c:pt>
                  <c:pt idx="2">
                    <c:v>833.1987800039085</c:v>
                  </c:pt>
                  <c:pt idx="3">
                    <c:v>3389.8904625371015</c:v>
                  </c:pt>
                  <c:pt idx="4">
                    <c:v>255.40393105823594</c:v>
                  </c:pt>
                  <c:pt idx="5">
                    <c:v>20.550123600601491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cat>
            <c:numRef>
              <c:f>par!$B$2:$B$7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par!$C$14:$C$19</c:f>
              <c:numCache>
                <c:formatCode>_(* #,##0.00_);_(* \(#,##0.00\);_(* "-"??_);_(@_)</c:formatCode>
                <c:ptCount val="6"/>
                <c:pt idx="0">
                  <c:v>70914.880000000005</c:v>
                </c:pt>
                <c:pt idx="1">
                  <c:v>43413.58</c:v>
                </c:pt>
                <c:pt idx="2">
                  <c:v>52606.180000000008</c:v>
                </c:pt>
                <c:pt idx="3">
                  <c:v>52841.740000000005</c:v>
                </c:pt>
                <c:pt idx="4">
                  <c:v>24178.760000000002</c:v>
                </c:pt>
                <c:pt idx="5">
                  <c:v>3732.2239999999997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C-E74A-9ACB-83576166ED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51345472"/>
        <c:axId val="951348608"/>
      </c:lineChart>
      <c:catAx>
        <c:axId val="95134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Payload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48608"/>
        <c:crosses val="autoZero"/>
        <c:auto val="1"/>
        <c:lblAlgn val="ctr"/>
        <c:lblOffset val="100"/>
        <c:noMultiLvlLbl val="0"/>
      </c:catAx>
      <c:valAx>
        <c:axId val="951348608"/>
        <c:scaling>
          <c:logBase val="10"/>
          <c:orientation val="minMax"/>
          <c:max val="5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Updates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_)\ \K;_(* \(#,##0\);_(* &quot;-&quot;_);_(@_)" sourceLinked="0"/>
        <c:majorTickMark val="out"/>
        <c:minorTickMark val="in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4547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930258034578761"/>
          <c:y val="9.5425833719314498E-2"/>
          <c:w val="0.31680681070892297"/>
          <c:h val="0.1131594488188976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Max Data Throughput: Single Subscriber</a:t>
            </a:r>
          </a:p>
          <a:p>
            <a:pPr>
              <a:defRPr/>
            </a:pPr>
            <a:r>
              <a:rPr lang="en-GB" sz="1200"/>
              <a:t>1,000-updates / 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Channel Access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seq!$D$2:$D$7</c:f>
                <c:numCache>
                  <c:formatCode>General</c:formatCode>
                  <c:ptCount val="6"/>
                  <c:pt idx="0">
                    <c:v>5258.462501720438</c:v>
                  </c:pt>
                  <c:pt idx="1">
                    <c:v>3400.8573061803108</c:v>
                  </c:pt>
                  <c:pt idx="2">
                    <c:v>3737.5152829118988</c:v>
                  </c:pt>
                  <c:pt idx="3">
                    <c:v>5938.6179821571368</c:v>
                  </c:pt>
                  <c:pt idx="4">
                    <c:v>971.79220412596555</c:v>
                  </c:pt>
                  <c:pt idx="5">
                    <c:v>434.26836518447902</c:v>
                  </c:pt>
                </c:numCache>
              </c:numRef>
            </c:plus>
            <c:minus>
              <c:numRef>
                <c:f>seq!$D$2:$D$7</c:f>
                <c:numCache>
                  <c:formatCode>General</c:formatCode>
                  <c:ptCount val="6"/>
                  <c:pt idx="0">
                    <c:v>5258.462501720438</c:v>
                  </c:pt>
                  <c:pt idx="1">
                    <c:v>3400.8573061803108</c:v>
                  </c:pt>
                  <c:pt idx="2">
                    <c:v>3737.5152829118988</c:v>
                  </c:pt>
                  <c:pt idx="3">
                    <c:v>5938.6179821571368</c:v>
                  </c:pt>
                  <c:pt idx="4">
                    <c:v>971.79220412596555</c:v>
                  </c:pt>
                  <c:pt idx="5">
                    <c:v>434.26836518447902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numRef>
              <c:f>seq!$B$2:$B$7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seq!$C$2:$C$7</c:f>
              <c:numCache>
                <c:formatCode>_(* #,##0.00_);_(* \(#,##0.00\);_(* "-"??_);_(@_)</c:formatCode>
                <c:ptCount val="6"/>
                <c:pt idx="0">
                  <c:v>37368.620000000003</c:v>
                </c:pt>
                <c:pt idx="1">
                  <c:v>33625.18</c:v>
                </c:pt>
                <c:pt idx="2">
                  <c:v>32086.1</c:v>
                </c:pt>
                <c:pt idx="3">
                  <c:v>52793.06</c:v>
                </c:pt>
                <c:pt idx="4">
                  <c:v>34337.46</c:v>
                </c:pt>
                <c:pt idx="5">
                  <c:v>24491.16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0-FF4F-83B1-9E3B55E3FC08}"/>
            </c:ext>
          </c:extLst>
        </c:ser>
        <c:ser>
          <c:idx val="1"/>
          <c:order val="1"/>
          <c:tx>
            <c:v>PVAccess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seq!$D$8:$D$13</c:f>
                <c:numCache>
                  <c:formatCode>General</c:formatCode>
                  <c:ptCount val="6"/>
                  <c:pt idx="0">
                    <c:v>3345.56591625393</c:v>
                  </c:pt>
                  <c:pt idx="1">
                    <c:v>5306.3469732010553</c:v>
                  </c:pt>
                  <c:pt idx="2">
                    <c:v>9703.4568606759949</c:v>
                  </c:pt>
                  <c:pt idx="3">
                    <c:v>5188.5478366302113</c:v>
                  </c:pt>
                  <c:pt idx="4">
                    <c:v>2759.5275160795181</c:v>
                  </c:pt>
                  <c:pt idx="5">
                    <c:v>508.47438775222469</c:v>
                  </c:pt>
                </c:numCache>
              </c:numRef>
            </c:plus>
            <c:minus>
              <c:numRef>
                <c:f>seq!$D$8:$D$13</c:f>
                <c:numCache>
                  <c:formatCode>General</c:formatCode>
                  <c:ptCount val="6"/>
                  <c:pt idx="0">
                    <c:v>3345.56591625393</c:v>
                  </c:pt>
                  <c:pt idx="1">
                    <c:v>5306.3469732010553</c:v>
                  </c:pt>
                  <c:pt idx="2">
                    <c:v>9703.4568606759949</c:v>
                  </c:pt>
                  <c:pt idx="3">
                    <c:v>5188.5478366302113</c:v>
                  </c:pt>
                  <c:pt idx="4">
                    <c:v>2759.5275160795181</c:v>
                  </c:pt>
                  <c:pt idx="5">
                    <c:v>508.47438775222469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numRef>
              <c:f>seq!$B$2:$B$7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seq!$C$8:$C$13</c:f>
              <c:numCache>
                <c:formatCode>_(* #,##0.00_);_(* \(#,##0.00\);_(* "-"??_);_(@_)</c:formatCode>
                <c:ptCount val="6"/>
                <c:pt idx="0">
                  <c:v>107248.4</c:v>
                </c:pt>
                <c:pt idx="1">
                  <c:v>107652.8</c:v>
                </c:pt>
                <c:pt idx="2">
                  <c:v>99042.12</c:v>
                </c:pt>
                <c:pt idx="3">
                  <c:v>84055.34</c:v>
                </c:pt>
                <c:pt idx="4">
                  <c:v>54317.179999999993</c:v>
                </c:pt>
                <c:pt idx="5">
                  <c:v>14339.560000000001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0-FF4F-83B1-9E3B55E3FC08}"/>
            </c:ext>
          </c:extLst>
        </c:ser>
        <c:ser>
          <c:idx val="2"/>
          <c:order val="2"/>
          <c:tx>
            <c:v>Secure PVAccess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seq!$D$14:$D$19</c:f>
                <c:numCache>
                  <c:formatCode>General</c:formatCode>
                  <c:ptCount val="6"/>
                  <c:pt idx="0">
                    <c:v>640.74063629521697</c:v>
                  </c:pt>
                  <c:pt idx="1">
                    <c:v>1564.7993059814455</c:v>
                  </c:pt>
                  <c:pt idx="2">
                    <c:v>1896.6787980572781</c:v>
                  </c:pt>
                  <c:pt idx="3">
                    <c:v>1590.4360713338967</c:v>
                  </c:pt>
                  <c:pt idx="4">
                    <c:v>263.19855242763106</c:v>
                  </c:pt>
                  <c:pt idx="5">
                    <c:v>44.73367333452498</c:v>
                  </c:pt>
                </c:numCache>
              </c:numRef>
            </c:plus>
            <c:minus>
              <c:numRef>
                <c:f>seq!$D$14:$D$19</c:f>
                <c:numCache>
                  <c:formatCode>General</c:formatCode>
                  <c:ptCount val="6"/>
                  <c:pt idx="0">
                    <c:v>640.74063629521697</c:v>
                  </c:pt>
                  <c:pt idx="1">
                    <c:v>1564.7993059814455</c:v>
                  </c:pt>
                  <c:pt idx="2">
                    <c:v>1896.6787980572781</c:v>
                  </c:pt>
                  <c:pt idx="3">
                    <c:v>1590.4360713338967</c:v>
                  </c:pt>
                  <c:pt idx="4">
                    <c:v>263.19855242763106</c:v>
                  </c:pt>
                  <c:pt idx="5">
                    <c:v>44.73367333452498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cat>
            <c:numRef>
              <c:f>seq!$B$2:$B$7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seq!$C$14:$C$19</c:f>
              <c:numCache>
                <c:formatCode>_(* #,##0.00_);_(* \(#,##0.00\);_(* "-"??_);_(@_)</c:formatCode>
                <c:ptCount val="6"/>
                <c:pt idx="0">
                  <c:v>75098.860000000015</c:v>
                </c:pt>
                <c:pt idx="1">
                  <c:v>75308.74000000002</c:v>
                </c:pt>
                <c:pt idx="2">
                  <c:v>74584.539999999994</c:v>
                </c:pt>
                <c:pt idx="3">
                  <c:v>57063.42</c:v>
                </c:pt>
                <c:pt idx="4">
                  <c:v>26414.359999999997</c:v>
                </c:pt>
                <c:pt idx="5">
                  <c:v>4232.674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20-FF4F-83B1-9E3B55E3FC08}"/>
            </c:ext>
          </c:extLst>
        </c:ser>
        <c:ser>
          <c:idx val="3"/>
          <c:order val="3"/>
          <c:tx>
            <c:v>Secure PVAccess with Status Monitoring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seq!$D$14:$D$19</c:f>
                <c:numCache>
                  <c:formatCode>General</c:formatCode>
                  <c:ptCount val="6"/>
                  <c:pt idx="0">
                    <c:v>640.74063629521697</c:v>
                  </c:pt>
                  <c:pt idx="1">
                    <c:v>1564.7993059814455</c:v>
                  </c:pt>
                  <c:pt idx="2">
                    <c:v>1896.6787980572781</c:v>
                  </c:pt>
                  <c:pt idx="3">
                    <c:v>1590.4360713338967</c:v>
                  </c:pt>
                  <c:pt idx="4">
                    <c:v>263.19855242763106</c:v>
                  </c:pt>
                  <c:pt idx="5">
                    <c:v>44.73367333452498</c:v>
                  </c:pt>
                </c:numCache>
              </c:numRef>
            </c:plus>
            <c:minus>
              <c:numRef>
                <c:f>seq!$D$14:$D$19</c:f>
                <c:numCache>
                  <c:formatCode>General</c:formatCode>
                  <c:ptCount val="6"/>
                  <c:pt idx="0">
                    <c:v>640.74063629521697</c:v>
                  </c:pt>
                  <c:pt idx="1">
                    <c:v>1564.7993059814455</c:v>
                  </c:pt>
                  <c:pt idx="2">
                    <c:v>1896.6787980572781</c:v>
                  </c:pt>
                  <c:pt idx="3">
                    <c:v>1590.4360713338967</c:v>
                  </c:pt>
                  <c:pt idx="4">
                    <c:v>263.19855242763106</c:v>
                  </c:pt>
                  <c:pt idx="5">
                    <c:v>44.73367333452498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numRef>
              <c:f>seq!$B$2:$B$7</c:f>
              <c:numCache>
                <c:formatCode>_(* #,##0_);_(* \(#,##0\);_(* "-"??_);_(@_)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cat>
          <c:val>
            <c:numRef>
              <c:f>seq!$C$20:$C$25</c:f>
              <c:numCache>
                <c:formatCode>_(* #,##0.00_);_(* \(#,##0.00\);_(* "-"??_);_(@_)</c:formatCode>
                <c:ptCount val="6"/>
                <c:pt idx="0">
                  <c:v>73196.680000000008</c:v>
                </c:pt>
                <c:pt idx="1">
                  <c:v>75403.38</c:v>
                </c:pt>
                <c:pt idx="2">
                  <c:v>73217.38</c:v>
                </c:pt>
                <c:pt idx="3">
                  <c:v>59068.800000000003</c:v>
                </c:pt>
                <c:pt idx="4">
                  <c:v>26397.26</c:v>
                </c:pt>
                <c:pt idx="5">
                  <c:v>4197.098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20-FF4F-83B1-9E3B55E3FC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51345472"/>
        <c:axId val="951348608"/>
      </c:lineChart>
      <c:catAx>
        <c:axId val="95134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Payload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48608"/>
        <c:crosses val="autoZero"/>
        <c:auto val="1"/>
        <c:lblAlgn val="ctr"/>
        <c:lblOffset val="100"/>
        <c:noMultiLvlLbl val="0"/>
      </c:catAx>
      <c:valAx>
        <c:axId val="951348608"/>
        <c:scaling>
          <c:logBase val="10"/>
          <c:orientation val="minMax"/>
          <c:max val="5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Updates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_)\K;_(* \(#,##0\);_(* &quot;-&quot;??_);_(@_)" sourceLinked="0"/>
        <c:majorTickMark val="out"/>
        <c:minorTickMark val="in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45472"/>
        <c:crosses val="autoZero"/>
        <c:crossBetween val="between"/>
        <c:majorUnit val="10"/>
        <c:minorUnit val="1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180539234537441"/>
          <c:y val="9.8813686892079644E-2"/>
          <c:w val="0.31608923950716417"/>
          <c:h val="0.1116002779064381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baseline="0">
                <a:solidFill>
                  <a:sysClr val="windowText" lastClr="000000"/>
                </a:solidFill>
              </a:rPr>
              <a:t>CA per-subscription max updates/s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40"/>
      <c:rAngAx val="0"/>
    </c:view3D>
    <c:floor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0"/>
          <c:tx>
            <c:strRef>
              <c:f>all!$C$2</c:f>
              <c:strCache>
                <c:ptCount val="1"/>
                <c:pt idx="0">
                  <c:v> 1 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all!$D$2:$D$6</c:f>
              <c:numCache>
                <c:formatCode>_(* #,##0.00_);_(* \(#,##0.00\);_(* "-"??_);_(@_)</c:formatCode>
                <c:ptCount val="5"/>
                <c:pt idx="0">
                  <c:v>37368.620000000003</c:v>
                </c:pt>
                <c:pt idx="1">
                  <c:v>10985.221999999998</c:v>
                </c:pt>
                <c:pt idx="2">
                  <c:v>217.68959999999998</c:v>
                </c:pt>
                <c:pt idx="3">
                  <c:v>130.57679999999999</c:v>
                </c:pt>
                <c:pt idx="4">
                  <c:v>58.071080000000009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C-E940-832B-06343CC5F90C}"/>
            </c:ext>
          </c:extLst>
        </c:ser>
        <c:ser>
          <c:idx val="2"/>
          <c:order val="1"/>
          <c:tx>
            <c:strRef>
              <c:f>all!$C$7</c:f>
              <c:strCache>
                <c:ptCount val="1"/>
                <c:pt idx="0">
                  <c:v> 10 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all!$D$7:$D$11</c:f>
              <c:numCache>
                <c:formatCode>_(* #,##0.00_);_(* \(#,##0.00\);_(* "-"??_);_(@_)</c:formatCode>
                <c:ptCount val="5"/>
                <c:pt idx="0">
                  <c:v>33625.18</c:v>
                </c:pt>
                <c:pt idx="1">
                  <c:v>13046.499999999998</c:v>
                </c:pt>
                <c:pt idx="2">
                  <c:v>190.89180000000002</c:v>
                </c:pt>
                <c:pt idx="3">
                  <c:v>129.99279999999999</c:v>
                </c:pt>
                <c:pt idx="4">
                  <c:v>57.8673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C-E940-832B-06343CC5F90C}"/>
            </c:ext>
          </c:extLst>
        </c:ser>
        <c:ser>
          <c:idx val="3"/>
          <c:order val="2"/>
          <c:tx>
            <c:strRef>
              <c:f>all!$C$12</c:f>
              <c:strCache>
                <c:ptCount val="1"/>
                <c:pt idx="0">
                  <c:v> 100 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all!$D$12:$D$16</c:f>
              <c:numCache>
                <c:formatCode>_(* #,##0.00_);_(* \(#,##0.00\);_(* "-"??_);_(@_)</c:formatCode>
                <c:ptCount val="5"/>
                <c:pt idx="0">
                  <c:v>32086.1</c:v>
                </c:pt>
                <c:pt idx="1">
                  <c:v>10181.897999999997</c:v>
                </c:pt>
                <c:pt idx="2">
                  <c:v>203.87380000000002</c:v>
                </c:pt>
                <c:pt idx="3">
                  <c:v>130.14079999999998</c:v>
                </c:pt>
                <c:pt idx="4">
                  <c:v>56.693660000000001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C-E940-832B-06343CC5F90C}"/>
            </c:ext>
          </c:extLst>
        </c:ser>
        <c:ser>
          <c:idx val="4"/>
          <c:order val="3"/>
          <c:tx>
            <c:strRef>
              <c:f>all!$C$17</c:f>
              <c:strCache>
                <c:ptCount val="1"/>
                <c:pt idx="0">
                  <c:v> 1,000 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all!$D$17:$D$21</c:f>
              <c:numCache>
                <c:formatCode>_(* #,##0.00_);_(* \(#,##0.00\);_(* "-"??_);_(@_)</c:formatCode>
                <c:ptCount val="5"/>
                <c:pt idx="0">
                  <c:v>52793.06</c:v>
                </c:pt>
                <c:pt idx="1">
                  <c:v>22549.08</c:v>
                </c:pt>
                <c:pt idx="2">
                  <c:v>205.46599999999998</c:v>
                </c:pt>
                <c:pt idx="3">
                  <c:v>130.7852</c:v>
                </c:pt>
                <c:pt idx="4">
                  <c:v>55.10260000000001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9C-E940-832B-06343CC5F90C}"/>
            </c:ext>
          </c:extLst>
        </c:ser>
        <c:ser>
          <c:idx val="5"/>
          <c:order val="4"/>
          <c:tx>
            <c:strRef>
              <c:f>all!$C$22</c:f>
              <c:strCache>
                <c:ptCount val="1"/>
                <c:pt idx="0">
                  <c:v> 10,000 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all!$D$22:$D$26</c:f>
              <c:numCache>
                <c:formatCode>_(* #,##0.00_);_(* \(#,##0.00\);_(* "-"??_);_(@_)</c:formatCode>
                <c:ptCount val="5"/>
                <c:pt idx="0">
                  <c:v>34337.46</c:v>
                </c:pt>
                <c:pt idx="1">
                  <c:v>23324.5</c:v>
                </c:pt>
                <c:pt idx="2">
                  <c:v>239.94900000000001</c:v>
                </c:pt>
                <c:pt idx="3">
                  <c:v>104.63319999999999</c:v>
                </c:pt>
                <c:pt idx="4">
                  <c:v>26.119060000000001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9C-E940-832B-06343CC5F90C}"/>
            </c:ext>
          </c:extLst>
        </c:ser>
        <c:ser>
          <c:idx val="0"/>
          <c:order val="5"/>
          <c:tx>
            <c:strRef>
              <c:f>all!$C$27</c:f>
              <c:strCache>
                <c:ptCount val="1"/>
                <c:pt idx="0">
                  <c:v> 100,000 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all!$D$27:$D$31</c:f>
              <c:numCache>
                <c:formatCode>_(* #,##0.00_);_(* \(#,##0.00\);_(* "-"??_);_(@_)</c:formatCode>
                <c:ptCount val="5"/>
                <c:pt idx="0">
                  <c:v>24491.16</c:v>
                </c:pt>
                <c:pt idx="1">
                  <c:v>14165.320000000002</c:v>
                </c:pt>
                <c:pt idx="2">
                  <c:v>2201.7599999999998</c:v>
                </c:pt>
                <c:pt idx="3">
                  <c:v>112.4402</c:v>
                </c:pt>
                <c:pt idx="4">
                  <c:v>11.354419999999999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9C-E940-832B-06343CC5F90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81111743"/>
        <c:axId val="1981118463"/>
        <c:axId val="1016446976"/>
      </c:surface3DChart>
      <c:catAx>
        <c:axId val="198111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Subscriptions</a:t>
                </a:r>
              </a:p>
            </c:rich>
          </c:tx>
          <c:layout>
            <c:manualLayout>
              <c:xMode val="edge"/>
              <c:yMode val="edge"/>
              <c:x val="0.22632213636655982"/>
              <c:y val="0.828166927838789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  <c:auto val="1"/>
        <c:lblAlgn val="ctr"/>
        <c:lblOffset val="100"/>
        <c:noMultiLvlLbl val="0"/>
      </c:catAx>
      <c:valAx>
        <c:axId val="1981118463"/>
        <c:scaling>
          <c:logBase val="10"/>
          <c:orientation val="minMax"/>
          <c:max val="10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 Subscription</a:t>
                </a:r>
                <a:r>
                  <a:rPr lang="en-GB" baseline="0"/>
                  <a:t> Throughput</a:t>
                </a:r>
                <a:endParaRPr lang="en-GB"/>
              </a:p>
            </c:rich>
          </c:tx>
          <c:overlay val="0"/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1743"/>
        <c:crosses val="autoZero"/>
        <c:crossBetween val="midCat"/>
      </c:valAx>
      <c:serAx>
        <c:axId val="101644697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Payload Size</a:t>
                </a:r>
              </a:p>
            </c:rich>
          </c:tx>
          <c:layout>
            <c:manualLayout>
              <c:xMode val="edge"/>
              <c:yMode val="edge"/>
              <c:x val="0.7457427944027416"/>
              <c:y val="0.81192887484459164"/>
            </c:manualLayout>
          </c:layout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</c:serAx>
    </c:plotArea>
    <c:legend>
      <c:legendPos val="t"/>
      <c:layout>
        <c:manualLayout>
          <c:xMode val="edge"/>
          <c:yMode val="edge"/>
          <c:x val="0.78673671661812394"/>
          <c:y val="8.4477796052631587E-2"/>
          <c:w val="0.17550544841463081"/>
          <c:h val="0.127210357956900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baseline="0">
                <a:solidFill>
                  <a:sysClr val="windowText" lastClr="000000"/>
                </a:solidFill>
              </a:rPr>
              <a:t>PVA per-subscription max updates/s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40"/>
      <c:rAngAx val="0"/>
    </c:view3D>
    <c:floor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0"/>
          <c:spPr>
            <a:solidFill>
              <a:schemeClr val="accent2"/>
            </a:solidFill>
            <a:ln/>
            <a:effectLst/>
            <a:sp3d/>
          </c:spPr>
          <c:val>
            <c:numRef>
              <c:f>all!$J$2:$J$6</c:f>
              <c:numCache>
                <c:formatCode>_(* #,##0.00_);_(* \(#,##0.00\);_(* "-"??_);_(@_)</c:formatCode>
                <c:ptCount val="5"/>
                <c:pt idx="0">
                  <c:v>107248.4</c:v>
                </c:pt>
                <c:pt idx="1">
                  <c:v>7924.3740000000007</c:v>
                </c:pt>
                <c:pt idx="2">
                  <c:v>264.78280000000007</c:v>
                </c:pt>
                <c:pt idx="3">
                  <c:v>252.11839999999998</c:v>
                </c:pt>
                <c:pt idx="4">
                  <c:v>257.99939999999998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59C-E940-832B-06343CC5F90C}"/>
            </c:ext>
          </c:extLst>
        </c:ser>
        <c:ser>
          <c:idx val="2"/>
          <c:order val="1"/>
          <c:spPr>
            <a:solidFill>
              <a:schemeClr val="accent3"/>
            </a:solidFill>
            <a:ln/>
            <a:effectLst/>
            <a:sp3d/>
          </c:spPr>
          <c:val>
            <c:numRef>
              <c:f>all!$J$7:$J$11</c:f>
              <c:numCache>
                <c:formatCode>_(* #,##0.00_);_(* \(#,##0.00\);_(* "-"??_);_(@_)</c:formatCode>
                <c:ptCount val="5"/>
                <c:pt idx="0">
                  <c:v>107652.8</c:v>
                </c:pt>
                <c:pt idx="1">
                  <c:v>11154.68</c:v>
                </c:pt>
                <c:pt idx="2">
                  <c:v>314.46159999999998</c:v>
                </c:pt>
                <c:pt idx="3">
                  <c:v>138.43860000000001</c:v>
                </c:pt>
                <c:pt idx="4">
                  <c:v>161.74519999999998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59C-E940-832B-06343CC5F90C}"/>
            </c:ext>
          </c:extLst>
        </c:ser>
        <c:ser>
          <c:idx val="3"/>
          <c:order val="2"/>
          <c:spPr>
            <a:solidFill>
              <a:schemeClr val="accent4"/>
            </a:solidFill>
            <a:ln/>
            <a:effectLst/>
            <a:sp3d/>
          </c:spPr>
          <c:val>
            <c:numRef>
              <c:f>all!$J$12:$J$16</c:f>
              <c:numCache>
                <c:formatCode>_(* #,##0.00_);_(* \(#,##0.00\);_(* "-"??_);_(@_)</c:formatCode>
                <c:ptCount val="5"/>
                <c:pt idx="0">
                  <c:v>99042.12</c:v>
                </c:pt>
                <c:pt idx="1">
                  <c:v>8841.0639999999985</c:v>
                </c:pt>
                <c:pt idx="2">
                  <c:v>578.25740000000008</c:v>
                </c:pt>
                <c:pt idx="3">
                  <c:v>172.48939999999999</c:v>
                </c:pt>
                <c:pt idx="4">
                  <c:v>160.59800000000001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59C-E940-832B-06343CC5F90C}"/>
            </c:ext>
          </c:extLst>
        </c:ser>
        <c:ser>
          <c:idx val="4"/>
          <c:order val="3"/>
          <c:spPr>
            <a:solidFill>
              <a:schemeClr val="accent5"/>
            </a:solidFill>
            <a:ln/>
            <a:effectLst/>
            <a:sp3d/>
          </c:spPr>
          <c:val>
            <c:numRef>
              <c:f>all!$J$17:$J$21</c:f>
              <c:numCache>
                <c:formatCode>_(* #,##0.00_);_(* \(#,##0.00\);_(* "-"??_);_(@_)</c:formatCode>
                <c:ptCount val="5"/>
                <c:pt idx="0">
                  <c:v>84055.34</c:v>
                </c:pt>
                <c:pt idx="1">
                  <c:v>9715.4079999999994</c:v>
                </c:pt>
                <c:pt idx="2">
                  <c:v>909.7342000000001</c:v>
                </c:pt>
                <c:pt idx="3">
                  <c:v>220.05540000000002</c:v>
                </c:pt>
                <c:pt idx="4">
                  <c:v>67.008359999999996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59C-E940-832B-06343CC5F90C}"/>
            </c:ext>
          </c:extLst>
        </c:ser>
        <c:ser>
          <c:idx val="5"/>
          <c:order val="4"/>
          <c:spPr>
            <a:solidFill>
              <a:schemeClr val="accent6"/>
            </a:solidFill>
            <a:ln/>
            <a:effectLst/>
            <a:sp3d/>
          </c:spPr>
          <c:val>
            <c:numRef>
              <c:f>all!$J$22:$J$26</c:f>
              <c:numCache>
                <c:formatCode>_(* #,##0.00_);_(* \(#,##0.00\);_(* "-"??_);_(@_)</c:formatCode>
                <c:ptCount val="5"/>
                <c:pt idx="0">
                  <c:v>54317.179999999993</c:v>
                </c:pt>
                <c:pt idx="1">
                  <c:v>5467.6720000000005</c:v>
                </c:pt>
                <c:pt idx="2">
                  <c:v>483.90620000000001</c:v>
                </c:pt>
                <c:pt idx="3">
                  <c:v>69.725719999999995</c:v>
                </c:pt>
                <c:pt idx="4">
                  <c:v>54.524100000000011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59C-E940-832B-06343CC5F90C}"/>
            </c:ext>
          </c:extLst>
        </c:ser>
        <c:ser>
          <c:idx val="0"/>
          <c:order val="5"/>
          <c:spPr>
            <a:solidFill>
              <a:schemeClr val="accent1"/>
            </a:solidFill>
            <a:ln/>
            <a:effectLst/>
            <a:sp3d/>
          </c:spPr>
          <c:val>
            <c:numRef>
              <c:f>all!$J$27:$J$31</c:f>
              <c:numCache>
                <c:formatCode>_(* #,##0.00_);_(* \(#,##0.00\);_(* "-"??_);_(@_)</c:formatCode>
                <c:ptCount val="5"/>
                <c:pt idx="0">
                  <c:v>14339.560000000001</c:v>
                </c:pt>
                <c:pt idx="1">
                  <c:v>1285.7239999999999</c:v>
                </c:pt>
                <c:pt idx="2">
                  <c:v>125.3862</c:v>
                </c:pt>
                <c:pt idx="3">
                  <c:v>27.060660000000002</c:v>
                </c:pt>
                <c:pt idx="4">
                  <c:v>13.769439999999999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E59C-E940-832B-06343CC5F90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81111743"/>
        <c:axId val="1981118463"/>
        <c:axId val="1016446976"/>
      </c:surface3DChart>
      <c:catAx>
        <c:axId val="198111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Subscriptions</a:t>
                </a:r>
              </a:p>
            </c:rich>
          </c:tx>
          <c:layout>
            <c:manualLayout>
              <c:xMode val="edge"/>
              <c:yMode val="edge"/>
              <c:x val="0.22632213636655982"/>
              <c:y val="0.828166927838789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  <c:auto val="1"/>
        <c:lblAlgn val="ctr"/>
        <c:lblOffset val="100"/>
        <c:noMultiLvlLbl val="0"/>
      </c:catAx>
      <c:valAx>
        <c:axId val="1981118463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 Subscription</a:t>
                </a:r>
                <a:r>
                  <a:rPr lang="en-GB" baseline="0"/>
                  <a:t> Throughput</a:t>
                </a:r>
                <a:endParaRPr lang="en-GB"/>
              </a:p>
            </c:rich>
          </c:tx>
          <c:overlay val="0"/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1743"/>
        <c:crosses val="autoZero"/>
        <c:crossBetween val="midCat"/>
      </c:valAx>
      <c:serAx>
        <c:axId val="101644697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Payload Size</a:t>
                </a:r>
              </a:p>
            </c:rich>
          </c:tx>
          <c:layout>
            <c:manualLayout>
              <c:xMode val="edge"/>
              <c:yMode val="edge"/>
              <c:x val="0.7457427944027416"/>
              <c:y val="0.81192887484459164"/>
            </c:manualLayout>
          </c:layout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</c:serAx>
    </c:plotArea>
    <c:legend>
      <c:legendPos val="t"/>
      <c:layout>
        <c:manualLayout>
          <c:xMode val="edge"/>
          <c:yMode val="edge"/>
          <c:x val="0.78673671661812394"/>
          <c:y val="8.4477796052631587E-2"/>
          <c:w val="0.17550544841463081"/>
          <c:h val="0.127210357956900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baseline="0">
                <a:solidFill>
                  <a:sysClr val="windowText" lastClr="000000"/>
                </a:solidFill>
              </a:rPr>
              <a:t>SPVA per-subscription max updates/s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40"/>
      <c:rAngAx val="0"/>
    </c:view3D>
    <c:floor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0"/>
          <c:tx>
            <c:strRef>
              <c:f>all!$I$2</c:f>
              <c:strCache>
                <c:ptCount val="1"/>
                <c:pt idx="0">
                  <c:v> 1 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all!$P$2:$P$6</c:f>
              <c:numCache>
                <c:formatCode>_(* #,##0.00_);_(* \(#,##0.00\);_(* "-"??_);_(@_)</c:formatCode>
                <c:ptCount val="5"/>
                <c:pt idx="0">
                  <c:v>75098.860000000015</c:v>
                </c:pt>
                <c:pt idx="1">
                  <c:v>4439.2199999999993</c:v>
                </c:pt>
                <c:pt idx="2">
                  <c:v>220.44620000000003</c:v>
                </c:pt>
                <c:pt idx="3">
                  <c:v>94.110159999999993</c:v>
                </c:pt>
                <c:pt idx="4">
                  <c:v>70.914880000000011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B-B549-BBCD-16AF40B39103}"/>
            </c:ext>
          </c:extLst>
        </c:ser>
        <c:ser>
          <c:idx val="2"/>
          <c:order val="1"/>
          <c:tx>
            <c:strRef>
              <c:f>all!$I$7</c:f>
              <c:strCache>
                <c:ptCount val="1"/>
                <c:pt idx="0">
                  <c:v> 10 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all!$P$7:$P$11</c:f>
              <c:numCache>
                <c:formatCode>_(* #,##0.00_);_(* \(#,##0.00\);_(* "-"??_);_(@_)</c:formatCode>
                <c:ptCount val="5"/>
                <c:pt idx="0">
                  <c:v>75308.74000000002</c:v>
                </c:pt>
                <c:pt idx="1">
                  <c:v>3955.2760000000003</c:v>
                </c:pt>
                <c:pt idx="2">
                  <c:v>238.10659999999999</c:v>
                </c:pt>
                <c:pt idx="3">
                  <c:v>78.01697999999999</c:v>
                </c:pt>
                <c:pt idx="4">
                  <c:v>43.413579999999996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B-B549-BBCD-16AF40B39103}"/>
            </c:ext>
          </c:extLst>
        </c:ser>
        <c:ser>
          <c:idx val="3"/>
          <c:order val="2"/>
          <c:tx>
            <c:strRef>
              <c:f>all!$I$12</c:f>
              <c:strCache>
                <c:ptCount val="1"/>
                <c:pt idx="0">
                  <c:v> 100 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all!$P$12:$P$16</c:f>
              <c:numCache>
                <c:formatCode>_(* #,##0.00_);_(* \(#,##0.00\);_(* "-"??_);_(@_)</c:formatCode>
                <c:ptCount val="5"/>
                <c:pt idx="0">
                  <c:v>74584.539999999994</c:v>
                </c:pt>
                <c:pt idx="1">
                  <c:v>4588.5059999999994</c:v>
                </c:pt>
                <c:pt idx="2">
                  <c:v>365.02180000000004</c:v>
                </c:pt>
                <c:pt idx="3">
                  <c:v>108.55260000000001</c:v>
                </c:pt>
                <c:pt idx="4">
                  <c:v>52.606179999999995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B-B549-BBCD-16AF40B39103}"/>
            </c:ext>
          </c:extLst>
        </c:ser>
        <c:ser>
          <c:idx val="4"/>
          <c:order val="3"/>
          <c:tx>
            <c:strRef>
              <c:f>all!$I$17</c:f>
              <c:strCache>
                <c:ptCount val="1"/>
                <c:pt idx="0">
                  <c:v> 1,000 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all!$P$17:$P$21</c:f>
              <c:numCache>
                <c:formatCode>_(* #,##0.00_);_(* \(#,##0.00\);_(* "-"??_);_(@_)</c:formatCode>
                <c:ptCount val="5"/>
                <c:pt idx="0">
                  <c:v>57063.42</c:v>
                </c:pt>
                <c:pt idx="1">
                  <c:v>3874.0080000000003</c:v>
                </c:pt>
                <c:pt idx="2">
                  <c:v>451.53099999999995</c:v>
                </c:pt>
                <c:pt idx="3">
                  <c:v>105.04819999999999</c:v>
                </c:pt>
                <c:pt idx="4">
                  <c:v>52.841740000000001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B-B549-BBCD-16AF40B39103}"/>
            </c:ext>
          </c:extLst>
        </c:ser>
        <c:ser>
          <c:idx val="5"/>
          <c:order val="4"/>
          <c:tx>
            <c:strRef>
              <c:f>all!$I$22</c:f>
              <c:strCache>
                <c:ptCount val="1"/>
                <c:pt idx="0">
                  <c:v> 10,000 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all!$P$22:$P$26</c:f>
              <c:numCache>
                <c:formatCode>_(* #,##0.00_);_(* \(#,##0.00\);_(* "-"??_);_(@_)</c:formatCode>
                <c:ptCount val="5"/>
                <c:pt idx="0">
                  <c:v>26414.359999999997</c:v>
                </c:pt>
                <c:pt idx="1">
                  <c:v>2257.076</c:v>
                </c:pt>
                <c:pt idx="2">
                  <c:v>213.30900000000003</c:v>
                </c:pt>
                <c:pt idx="3">
                  <c:v>45.429999999999993</c:v>
                </c:pt>
                <c:pt idx="4">
                  <c:v>24.17876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B-B549-BBCD-16AF40B39103}"/>
            </c:ext>
          </c:extLst>
        </c:ser>
        <c:ser>
          <c:idx val="0"/>
          <c:order val="5"/>
          <c:tx>
            <c:strRef>
              <c:f>all!$I$27</c:f>
              <c:strCache>
                <c:ptCount val="1"/>
                <c:pt idx="0">
                  <c:v> 100,000 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all!$P$27:$P$31</c:f>
              <c:numCache>
                <c:formatCode>_(* #,##0.00_);_(* \(#,##0.00\);_(* "-"??_);_(@_)</c:formatCode>
                <c:ptCount val="5"/>
                <c:pt idx="0">
                  <c:v>4232.674</c:v>
                </c:pt>
                <c:pt idx="1">
                  <c:v>388.07560000000001</c:v>
                </c:pt>
                <c:pt idx="2">
                  <c:v>39.421979999999998</c:v>
                </c:pt>
                <c:pt idx="3">
                  <c:v>7.4510160000000001</c:v>
                </c:pt>
                <c:pt idx="4">
                  <c:v>3.732224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B-B549-BBCD-16AF40B3910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81111743"/>
        <c:axId val="1981118463"/>
        <c:axId val="1016446976"/>
      </c:surface3DChart>
      <c:catAx>
        <c:axId val="198111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Subscriptions</a:t>
                </a:r>
              </a:p>
            </c:rich>
          </c:tx>
          <c:layout>
            <c:manualLayout>
              <c:xMode val="edge"/>
              <c:yMode val="edge"/>
              <c:x val="0.22632213636655982"/>
              <c:y val="0.828166927838789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  <c:auto val="1"/>
        <c:lblAlgn val="ctr"/>
        <c:lblOffset val="100"/>
        <c:noMultiLvlLbl val="0"/>
      </c:catAx>
      <c:valAx>
        <c:axId val="1981118463"/>
        <c:scaling>
          <c:logBase val="10"/>
          <c:orientation val="minMax"/>
          <c:max val="10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 Subscription</a:t>
                </a:r>
                <a:r>
                  <a:rPr lang="en-GB" baseline="0"/>
                  <a:t> Throughput</a:t>
                </a:r>
                <a:endParaRPr lang="en-GB"/>
              </a:p>
            </c:rich>
          </c:tx>
          <c:overlay val="0"/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1743"/>
        <c:crosses val="autoZero"/>
        <c:crossBetween val="midCat"/>
      </c:valAx>
      <c:serAx>
        <c:axId val="101644697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Payload Size</a:t>
                </a:r>
              </a:p>
            </c:rich>
          </c:tx>
          <c:layout>
            <c:manualLayout>
              <c:xMode val="edge"/>
              <c:yMode val="edge"/>
              <c:x val="0.7457427944027416"/>
              <c:y val="0.81192887484459164"/>
            </c:manualLayout>
          </c:layout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</c:serAx>
    </c:plotArea>
    <c:legend>
      <c:legendPos val="t"/>
      <c:layout>
        <c:manualLayout>
          <c:xMode val="edge"/>
          <c:yMode val="edge"/>
          <c:x val="0.78673671661812394"/>
          <c:y val="8.4477796052631587E-2"/>
          <c:w val="0.17550544841463081"/>
          <c:h val="0.127210357956900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baseline="0">
                <a:solidFill>
                  <a:sysClr val="windowText" lastClr="000000"/>
                </a:solidFill>
              </a:rPr>
              <a:t>SPVA with certificate monitoring </a:t>
            </a:r>
            <a:br>
              <a:rPr lang="en-GB" sz="1800" b="1" i="0" u="none" strike="noStrike" kern="1200" baseline="0">
                <a:solidFill>
                  <a:sysClr val="windowText" lastClr="000000"/>
                </a:solidFill>
              </a:rPr>
            </a:br>
            <a:r>
              <a:rPr lang="en-GB" sz="1800" b="1" i="0" u="none" strike="noStrike" kern="1200" baseline="0">
                <a:solidFill>
                  <a:sysClr val="windowText" lastClr="000000"/>
                </a:solidFill>
              </a:rPr>
              <a:t>per-subscription max updates/s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40"/>
      <c:rAngAx val="0"/>
    </c:view3D>
    <c:floor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0"/>
          <c:tx>
            <c:strRef>
              <c:f>all!$I$2</c:f>
              <c:strCache>
                <c:ptCount val="1"/>
                <c:pt idx="0">
                  <c:v> 1 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all!$V$2:$V$6</c:f>
              <c:numCache>
                <c:formatCode>_(* #,##0.00_);_(* \(#,##0.00\);_(* "-"??_);_(@_)</c:formatCode>
                <c:ptCount val="5"/>
                <c:pt idx="0">
                  <c:v>73641.899999999994</c:v>
                </c:pt>
                <c:pt idx="1">
                  <c:v>4435.47</c:v>
                </c:pt>
                <c:pt idx="2">
                  <c:v>205.84899999999999</c:v>
                </c:pt>
                <c:pt idx="3">
                  <c:v>95.163899999999998</c:v>
                </c:pt>
                <c:pt idx="4">
                  <c:v>71.534199999999998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B-B549-BBCD-16AF40B39103}"/>
            </c:ext>
          </c:extLst>
        </c:ser>
        <c:ser>
          <c:idx val="2"/>
          <c:order val="1"/>
          <c:tx>
            <c:strRef>
              <c:f>all!$I$7</c:f>
              <c:strCache>
                <c:ptCount val="1"/>
                <c:pt idx="0">
                  <c:v> 10 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all!$V$7:$V$11</c:f>
              <c:numCache>
                <c:formatCode>_(* #,##0.00_);_(* \(#,##0.00\);_(* "-"??_);_(@_)</c:formatCode>
                <c:ptCount val="5"/>
                <c:pt idx="0">
                  <c:v>72590.7</c:v>
                </c:pt>
                <c:pt idx="1">
                  <c:v>3976.34</c:v>
                </c:pt>
                <c:pt idx="2">
                  <c:v>251.13499999999999</c:v>
                </c:pt>
                <c:pt idx="3">
                  <c:v>74.019199999999998</c:v>
                </c:pt>
                <c:pt idx="4">
                  <c:v>43.134300000000003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B-B549-BBCD-16AF40B39103}"/>
            </c:ext>
          </c:extLst>
        </c:ser>
        <c:ser>
          <c:idx val="3"/>
          <c:order val="2"/>
          <c:tx>
            <c:strRef>
              <c:f>all!$I$12</c:f>
              <c:strCache>
                <c:ptCount val="1"/>
                <c:pt idx="0">
                  <c:v> 100 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all!$V$12:$V$16</c:f>
              <c:numCache>
                <c:formatCode>_(* #,##0.00_);_(* \(#,##0.00\);_(* "-"??_);_(@_)</c:formatCode>
                <c:ptCount val="5"/>
                <c:pt idx="0">
                  <c:v>73077.399999999994</c:v>
                </c:pt>
                <c:pt idx="1">
                  <c:v>4731.83</c:v>
                </c:pt>
                <c:pt idx="2">
                  <c:v>371.32799999999997</c:v>
                </c:pt>
                <c:pt idx="3">
                  <c:v>108.977</c:v>
                </c:pt>
                <c:pt idx="4">
                  <c:v>56.071199999999997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B-B549-BBCD-16AF40B39103}"/>
            </c:ext>
          </c:extLst>
        </c:ser>
        <c:ser>
          <c:idx val="4"/>
          <c:order val="3"/>
          <c:tx>
            <c:strRef>
              <c:f>all!$I$17</c:f>
              <c:strCache>
                <c:ptCount val="1"/>
                <c:pt idx="0">
                  <c:v> 1,000 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all!$V$17:$V$21</c:f>
              <c:numCache>
                <c:formatCode>_(* #,##0.00_);_(* \(#,##0.00\);_(* "-"??_);_(@_)</c:formatCode>
                <c:ptCount val="5"/>
                <c:pt idx="0">
                  <c:v>60246.3</c:v>
                </c:pt>
                <c:pt idx="1">
                  <c:v>3943.21</c:v>
                </c:pt>
                <c:pt idx="2">
                  <c:v>432.25900000000001</c:v>
                </c:pt>
                <c:pt idx="3">
                  <c:v>103.11</c:v>
                </c:pt>
                <c:pt idx="4">
                  <c:v>53.812399999999997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B-B549-BBCD-16AF40B39103}"/>
            </c:ext>
          </c:extLst>
        </c:ser>
        <c:ser>
          <c:idx val="5"/>
          <c:order val="4"/>
          <c:tx>
            <c:strRef>
              <c:f>all!$I$22</c:f>
              <c:strCache>
                <c:ptCount val="1"/>
                <c:pt idx="0">
                  <c:v> 10,000 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all!$V$22:$V$26</c:f>
              <c:numCache>
                <c:formatCode>_(* #,##0.00_);_(* \(#,##0.00\);_(* "-"??_);_(@_)</c:formatCode>
                <c:ptCount val="5"/>
                <c:pt idx="0">
                  <c:v>26553.1</c:v>
                </c:pt>
                <c:pt idx="1">
                  <c:v>2326.52</c:v>
                </c:pt>
                <c:pt idx="2">
                  <c:v>210.86</c:v>
                </c:pt>
                <c:pt idx="3">
                  <c:v>47.064900000000002</c:v>
                </c:pt>
                <c:pt idx="4">
                  <c:v>24.025400000000001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B-B549-BBCD-16AF40B39103}"/>
            </c:ext>
          </c:extLst>
        </c:ser>
        <c:ser>
          <c:idx val="0"/>
          <c:order val="5"/>
          <c:tx>
            <c:strRef>
              <c:f>all!$I$27</c:f>
              <c:strCache>
                <c:ptCount val="1"/>
                <c:pt idx="0">
                  <c:v> 100,000 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Lit>
              <c:formatCode>General</c:formatCode>
              <c:ptCount val="5"/>
              <c:pt idx="0">
                <c:v>1</c:v>
              </c:pt>
              <c:pt idx="1">
                <c:v>10</c:v>
              </c:pt>
              <c:pt idx="2">
                <c:v>100</c:v>
              </c:pt>
              <c:pt idx="3">
                <c:v>500</c:v>
              </c:pt>
              <c:pt idx="4">
                <c:v>1000</c:v>
              </c:pt>
            </c:numLit>
          </c:cat>
          <c:val>
            <c:numRef>
              <c:f>all!$J$27:$J$31</c:f>
              <c:numCache>
                <c:formatCode>_(* #,##0.00_);_(* \(#,##0.00\);_(* "-"??_);_(@_)</c:formatCode>
                <c:ptCount val="5"/>
                <c:pt idx="0">
                  <c:v>14339.560000000001</c:v>
                </c:pt>
                <c:pt idx="1">
                  <c:v>1285.7239999999999</c:v>
                </c:pt>
                <c:pt idx="2">
                  <c:v>125.3862</c:v>
                </c:pt>
                <c:pt idx="3">
                  <c:v>27.060660000000002</c:v>
                </c:pt>
                <c:pt idx="4">
                  <c:v>13.769439999999999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B-B549-BBCD-16AF40B3910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81111743"/>
        <c:axId val="1981118463"/>
        <c:axId val="1016446976"/>
      </c:surface3DChart>
      <c:catAx>
        <c:axId val="198111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Subscriptions</a:t>
                </a:r>
              </a:p>
            </c:rich>
          </c:tx>
          <c:layout>
            <c:manualLayout>
              <c:xMode val="edge"/>
              <c:yMode val="edge"/>
              <c:x val="0.22632213636655982"/>
              <c:y val="0.828166927838789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  <c:auto val="1"/>
        <c:lblAlgn val="ctr"/>
        <c:lblOffset val="100"/>
        <c:noMultiLvlLbl val="0"/>
      </c:catAx>
      <c:valAx>
        <c:axId val="1981118463"/>
        <c:scaling>
          <c:logBase val="10"/>
          <c:orientation val="minMax"/>
          <c:max val="10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 Subscription</a:t>
                </a:r>
                <a:r>
                  <a:rPr lang="en-GB" baseline="0"/>
                  <a:t> Throughput</a:t>
                </a:r>
                <a:endParaRPr lang="en-GB"/>
              </a:p>
            </c:rich>
          </c:tx>
          <c:overlay val="0"/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1743"/>
        <c:crosses val="autoZero"/>
        <c:crossBetween val="midCat"/>
      </c:valAx>
      <c:serAx>
        <c:axId val="101644697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GB"/>
                  <a:t>Payload Size</a:t>
                </a:r>
              </a:p>
            </c:rich>
          </c:tx>
          <c:layout>
            <c:manualLayout>
              <c:xMode val="edge"/>
              <c:yMode val="edge"/>
              <c:x val="0.7457427944027416"/>
              <c:y val="0.81192887484459164"/>
            </c:manualLayout>
          </c:layout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18463"/>
        <c:crosses val="autoZero"/>
      </c:serAx>
    </c:plotArea>
    <c:legend>
      <c:legendPos val="t"/>
      <c:layout>
        <c:manualLayout>
          <c:xMode val="edge"/>
          <c:yMode val="edge"/>
          <c:x val="0.78673671661812394"/>
          <c:y val="8.4477796052631587E-2"/>
          <c:w val="0.17550544841463081"/>
          <c:h val="0.127210357956900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Connection Phase Timing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Search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('Connection Phase Timing'!$C$44,'Connection Phase Timing'!$F$44,'Connection Phase Timing'!$J$44)</c:f>
              <c:strCache>
                <c:ptCount val="3"/>
                <c:pt idx="0">
                  <c:v>PVA</c:v>
                </c:pt>
                <c:pt idx="1">
                  <c:v>SPVA</c:v>
                </c:pt>
                <c:pt idx="2">
                  <c:v>SPVA Cert Monitor</c:v>
                </c:pt>
              </c:strCache>
            </c:strRef>
          </c:cat>
          <c:val>
            <c:numRef>
              <c:f>(csv_phase!$V$2,csv_phase!$X$2,csv_phase!$Z$2)</c:f>
              <c:numCache>
                <c:formatCode>0.00\ "ms"</c:formatCode>
                <c:ptCount val="3"/>
                <c:pt idx="0">
                  <c:v>2.9871999999999996</c:v>
                </c:pt>
                <c:pt idx="1">
                  <c:v>1.97126</c:v>
                </c:pt>
                <c:pt idx="2">
                  <c:v>4.2835799999999997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C-C84D-A404-07458C680746}"/>
            </c:ext>
          </c:extLst>
        </c:ser>
        <c:ser>
          <c:idx val="1"/>
          <c:order val="1"/>
          <c:tx>
            <c:v>[TLS Handshake + Subscribe to Cert Status] or [TCP Connect]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('Connection Phase Timing'!$C$44,'Connection Phase Timing'!$F$44,'Connection Phase Timing'!$J$44)</c:f>
              <c:strCache>
                <c:ptCount val="3"/>
                <c:pt idx="0">
                  <c:v>PVA</c:v>
                </c:pt>
                <c:pt idx="1">
                  <c:v>SPVA</c:v>
                </c:pt>
                <c:pt idx="2">
                  <c:v>SPVA Cert Monitor</c:v>
                </c:pt>
              </c:strCache>
            </c:strRef>
          </c:cat>
          <c:val>
            <c:numRef>
              <c:f>(csv_phase!$V$3,csv_phase!$X$3,csv_phase!$Z$3)</c:f>
              <c:numCache>
                <c:formatCode>0.00\ "ms"</c:formatCode>
                <c:ptCount val="3"/>
                <c:pt idx="0">
                  <c:v>0.12035999999999999</c:v>
                </c:pt>
                <c:pt idx="1">
                  <c:v>5.2226800000000004</c:v>
                </c:pt>
                <c:pt idx="2">
                  <c:v>13.750540000000001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C-C84D-A404-07458C680746}"/>
            </c:ext>
          </c:extLst>
        </c:ser>
        <c:ser>
          <c:idx val="2"/>
          <c:order val="2"/>
          <c:tx>
            <c:v>Connection Validation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('Connection Phase Timing'!$C$44,'Connection Phase Timing'!$F$44,'Connection Phase Timing'!$J$44)</c:f>
              <c:strCache>
                <c:ptCount val="3"/>
                <c:pt idx="0">
                  <c:v>PVA</c:v>
                </c:pt>
                <c:pt idx="1">
                  <c:v>SPVA</c:v>
                </c:pt>
                <c:pt idx="2">
                  <c:v>SPVA Cert Monitor</c:v>
                </c:pt>
              </c:strCache>
            </c:strRef>
          </c:cat>
          <c:val>
            <c:numRef>
              <c:f>(csv_phase!$V$4,csv_phase!$X$4,csv_phase!$Z$4)</c:f>
              <c:numCache>
                <c:formatCode>0.00\ "ms"</c:formatCode>
                <c:ptCount val="3"/>
                <c:pt idx="0">
                  <c:v>0.29077999999999998</c:v>
                </c:pt>
                <c:pt idx="1">
                  <c:v>0.53795999999999999</c:v>
                </c:pt>
                <c:pt idx="2">
                  <c:v>0.74075999999999997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1C-C84D-A404-07458C680746}"/>
            </c:ext>
          </c:extLst>
        </c:ser>
        <c:ser>
          <c:idx val="3"/>
          <c:order val="3"/>
          <c:tx>
            <c:v>[Wait for Cert Status] + Create Channel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('Connection Phase Timing'!$C$44,'Connection Phase Timing'!$F$44,'Connection Phase Timing'!$J$44)</c:f>
              <c:strCache>
                <c:ptCount val="3"/>
                <c:pt idx="0">
                  <c:v>PVA</c:v>
                </c:pt>
                <c:pt idx="1">
                  <c:v>SPVA</c:v>
                </c:pt>
                <c:pt idx="2">
                  <c:v>SPVA Cert Monitor</c:v>
                </c:pt>
              </c:strCache>
            </c:strRef>
          </c:cat>
          <c:val>
            <c:numRef>
              <c:f>(csv_phase!$V$5,csv_phase!$X$5,csv_phase!$Z$5)</c:f>
              <c:numCache>
                <c:formatCode>0.00\ "ms"</c:formatCode>
                <c:ptCount val="3"/>
                <c:pt idx="0">
                  <c:v>0.46160000000000001</c:v>
                </c:pt>
                <c:pt idx="1">
                  <c:v>0.34066000000000002</c:v>
                </c:pt>
                <c:pt idx="2">
                  <c:v>15.26008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1C-C84D-A404-07458C6807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53077631"/>
        <c:axId val="832134143"/>
        <c:axId val="0"/>
      </c:bar3DChart>
      <c:catAx>
        <c:axId val="115307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34143"/>
        <c:crosses val="autoZero"/>
        <c:auto val="1"/>
        <c:lblAlgn val="ctr"/>
        <c:lblOffset val="100"/>
        <c:noMultiLvlLbl val="0"/>
      </c:catAx>
      <c:valAx>
        <c:axId val="83213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/>
                  <a:t>duration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474668759188608"/>
          <c:y val="0.42518875047187615"/>
          <c:w val="0.3652832571186333"/>
          <c:h val="8.2932350047410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355600</xdr:colOff>
      <xdr:row>3</xdr:row>
      <xdr:rowOff>25400</xdr:rowOff>
    </xdr:from>
    <xdr:to>
      <xdr:col>21</xdr:col>
      <xdr:colOff>736600</xdr:colOff>
      <xdr:row>37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F384B-E750-9B40-9DF3-3D78FCD30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698500</xdr:colOff>
      <xdr:row>3</xdr:row>
      <xdr:rowOff>25400</xdr:rowOff>
    </xdr:from>
    <xdr:to>
      <xdr:col>11</xdr:col>
      <xdr:colOff>254000</xdr:colOff>
      <xdr:row>37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7D58C6-F4F5-CA49-BCE9-0D5068D41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59266</xdr:colOff>
      <xdr:row>6</xdr:row>
      <xdr:rowOff>59265</xdr:rowOff>
    </xdr:from>
    <xdr:to>
      <xdr:col>8</xdr:col>
      <xdr:colOff>101600</xdr:colOff>
      <xdr:row>11</xdr:row>
      <xdr:rowOff>67733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24A8D6-B371-D706-7AC9-5B22EBEE8974}"/>
            </a:ext>
          </a:extLst>
        </xdr:cNvPr>
        <xdr:cNvSpPr txBox="1"/>
      </xdr:nvSpPr>
      <xdr:spPr>
        <a:xfrm>
          <a:off x="4207933" y="1278465"/>
          <a:ext cx="3361267" cy="1024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i="1">
              <a:solidFill>
                <a:schemeClr val="bg1">
                  <a:lumMod val="85000"/>
                </a:schemeClr>
              </a:solidFill>
            </a:rPr>
            <a:t>Maximum number</a:t>
          </a: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 of updates that can be reliably processed by a </a:t>
          </a:r>
          <a:r>
            <a:rPr lang="en-GB" sz="1100" b="1" i="1" baseline="0">
              <a:solidFill>
                <a:schemeClr val="bg1">
                  <a:lumMod val="85000"/>
                </a:schemeClr>
              </a:solidFill>
            </a:rPr>
            <a:t>single subscriber </a:t>
          </a: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per second, </a:t>
          </a:r>
          <a:br>
            <a:rPr lang="en-GB" sz="1100" i="1" baseline="0">
              <a:solidFill>
                <a:schemeClr val="bg1">
                  <a:lumMod val="85000"/>
                </a:schemeClr>
              </a:solidFill>
            </a:rPr>
          </a:b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at varying payload sizes (1B-100K) and  </a:t>
          </a:r>
          <a:br>
            <a:rPr lang="en-GB" sz="1100" i="1" baseline="0">
              <a:solidFill>
                <a:schemeClr val="bg1">
                  <a:lumMod val="85000"/>
                </a:schemeClr>
              </a:solidFill>
            </a:rPr>
          </a:b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server pipeline windows (144-4)</a:t>
          </a:r>
          <a:endParaRPr lang="en-GB" sz="1100" i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14</xdr:col>
      <xdr:colOff>76201</xdr:colOff>
      <xdr:row>6</xdr:row>
      <xdr:rowOff>50798</xdr:rowOff>
    </xdr:from>
    <xdr:to>
      <xdr:col>18</xdr:col>
      <xdr:colOff>668868</xdr:colOff>
      <xdr:row>11</xdr:row>
      <xdr:rowOff>84667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32BA55-340B-2745-8561-48A419B95587}"/>
            </a:ext>
          </a:extLst>
        </xdr:cNvPr>
        <xdr:cNvSpPr txBox="1"/>
      </xdr:nvSpPr>
      <xdr:spPr>
        <a:xfrm>
          <a:off x="12522201" y="1269998"/>
          <a:ext cx="3911600" cy="1049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i="1">
              <a:solidFill>
                <a:schemeClr val="bg1">
                  <a:lumMod val="85000"/>
                </a:schemeClr>
              </a:solidFill>
            </a:rPr>
            <a:t>Agregated maximum number</a:t>
          </a: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 of updates that can be reliably  processed by </a:t>
          </a:r>
          <a:r>
            <a:rPr lang="en-GB" sz="1100" b="1" i="1" baseline="0">
              <a:solidFill>
                <a:schemeClr val="bg1">
                  <a:lumMod val="85000"/>
                </a:schemeClr>
              </a:solidFill>
            </a:rPr>
            <a:t>1,000 concurrent subscribers</a:t>
          </a: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, per second, </a:t>
          </a:r>
          <a:br>
            <a:rPr lang="en-GB" sz="1100" i="1" baseline="0">
              <a:solidFill>
                <a:schemeClr val="bg1">
                  <a:lumMod val="85000"/>
                </a:schemeClr>
              </a:solidFill>
            </a:rPr>
          </a:b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at varying payload sizes (1B-100K) and  </a:t>
          </a:r>
          <a:br>
            <a:rPr lang="en-GB" sz="1100" i="1" baseline="0">
              <a:solidFill>
                <a:schemeClr val="bg1">
                  <a:lumMod val="85000"/>
                </a:schemeClr>
              </a:solidFill>
            </a:rPr>
          </a:br>
          <a:r>
            <a:rPr lang="en-GB" sz="1100" i="1" baseline="0">
              <a:solidFill>
                <a:schemeClr val="bg1">
                  <a:lumMod val="85000"/>
                </a:schemeClr>
              </a:solidFill>
            </a:rPr>
            <a:t>server pipeline windows (144-4)</a:t>
          </a:r>
          <a:endParaRPr lang="en-GB" sz="1100" i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91440</xdr:rowOff>
    </xdr:from>
    <xdr:to>
      <xdr:col>9</xdr:col>
      <xdr:colOff>812800</xdr:colOff>
      <xdr:row>30</xdr:row>
      <xdr:rowOff>172720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CA4BF4-3B8B-A341-979E-3285B87DA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91440</xdr:rowOff>
    </xdr:from>
    <xdr:to>
      <xdr:col>20</xdr:col>
      <xdr:colOff>365760</xdr:colOff>
      <xdr:row>30</xdr:row>
      <xdr:rowOff>172720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95E6FB-9718-D108-6399-FB75C34C7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40639</xdr:colOff>
      <xdr:row>1</xdr:row>
      <xdr:rowOff>142240</xdr:rowOff>
    </xdr:from>
    <xdr:to>
      <xdr:col>9</xdr:col>
      <xdr:colOff>568960</xdr:colOff>
      <xdr:row>3</xdr:row>
      <xdr:rowOff>30480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A5AC5C-940A-4547-BAB8-11D075711EC5}"/>
            </a:ext>
          </a:extLst>
        </xdr:cNvPr>
        <xdr:cNvSpPr txBox="1"/>
      </xdr:nvSpPr>
      <xdr:spPr>
        <a:xfrm>
          <a:off x="7020559" y="9083040"/>
          <a:ext cx="1452881" cy="29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 i="1">
              <a:solidFill>
                <a:schemeClr val="tx1"/>
              </a:solidFill>
            </a:rPr>
            <a:t>max-updates/sub/sec</a:t>
          </a:r>
        </a:p>
      </xdr:txBody>
    </xdr:sp>
    <xdr:clientData/>
  </xdr:twoCellAnchor>
  <xdr:twoCellAnchor>
    <xdr:from>
      <xdr:col>0</xdr:col>
      <xdr:colOff>10160</xdr:colOff>
      <xdr:row>30</xdr:row>
      <xdr:rowOff>182880</xdr:rowOff>
    </xdr:from>
    <xdr:to>
      <xdr:col>9</xdr:col>
      <xdr:colOff>812800</xdr:colOff>
      <xdr:row>61</xdr:row>
      <xdr:rowOff>60960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829A4A5-42B3-5F46-A05B-23C15B284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182880</xdr:rowOff>
    </xdr:from>
    <xdr:to>
      <xdr:col>20</xdr:col>
      <xdr:colOff>365760</xdr:colOff>
      <xdr:row>61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2345AD-9107-DEA9-DDA3-1D1BA35A9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314959</xdr:colOff>
      <xdr:row>1</xdr:row>
      <xdr:rowOff>162560</xdr:rowOff>
    </xdr:from>
    <xdr:to>
      <xdr:col>20</xdr:col>
      <xdr:colOff>121920</xdr:colOff>
      <xdr:row>3</xdr:row>
      <xdr:rowOff>50800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4C6A557-818E-9C2D-022B-27A090E17E72}"/>
            </a:ext>
          </a:extLst>
        </xdr:cNvPr>
        <xdr:cNvSpPr txBox="1"/>
      </xdr:nvSpPr>
      <xdr:spPr>
        <a:xfrm>
          <a:off x="15737839" y="365760"/>
          <a:ext cx="1452881" cy="29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 i="1">
              <a:solidFill>
                <a:schemeClr val="tx1"/>
              </a:solidFill>
            </a:rPr>
            <a:t>max-updates/sub/sec</a:t>
          </a:r>
        </a:p>
      </xdr:txBody>
    </xdr:sp>
    <xdr:clientData/>
  </xdr:twoCellAnchor>
  <xdr:twoCellAnchor>
    <xdr:from>
      <xdr:col>18</xdr:col>
      <xdr:colOff>304800</xdr:colOff>
      <xdr:row>32</xdr:row>
      <xdr:rowOff>20320</xdr:rowOff>
    </xdr:from>
    <xdr:to>
      <xdr:col>20</xdr:col>
      <xdr:colOff>111761</xdr:colOff>
      <xdr:row>33</xdr:row>
      <xdr:rowOff>111760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3F31B3B-A3C8-A8A9-BD76-05757EE0AA9D}"/>
            </a:ext>
          </a:extLst>
        </xdr:cNvPr>
        <xdr:cNvSpPr txBox="1"/>
      </xdr:nvSpPr>
      <xdr:spPr>
        <a:xfrm>
          <a:off x="15727680" y="6522720"/>
          <a:ext cx="1452881" cy="29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 i="1">
              <a:solidFill>
                <a:schemeClr val="tx1"/>
              </a:solidFill>
            </a:rPr>
            <a:t>max-updates/sub/sec</a:t>
          </a:r>
        </a:p>
      </xdr:txBody>
    </xdr:sp>
    <xdr:clientData/>
  </xdr:twoCellAnchor>
  <xdr:twoCellAnchor>
    <xdr:from>
      <xdr:col>8</xdr:col>
      <xdr:colOff>0</xdr:colOff>
      <xdr:row>32</xdr:row>
      <xdr:rowOff>20320</xdr:rowOff>
    </xdr:from>
    <xdr:to>
      <xdr:col>9</xdr:col>
      <xdr:colOff>528321</xdr:colOff>
      <xdr:row>33</xdr:row>
      <xdr:rowOff>111760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A8CD76-A263-1985-DF63-C67828D3A01E}"/>
            </a:ext>
          </a:extLst>
        </xdr:cNvPr>
        <xdr:cNvSpPr txBox="1"/>
      </xdr:nvSpPr>
      <xdr:spPr>
        <a:xfrm>
          <a:off x="6979920" y="6522720"/>
          <a:ext cx="1452881" cy="29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 i="1">
              <a:solidFill>
                <a:schemeClr val="tx1"/>
              </a:solidFill>
            </a:rPr>
            <a:t>max-updates/sub/sec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0</xdr:rowOff>
    </xdr:from>
    <xdr:to>
      <xdr:col>14</xdr:col>
      <xdr:colOff>177800</xdr:colOff>
      <xdr:row>41</xdr:row>
      <xdr:rowOff>5125720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2309B-90C4-1EAE-C575-BA83DB34F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3776B-CF12-7444-B537-43AA2EAE8231}" name="Table2" displayName="Table2" ref="A1:E25" totalsRowShown="0">
  <autoFilter ref="A1:E25" xr:uid="{39C3776B-CF12-7444-B537-43AA2EAE8231}"/>
  <tableColumns count="5">
    <tableColumn id="1" xr3:uid="{A788B498-180D-4B40-9864-E8046937EDE5}" name="protocol">
      <calculatedColumnFormula array="1">INDIRECT(CONCATENATE("csv!A",$E2))</calculatedColumnFormula>
    </tableColumn>
    <tableColumn id="2" xr3:uid="{1CBEE90D-4ACC-964C-BFB4-A8A37ED74697}" name="payload_bytes" dataDxfId="7" dataCellStyle="Comma">
      <calculatedColumnFormula array="1">INDIRECT(CONCATENATE("csv!D",$E2))</calculatedColumnFormula>
    </tableColumn>
    <tableColumn id="3" xr3:uid="{7704FDD7-F440-CE43-B322-54283646DC55}" name="updates_per_second" dataDxfId="6" dataCellStyle="Comma">
      <calculatedColumnFormula>AVERAGE(INDIRECT(CONCATENATE("csv!G",$E2)):INDIRECT(CONCATENATE("csv!G",($E2)+4)))</calculatedColumnFormula>
    </tableColumn>
    <tableColumn id="4" xr3:uid="{63757CD1-3BFD-5642-BF2E-797F9BFBB175}" name="stdandard_dev" dataDxfId="5" dataCellStyle="Comma">
      <calculatedColumnFormula>_xlfn.STDEV.S(INDIRECT(CONCATENATE("csv!G",$E2)):INDIRECT(CONCATENATE("csv!G",($E2)+4)))</calculatedColumnFormula>
    </tableColumn>
    <tableColumn id="5" xr3:uid="{507413BE-06F6-6B4E-9538-A1F5524728C5}" name="row to choose" dataDxfId="4" dataCellStyle="Comma">
      <calculatedColumnFormula>E1+5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C63F04-70E0-964D-9C32-4C53B6EE480E}" name="Table3" displayName="Table3" ref="A1:E25" totalsRowShown="0">
  <autoFilter ref="A1:E25" xr:uid="{BEC63F04-70E0-964D-9C32-4C53B6EE480E}"/>
  <tableColumns count="5">
    <tableColumn id="1" xr3:uid="{003C3CA0-3645-7547-92FC-8B1CE5C0057C}" name="protocol">
      <calculatedColumnFormula array="1">INDIRECT(CONCATENATE("csv!A",$E2))</calculatedColumnFormula>
    </tableColumn>
    <tableColumn id="2" xr3:uid="{D6BA0669-61ED-2C47-B2E0-2870D1353772}" name="payload_bytes" dataDxfId="3" dataCellStyle="Comma">
      <calculatedColumnFormula array="1">INDIRECT(CONCATENATE("csv!D",$E2))</calculatedColumnFormula>
    </tableColumn>
    <tableColumn id="3" xr3:uid="{C0692C55-A8E4-5441-B332-5179BF614E70}" name="updates_per_second" dataDxfId="2" dataCellStyle="Comma">
      <calculatedColumnFormula>AVERAGE(INDIRECT(CONCATENATE("csv!G",$E2)):INDIRECT(CONCATENATE("csv!G",($E2)+4)))</calculatedColumnFormula>
    </tableColumn>
    <tableColumn id="4" xr3:uid="{DC54C40D-FF40-B046-893A-408E1C997970}" name="standard_dev" dataDxfId="1" dataCellStyle="Comma">
      <calculatedColumnFormula>_xlfn.STDEV.S(INDIRECT(CONCATENATE("csv!G",$E2)):INDIRECT(CONCATENATE("csv!G",($E2)+4)))</calculatedColumnFormula>
    </tableColumn>
    <tableColumn id="5" xr3:uid="{C0C8568A-B873-264A-9339-4378026A6C55}" name="row to choose" dataDxfId="0" dataCellStyle="Comma">
      <calculatedColumnFormula>E1+5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A7AE-4F31-524B-8CBA-31FFDDCC6F0F}">
  <dimension ref="B1:Q60"/>
  <sheetViews>
    <sheetView showGridLines="0" topLeftCell="A3" zoomScale="130" zoomScaleNormal="130" workbookViewId="0">
      <selection activeCell="C24" sqref="C24:C25"/>
    </sheetView>
  </sheetViews>
  <sheetFormatPr baseColWidth="10" defaultRowHeight="16"/>
  <cols>
    <col min="2" max="2" width="10.83203125" customWidth="1"/>
  </cols>
  <sheetData>
    <row r="1" spans="2:17" ht="21" thickBot="1">
      <c r="B1" s="7" t="s">
        <v>64</v>
      </c>
      <c r="C1" s="7"/>
      <c r="D1" s="7"/>
      <c r="E1" s="7"/>
      <c r="F1" s="7"/>
      <c r="G1" s="7"/>
      <c r="H1" s="7"/>
      <c r="I1" s="7"/>
    </row>
    <row r="2" spans="2:17" ht="17" thickTop="1"/>
    <row r="3" spans="2:17" ht="20">
      <c r="B3" s="9" t="s">
        <v>65</v>
      </c>
    </row>
    <row r="4" spans="2:17" ht="20">
      <c r="B4" s="9"/>
      <c r="C4" s="19" t="s">
        <v>66</v>
      </c>
    </row>
    <row r="5" spans="2:17" ht="20">
      <c r="B5" s="9"/>
      <c r="C5" s="19" t="s">
        <v>67</v>
      </c>
    </row>
    <row r="6" spans="2:17" ht="20">
      <c r="B6" s="9"/>
      <c r="C6" s="19" t="s">
        <v>68</v>
      </c>
    </row>
    <row r="7" spans="2:17" ht="20">
      <c r="B7" s="9"/>
      <c r="C7" s="19" t="s">
        <v>69</v>
      </c>
    </row>
    <row r="8" spans="2:17" ht="20">
      <c r="B8" s="9" t="s">
        <v>11</v>
      </c>
    </row>
    <row r="9" spans="2:17" ht="20">
      <c r="B9" s="9"/>
    </row>
    <row r="10" spans="2:17">
      <c r="B10" s="15" t="s">
        <v>70</v>
      </c>
      <c r="C10" s="15"/>
      <c r="D10" s="15"/>
      <c r="E10" s="15"/>
      <c r="F10" s="15"/>
      <c r="G10" s="15"/>
    </row>
    <row r="12" spans="2:17" ht="21" thickBot="1">
      <c r="B12" s="7" t="s">
        <v>31</v>
      </c>
    </row>
    <row r="13" spans="2:17" ht="17" thickTop="1"/>
    <row r="14" spans="2:17" ht="18" thickBot="1">
      <c r="B14" s="8" t="s">
        <v>47</v>
      </c>
      <c r="C14" s="8"/>
      <c r="D14" s="8"/>
      <c r="E14" s="8"/>
      <c r="F14" s="8"/>
      <c r="H14" s="8" t="s">
        <v>48</v>
      </c>
      <c r="I14" s="8"/>
      <c r="J14" s="8"/>
      <c r="K14" s="8"/>
      <c r="M14" s="8" t="s">
        <v>45</v>
      </c>
      <c r="N14" s="8"/>
      <c r="O14" s="8"/>
      <c r="P14" s="8"/>
      <c r="Q14" s="8"/>
    </row>
    <row r="15" spans="2:17" ht="17" thickTop="1">
      <c r="C15" t="s">
        <v>32</v>
      </c>
      <c r="D15" t="s">
        <v>33</v>
      </c>
      <c r="I15" t="s">
        <v>40</v>
      </c>
      <c r="N15" t="s">
        <v>43</v>
      </c>
    </row>
    <row r="16" spans="2:17">
      <c r="C16" t="s">
        <v>34</v>
      </c>
      <c r="D16" t="s">
        <v>35</v>
      </c>
      <c r="I16" t="s">
        <v>41</v>
      </c>
      <c r="N16" t="s">
        <v>44</v>
      </c>
    </row>
    <row r="17" spans="2:9">
      <c r="C17" t="s">
        <v>36</v>
      </c>
      <c r="D17" t="s">
        <v>37</v>
      </c>
      <c r="I17" t="s">
        <v>42</v>
      </c>
    </row>
    <row r="18" spans="2:9">
      <c r="C18" t="s">
        <v>38</v>
      </c>
      <c r="D18" t="s">
        <v>39</v>
      </c>
    </row>
    <row r="20" spans="2:9" ht="21" thickBot="1">
      <c r="B20" s="7" t="s">
        <v>46</v>
      </c>
      <c r="C20" s="7"/>
      <c r="D20" s="7"/>
      <c r="E20" s="7"/>
      <c r="F20" s="7"/>
      <c r="G20" s="7"/>
    </row>
    <row r="21" spans="2:9" ht="18" thickTop="1" thickBot="1">
      <c r="B21" s="10" t="s">
        <v>12</v>
      </c>
      <c r="C21" s="10"/>
      <c r="D21" s="10"/>
      <c r="E21" s="10"/>
      <c r="F21" s="10"/>
      <c r="G21" s="10"/>
    </row>
    <row r="22" spans="2:9">
      <c r="B22" s="11" t="s">
        <v>13</v>
      </c>
      <c r="C22" s="11" t="s">
        <v>7</v>
      </c>
      <c r="D22" s="11" t="s">
        <v>8</v>
      </c>
      <c r="E22" s="11" t="s">
        <v>9</v>
      </c>
      <c r="F22" s="11" t="s">
        <v>10</v>
      </c>
      <c r="G22" s="11"/>
    </row>
    <row r="23" spans="2:9">
      <c r="B23" s="14" t="s">
        <v>14</v>
      </c>
      <c r="C23" s="20">
        <f ca="1">seq!$C2</f>
        <v>37368.620000000003</v>
      </c>
      <c r="D23" s="20">
        <f ca="1">seq!$C8</f>
        <v>107248.4</v>
      </c>
      <c r="E23" s="20">
        <f ca="1">seq!$C14</f>
        <v>75098.860000000015</v>
      </c>
      <c r="F23" s="20">
        <f ca="1">seq!$C20</f>
        <v>73196.680000000008</v>
      </c>
      <c r="G23" s="14"/>
    </row>
    <row r="24" spans="2:9">
      <c r="B24" s="14" t="s">
        <v>15</v>
      </c>
      <c r="C24" s="20">
        <f ca="1">seq!$C3</f>
        <v>33625.18</v>
      </c>
      <c r="D24" s="20">
        <f ca="1">seq!$C9</f>
        <v>107652.8</v>
      </c>
      <c r="E24" s="20">
        <f ca="1">seq!$C15</f>
        <v>75308.74000000002</v>
      </c>
      <c r="F24" s="20">
        <f ca="1">seq!$C21</f>
        <v>75403.38</v>
      </c>
      <c r="G24" s="14"/>
    </row>
    <row r="25" spans="2:9">
      <c r="B25" s="14" t="s">
        <v>16</v>
      </c>
      <c r="C25" s="20">
        <f ca="1">seq!$C4</f>
        <v>32086.1</v>
      </c>
      <c r="D25" s="20">
        <f ca="1">seq!$C10</f>
        <v>99042.12</v>
      </c>
      <c r="E25" s="20">
        <f ca="1">seq!$C16</f>
        <v>74584.539999999994</v>
      </c>
      <c r="F25" s="20">
        <f ca="1">seq!$C22</f>
        <v>73217.38</v>
      </c>
      <c r="G25" s="14"/>
    </row>
    <row r="26" spans="2:9">
      <c r="B26" s="14" t="s">
        <v>17</v>
      </c>
      <c r="C26" s="20">
        <f ca="1">seq!$C5</f>
        <v>52793.06</v>
      </c>
      <c r="D26" s="20">
        <f ca="1">seq!$C11</f>
        <v>84055.34</v>
      </c>
      <c r="E26" s="20">
        <f ca="1">seq!$C17</f>
        <v>57063.42</v>
      </c>
      <c r="F26" s="20">
        <f ca="1">seq!$C23</f>
        <v>59068.800000000003</v>
      </c>
      <c r="G26" s="14"/>
    </row>
    <row r="27" spans="2:9">
      <c r="B27" s="14" t="s">
        <v>18</v>
      </c>
      <c r="C27" s="20">
        <f ca="1">seq!$C6</f>
        <v>34337.46</v>
      </c>
      <c r="D27" s="20">
        <f ca="1">seq!$C12</f>
        <v>54317.179999999993</v>
      </c>
      <c r="E27" s="20">
        <f ca="1">seq!$C18</f>
        <v>26414.359999999997</v>
      </c>
      <c r="F27" s="20">
        <f ca="1">seq!$C24</f>
        <v>26397.26</v>
      </c>
      <c r="G27" s="14"/>
    </row>
    <row r="28" spans="2:9">
      <c r="B28" s="14" t="s">
        <v>19</v>
      </c>
      <c r="C28" s="20">
        <f ca="1">seq!$C7</f>
        <v>24491.16</v>
      </c>
      <c r="D28" s="20">
        <f ca="1">seq!$C13</f>
        <v>14339.560000000001</v>
      </c>
      <c r="E28" s="20">
        <f ca="1">seq!$C19</f>
        <v>4232.674</v>
      </c>
      <c r="F28" s="20">
        <f ca="1">seq!$C25</f>
        <v>4197.098</v>
      </c>
      <c r="G28" s="14"/>
    </row>
    <row r="29" spans="2:9">
      <c r="C29" s="1"/>
      <c r="D29" s="1"/>
      <c r="E29" s="1"/>
      <c r="F29" s="1"/>
    </row>
    <row r="30" spans="2:9" ht="17" thickBot="1">
      <c r="B30" s="10" t="s">
        <v>20</v>
      </c>
      <c r="C30" s="10"/>
      <c r="D30" s="10"/>
      <c r="E30" s="10"/>
      <c r="F30" s="10"/>
      <c r="G30" s="10"/>
    </row>
    <row r="31" spans="2:9">
      <c r="B31" s="11" t="s">
        <v>13</v>
      </c>
      <c r="C31" s="11" t="s">
        <v>7</v>
      </c>
      <c r="D31" s="11" t="s">
        <v>8</v>
      </c>
      <c r="E31" s="11" t="s">
        <v>9</v>
      </c>
      <c r="F31" s="11" t="s">
        <v>10</v>
      </c>
      <c r="G31" s="11"/>
    </row>
    <row r="32" spans="2:9">
      <c r="B32" s="12" t="s">
        <v>14</v>
      </c>
      <c r="C32" s="13">
        <f ca="1">par!$C2</f>
        <v>58071.079999999994</v>
      </c>
      <c r="D32" s="13">
        <f ca="1">par!$C8</f>
        <v>257999.4</v>
      </c>
      <c r="E32" s="13">
        <f ca="1">par!$C14</f>
        <v>70914.880000000005</v>
      </c>
      <c r="F32" s="13">
        <f ca="1">par!$C20</f>
        <v>70928.899999999994</v>
      </c>
      <c r="G32" s="12"/>
    </row>
    <row r="33" spans="2:8">
      <c r="B33" s="12" t="s">
        <v>15</v>
      </c>
      <c r="C33" s="13">
        <f ca="1">par!$C3</f>
        <v>57867.3</v>
      </c>
      <c r="D33" s="13">
        <f ca="1">par!$C9</f>
        <v>161745.20000000001</v>
      </c>
      <c r="E33" s="13">
        <f ca="1">par!$C15</f>
        <v>43413.58</v>
      </c>
      <c r="F33" s="13">
        <f ca="1">par!$C21</f>
        <v>43837.460000000006</v>
      </c>
      <c r="G33" s="12"/>
    </row>
    <row r="34" spans="2:8">
      <c r="B34" s="12" t="s">
        <v>16</v>
      </c>
      <c r="C34" s="13">
        <f ca="1">par!$C4</f>
        <v>56693.659999999996</v>
      </c>
      <c r="D34" s="13">
        <f ca="1">par!$C10</f>
        <v>160598</v>
      </c>
      <c r="E34" s="13">
        <f ca="1">par!$C16</f>
        <v>52606.180000000008</v>
      </c>
      <c r="F34" s="13">
        <f ca="1">par!$C22</f>
        <v>54729.880000000005</v>
      </c>
      <c r="G34" s="12"/>
    </row>
    <row r="35" spans="2:8">
      <c r="B35" s="12" t="s">
        <v>17</v>
      </c>
      <c r="C35" s="13">
        <f ca="1">par!$C5</f>
        <v>55102.6</v>
      </c>
      <c r="D35" s="13">
        <f ca="1">par!$C11</f>
        <v>67008.360000000015</v>
      </c>
      <c r="E35" s="13">
        <f ca="1">par!$C17</f>
        <v>52841.740000000005</v>
      </c>
      <c r="F35" s="13">
        <f ca="1">par!$C23</f>
        <v>54275</v>
      </c>
      <c r="G35" s="12"/>
    </row>
    <row r="36" spans="2:8">
      <c r="B36" s="12" t="s">
        <v>18</v>
      </c>
      <c r="C36" s="13">
        <f ca="1">par!$C6</f>
        <v>26119.06</v>
      </c>
      <c r="D36" s="13">
        <f ca="1">par!$C12</f>
        <v>54524.1</v>
      </c>
      <c r="E36" s="13">
        <f ca="1">par!$C18</f>
        <v>24178.760000000002</v>
      </c>
      <c r="F36" s="13">
        <f ca="1">par!$C24</f>
        <v>23893.420000000002</v>
      </c>
      <c r="G36" s="12"/>
    </row>
    <row r="37" spans="2:8">
      <c r="B37" s="12" t="s">
        <v>19</v>
      </c>
      <c r="C37" s="13">
        <f ca="1">par!$C7</f>
        <v>11354.420000000002</v>
      </c>
      <c r="D37" s="13">
        <f ca="1">par!$C13</f>
        <v>13769.439999999999</v>
      </c>
      <c r="E37" s="13">
        <f ca="1">par!$C19</f>
        <v>3732.2239999999997</v>
      </c>
      <c r="F37" s="13">
        <f ca="1">par!$C25</f>
        <v>3792.05</v>
      </c>
      <c r="G37" s="12"/>
    </row>
    <row r="39" spans="2:8">
      <c r="B39" s="15" t="s">
        <v>49</v>
      </c>
      <c r="C39" s="15"/>
      <c r="D39" s="15"/>
      <c r="E39" s="15"/>
      <c r="F39" s="15"/>
      <c r="G39" s="15"/>
    </row>
    <row r="40" spans="2:8">
      <c r="B40" s="15" t="s">
        <v>50</v>
      </c>
      <c r="C40" s="15"/>
      <c r="D40" s="15"/>
      <c r="E40" s="15"/>
      <c r="F40" s="15"/>
      <c r="G40" s="15"/>
    </row>
    <row r="42" spans="2:8" ht="21" thickBot="1">
      <c r="B42" s="7" t="s">
        <v>21</v>
      </c>
      <c r="C42" s="7"/>
      <c r="D42" s="7"/>
      <c r="E42" s="7"/>
      <c r="F42" s="7"/>
      <c r="G42" s="7"/>
    </row>
    <row r="43" spans="2:8" ht="17" thickTop="1">
      <c r="B43" s="16" t="s">
        <v>51</v>
      </c>
      <c r="C43" s="16"/>
      <c r="D43" s="16"/>
      <c r="E43" s="16"/>
      <c r="F43" s="16"/>
      <c r="G43" s="16"/>
    </row>
    <row r="44" spans="2:8">
      <c r="C44" s="15" t="s">
        <v>52</v>
      </c>
      <c r="D44" s="15"/>
      <c r="E44" s="15"/>
      <c r="F44" s="15"/>
      <c r="G44" s="15"/>
      <c r="H44" s="15"/>
    </row>
    <row r="45" spans="2:8">
      <c r="C45" s="15" t="s">
        <v>53</v>
      </c>
      <c r="D45" s="15"/>
      <c r="E45" s="15"/>
      <c r="F45" s="15"/>
      <c r="G45" s="15"/>
      <c r="H45" s="15"/>
    </row>
    <row r="47" spans="2:8">
      <c r="B47" s="16" t="s">
        <v>60</v>
      </c>
      <c r="C47" s="16"/>
      <c r="D47" s="16"/>
      <c r="E47" s="16"/>
      <c r="F47" s="16"/>
      <c r="G47" s="16"/>
    </row>
    <row r="48" spans="2:8">
      <c r="C48" t="s">
        <v>59</v>
      </c>
    </row>
    <row r="49" spans="2:8">
      <c r="C49" t="s">
        <v>61</v>
      </c>
    </row>
    <row r="51" spans="2:8">
      <c r="B51" s="18" t="s">
        <v>7</v>
      </c>
      <c r="C51" s="18"/>
      <c r="D51" s="18"/>
      <c r="E51" s="18"/>
      <c r="F51" s="18"/>
      <c r="G51" s="18"/>
    </row>
    <row r="52" spans="2:8">
      <c r="C52" s="15" t="s">
        <v>62</v>
      </c>
      <c r="D52" s="15"/>
      <c r="E52" s="15"/>
      <c r="F52" s="15"/>
      <c r="G52" s="15"/>
    </row>
    <row r="53" spans="2:8">
      <c r="C53" s="15" t="s">
        <v>63</v>
      </c>
      <c r="D53" s="15"/>
      <c r="E53" s="15"/>
      <c r="F53" s="15"/>
      <c r="G53" s="15"/>
    </row>
    <row r="55" spans="2:8">
      <c r="B55" s="16" t="s">
        <v>57</v>
      </c>
      <c r="C55" s="16"/>
      <c r="D55" s="16"/>
      <c r="E55" s="16"/>
      <c r="F55" s="16"/>
      <c r="G55" s="16"/>
    </row>
    <row r="56" spans="2:8">
      <c r="C56" s="15" t="s">
        <v>58</v>
      </c>
      <c r="D56" s="15"/>
      <c r="E56" s="15"/>
      <c r="F56" s="15"/>
      <c r="G56" s="15"/>
      <c r="H56" s="15"/>
    </row>
    <row r="58" spans="2:8">
      <c r="B58" s="17" t="s">
        <v>54</v>
      </c>
      <c r="C58" s="17"/>
      <c r="D58" s="17"/>
      <c r="E58" s="17"/>
      <c r="F58" s="17"/>
      <c r="G58" s="17"/>
    </row>
    <row r="59" spans="2:8">
      <c r="C59" s="15" t="s">
        <v>56</v>
      </c>
      <c r="D59" s="15"/>
      <c r="E59" s="15"/>
      <c r="F59" s="15"/>
      <c r="G59" s="15"/>
    </row>
    <row r="60" spans="2:8">
      <c r="C60" s="15" t="s">
        <v>55</v>
      </c>
      <c r="D60" s="15"/>
      <c r="E60" s="15"/>
      <c r="F60" s="15"/>
      <c r="G60" s="15"/>
    </row>
  </sheetData>
  <sheetProtection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54F5-2985-4644-A10D-A5AF12C8ED8F}">
  <dimension ref="C40:M45"/>
  <sheetViews>
    <sheetView showGridLines="0" tabSelected="1" zoomScale="150" zoomScaleNormal="239" workbookViewId="0">
      <selection activeCell="M40" sqref="M40"/>
    </sheetView>
  </sheetViews>
  <sheetFormatPr baseColWidth="10" defaultRowHeight="16"/>
  <cols>
    <col min="1" max="1" width="3" customWidth="1"/>
  </cols>
  <sheetData>
    <row r="40" spans="3:13">
      <c r="C40" t="s">
        <v>79</v>
      </c>
      <c r="M40" t="s">
        <v>83</v>
      </c>
    </row>
    <row r="41" spans="3:13">
      <c r="C41" t="s">
        <v>80</v>
      </c>
      <c r="M41" t="s">
        <v>84</v>
      </c>
    </row>
    <row r="42" spans="3:13">
      <c r="C42" t="s">
        <v>81</v>
      </c>
    </row>
    <row r="44" spans="3:13">
      <c r="C44" t="s">
        <v>113</v>
      </c>
      <c r="M44" t="s">
        <v>82</v>
      </c>
    </row>
    <row r="45" spans="3:13">
      <c r="C45" t="s">
        <v>112</v>
      </c>
    </row>
  </sheetData>
  <sheetProtection selectLockedCells="1" selectUn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7108-77FE-D845-8216-29A292AF27E3}">
  <dimension ref="A1"/>
  <sheetViews>
    <sheetView showGridLines="0" zoomScale="125" workbookViewId="0">
      <selection activeCell="U43" sqref="U43"/>
    </sheetView>
  </sheetViews>
  <sheetFormatPr baseColWidth="10" defaultRowHeight="16"/>
  <cols>
    <col min="1" max="1" width="24.1640625" bestFit="1" customWidth="1"/>
    <col min="2" max="2" width="14" bestFit="1" customWidth="1"/>
    <col min="3" max="7" width="8.5" bestFit="1" customWidth="1"/>
    <col min="8" max="8" width="10.83203125" bestFit="1" customWidth="1"/>
    <col min="9" max="9" width="12.1640625" bestFit="1" customWidth="1"/>
    <col min="11" max="11" width="24.1640625" bestFit="1" customWidth="1"/>
    <col min="12" max="12" width="14" bestFit="1" customWidth="1"/>
    <col min="13" max="17" width="8.5" bestFit="1" customWidth="1"/>
    <col min="18" max="18" width="7" bestFit="1" customWidth="1"/>
    <col min="21" max="21" width="24.1640625" bestFit="1" customWidth="1"/>
    <col min="22" max="22" width="17" bestFit="1" customWidth="1"/>
    <col min="23" max="27" width="8.5" bestFit="1" customWidth="1"/>
    <col min="31" max="31" width="24.1640625" bestFit="1" customWidth="1"/>
    <col min="32" max="32" width="17" bestFit="1" customWidth="1"/>
    <col min="33" max="37" width="8.5" bestFit="1" customWidth="1"/>
  </cols>
  <sheetData/>
  <sheetProtection sheet="1" scenarios="1" selectLockedCells="1" selectUnlockedCell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7F38-C774-D549-9ACF-2D9B10482EE6}">
  <dimension ref="B42:Z50"/>
  <sheetViews>
    <sheetView showGridLines="0" zoomScaleNormal="100" workbookViewId="0">
      <selection activeCell="Q37" sqref="Q37"/>
    </sheetView>
  </sheetViews>
  <sheetFormatPr baseColWidth="10" defaultRowHeight="16"/>
  <cols>
    <col min="1" max="1" width="8.1640625" customWidth="1"/>
    <col min="2" max="2" width="16.6640625" customWidth="1"/>
    <col min="3" max="3" width="8" bestFit="1" customWidth="1"/>
    <col min="4" max="4" width="10" customWidth="1"/>
    <col min="5" max="5" width="9.6640625" customWidth="1"/>
    <col min="6" max="7" width="8" bestFit="1" customWidth="1"/>
    <col min="8" max="8" width="11" customWidth="1"/>
    <col min="9" max="9" width="11.83203125" customWidth="1"/>
    <col min="10" max="10" width="10" bestFit="1" customWidth="1"/>
    <col min="11" max="11" width="9" bestFit="1" customWidth="1"/>
    <col min="12" max="12" width="12.5" customWidth="1"/>
    <col min="13" max="13" width="11.83203125" customWidth="1"/>
    <col min="14" max="14" width="8.6640625" customWidth="1"/>
    <col min="26" max="26" width="13.6640625" bestFit="1" customWidth="1"/>
  </cols>
  <sheetData>
    <row r="42" spans="2:24" ht="404" customHeight="1"/>
    <row r="43" spans="2:24" hidden="1"/>
    <row r="44" spans="2:24" ht="18" thickBot="1">
      <c r="B44" s="8" t="str">
        <f>csv_phase!$U1</f>
        <v>Phase</v>
      </c>
      <c r="C44" s="62" t="s">
        <v>8</v>
      </c>
      <c r="D44" s="42"/>
      <c r="E44" s="42"/>
      <c r="F44" s="61" t="s">
        <v>9</v>
      </c>
      <c r="G44" s="43"/>
      <c r="H44" s="51" t="s">
        <v>110</v>
      </c>
      <c r="I44" s="51"/>
      <c r="J44" s="44" t="s">
        <v>111</v>
      </c>
      <c r="K44" s="45"/>
      <c r="L44" s="52" t="s">
        <v>109</v>
      </c>
      <c r="M44" s="52"/>
    </row>
    <row r="45" spans="2:24" ht="17" thickTop="1">
      <c r="B45" s="11" t="s">
        <v>105</v>
      </c>
      <c r="C45" s="46">
        <f ca="1">csv_phase!$V2</f>
        <v>2.9871999999999996</v>
      </c>
      <c r="D45" s="48" t="str">
        <f ca="1">_xlfn.CONCAT("± ", ROUND(csv_phase!$W2,2), " ms")</f>
        <v>± 2.51 ms</v>
      </c>
      <c r="E45" s="48"/>
      <c r="F45" s="47">
        <f ca="1">csv_phase!$X2</f>
        <v>1.97126</v>
      </c>
      <c r="G45" s="12" t="str">
        <f ca="1">_xlfn.CONCAT("± ", ROUND(csv_phase!$W2,1), " ms")</f>
        <v>± 2.5 ms</v>
      </c>
      <c r="H45" s="59">
        <f ca="1">((F45-C45)/C45)*100</f>
        <v>-34.009775040171391</v>
      </c>
      <c r="I45" s="53"/>
      <c r="J45" s="49">
        <f ca="1">csv_phase!$Z2</f>
        <v>4.2835799999999997</v>
      </c>
      <c r="K45" s="50" t="str">
        <f ca="1">_xlfn.CONCAT("± ", ROUND(csv_phase!$AA2,2), " ms")</f>
        <v>± 2.75 ms</v>
      </c>
      <c r="L45" s="57">
        <f ca="1">((J45-C45)/C45)*100</f>
        <v>43.397830744509918</v>
      </c>
      <c r="M45" s="54"/>
    </row>
    <row r="46" spans="2:24">
      <c r="B46" s="11" t="s">
        <v>106</v>
      </c>
      <c r="C46" s="46">
        <f ca="1">csv_phase!$V3</f>
        <v>0.12035999999999999</v>
      </c>
      <c r="D46" s="48" t="str">
        <f ca="1">_xlfn.CONCAT("± ", ROUND(csv_phase!$W3,2), " ms")</f>
        <v>± 0.12 ms</v>
      </c>
      <c r="E46" s="48"/>
      <c r="F46" s="47">
        <f ca="1">csv_phase!$X3</f>
        <v>5.2226800000000004</v>
      </c>
      <c r="G46" s="12" t="str">
        <f ca="1">_xlfn.CONCAT("± ", ROUND(csv_phase!$W3,1), " ms")</f>
        <v>± 0.1 ms</v>
      </c>
      <c r="H46" s="59">
        <f t="shared" ref="H46:H48" ca="1" si="0">((F46-C46)/C46)*100</f>
        <v>4239.2156862745105</v>
      </c>
      <c r="I46" s="53"/>
      <c r="J46" s="49">
        <f ca="1">csv_phase!$Z3</f>
        <v>13.750540000000001</v>
      </c>
      <c r="K46" s="50" t="str">
        <f ca="1">_xlfn.CONCAT("± ", ROUND(csv_phase!$AA3,2), " ms")</f>
        <v>± 3.32 ms</v>
      </c>
      <c r="L46" s="57">
        <f t="shared" ref="L46:L48" ca="1" si="1">((J46-C46)/C46)*100</f>
        <v>11324.50980392157</v>
      </c>
      <c r="M46" s="54"/>
      <c r="R46" s="3"/>
      <c r="S46" s="3"/>
      <c r="T46" s="2"/>
      <c r="U46" s="2"/>
      <c r="V46" s="2"/>
      <c r="W46" s="2"/>
      <c r="X46" s="3"/>
    </row>
    <row r="47" spans="2:24">
      <c r="B47" s="11" t="s">
        <v>107</v>
      </c>
      <c r="C47" s="46">
        <f ca="1">csv_phase!$V4</f>
        <v>0.29077999999999998</v>
      </c>
      <c r="D47" s="48" t="str">
        <f ca="1">_xlfn.CONCAT("± ", ROUND(csv_phase!$W4,2), " ms")</f>
        <v>± 0.2 ms</v>
      </c>
      <c r="E47" s="48"/>
      <c r="F47" s="47">
        <f ca="1">csv_phase!$X4</f>
        <v>0.53795999999999999</v>
      </c>
      <c r="G47" s="12" t="str">
        <f ca="1">_xlfn.CONCAT("± ", ROUND(csv_phase!$W4,1), " ms")</f>
        <v>± 0.2 ms</v>
      </c>
      <c r="H47" s="59">
        <f t="shared" ca="1" si="0"/>
        <v>85.005846344315302</v>
      </c>
      <c r="I47" s="53"/>
      <c r="J47" s="49">
        <f ca="1">csv_phase!$Z4</f>
        <v>0.74075999999999997</v>
      </c>
      <c r="K47" s="50" t="str">
        <f ca="1">_xlfn.CONCAT("± ", ROUND(csv_phase!$AA4,2), " ms")</f>
        <v>± 0.29 ms</v>
      </c>
      <c r="L47" s="57">
        <f t="shared" ca="1" si="1"/>
        <v>154.74929499965612</v>
      </c>
      <c r="M47" s="54"/>
    </row>
    <row r="48" spans="2:24">
      <c r="B48" s="11" t="s">
        <v>108</v>
      </c>
      <c r="C48" s="46">
        <f ca="1">csv_phase!$V5</f>
        <v>0.46160000000000001</v>
      </c>
      <c r="D48" s="48" t="str">
        <f ca="1">_xlfn.CONCAT("± ", ROUND(csv_phase!$W5,2), " ms")</f>
        <v>± 0.38 ms</v>
      </c>
      <c r="E48" s="48"/>
      <c r="F48" s="47">
        <f ca="1">csv_phase!$X5</f>
        <v>0.34066000000000002</v>
      </c>
      <c r="G48" s="12" t="str">
        <f ca="1">_xlfn.CONCAT("± ", ROUND(csv_phase!$W5,1), " ms")</f>
        <v>± 0.4 ms</v>
      </c>
      <c r="H48" s="59">
        <f t="shared" ca="1" si="0"/>
        <v>-26.200173310225299</v>
      </c>
      <c r="I48" s="53"/>
      <c r="J48" s="49">
        <f ca="1">csv_phase!$Z5</f>
        <v>15.26008</v>
      </c>
      <c r="K48" s="50" t="str">
        <f ca="1">_xlfn.CONCAT("± ", ROUND(csv_phase!$AA5,2), " ms")</f>
        <v>± 2.45 ms</v>
      </c>
      <c r="L48" s="57">
        <f t="shared" ca="1" si="1"/>
        <v>3205.9098786828422</v>
      </c>
      <c r="M48" s="54"/>
    </row>
    <row r="49" spans="2:13" ht="17" thickBot="1">
      <c r="B49" s="35" t="str">
        <f>csv_phase!$U6</f>
        <v>TOTAL</v>
      </c>
      <c r="C49" s="36">
        <f ca="1">csv_phase!$V6</f>
        <v>3.859939999999999</v>
      </c>
      <c r="D49" s="37" t="str">
        <f ca="1">_xlfn.CONCAT("± ", ROUND(SUM(csv_phase!$W2:$W5),2), " ms")</f>
        <v>± 3.2 ms</v>
      </c>
      <c r="E49" s="37"/>
      <c r="F49" s="38">
        <f ca="1">csv_phase!$X6</f>
        <v>8.0725600000000011</v>
      </c>
      <c r="G49" s="39" t="str">
        <f ca="1">_xlfn.CONCAT("± ", ROUND(SUM(csv_phase!$W2:$W5),1), " ms")</f>
        <v>± 3.2 ms</v>
      </c>
      <c r="H49" s="60">
        <f ca="1">((F49-C49)/C49)*100</f>
        <v>109.1369295895792</v>
      </c>
      <c r="I49" s="56"/>
      <c r="J49" s="40">
        <f ca="1">csv_phase!$Z6</f>
        <v>34.034960000000005</v>
      </c>
      <c r="K49" s="41" t="str">
        <f ca="1">_xlfn.CONCAT("± ", ROUND(SUM(csv_phase!$W2:$AA5),2), " ms")</f>
        <v>± 59.18 ms</v>
      </c>
      <c r="L49" s="58">
        <f ca="1">((J49-C49)/C49)*100</f>
        <v>781.74842095991175</v>
      </c>
      <c r="M49" s="55"/>
    </row>
    <row r="50" spans="2:13" ht="17" thickTop="1"/>
  </sheetData>
  <sheetProtection selectLockedCells="1" selectUnlockedCell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63FE-D9CE-C845-ACDD-EDE07DC02DD0}">
  <dimension ref="A1:H25"/>
  <sheetViews>
    <sheetView showGridLines="0" zoomScale="211" workbookViewId="0">
      <selection activeCell="A2" sqref="A2"/>
    </sheetView>
  </sheetViews>
  <sheetFormatPr baseColWidth="10" defaultRowHeight="16"/>
  <cols>
    <col min="1" max="1" width="15" bestFit="1" customWidth="1"/>
    <col min="2" max="2" width="15.5" customWidth="1"/>
    <col min="3" max="4" width="20.33203125" customWidth="1"/>
    <col min="5" max="5" width="16.5" hidden="1" customWidth="1"/>
    <col min="6" max="6" width="11.5" bestFit="1" customWidth="1"/>
    <col min="7" max="7" width="12.5" bestFit="1" customWidth="1"/>
    <col min="8" max="8" width="13.5" bestFit="1" customWidth="1"/>
  </cols>
  <sheetData>
    <row r="1" spans="1:8">
      <c r="A1" t="s">
        <v>0</v>
      </c>
      <c r="B1" t="s">
        <v>1</v>
      </c>
      <c r="C1" t="s">
        <v>2</v>
      </c>
      <c r="D1" t="s">
        <v>74</v>
      </c>
      <c r="E1" s="3" t="s">
        <v>22</v>
      </c>
      <c r="F1" s="3"/>
      <c r="G1" s="3"/>
      <c r="H1" s="3"/>
    </row>
    <row r="2" spans="1:8">
      <c r="A2" t="str" cm="1">
        <f t="array" aca="1" ref="A2" ca="1">INDIRECT(CONCATENATE("csv!A",$E2))</f>
        <v>CA</v>
      </c>
      <c r="B2" s="3" cm="1">
        <f t="array" aca="1" ref="B2" ca="1">INDIRECT(CONCATENATE("csv!D",$E2))</f>
        <v>1</v>
      </c>
      <c r="C2" s="2">
        <f ca="1">AVERAGE(INDIRECT(CONCATENATE("csv!G",$E2)):INDIRECT(CONCATENATE("csv!G",($E2)+4)))</f>
        <v>37368.620000000003</v>
      </c>
      <c r="D2" s="2">
        <f ca="1">_xlfn.STDEV.S(INDIRECT(CONCATENATE("csv!G",$E2)):INDIRECT(CONCATENATE("csv!G",($E2)+4)))</f>
        <v>5258.462501720438</v>
      </c>
      <c r="E2" s="3">
        <f>2</f>
        <v>2</v>
      </c>
    </row>
    <row r="3" spans="1:8">
      <c r="A3" t="str" cm="1">
        <f t="array" aca="1" ref="A3" ca="1">INDIRECT(CONCATENATE("csv!A",$E3))</f>
        <v>CA</v>
      </c>
      <c r="B3" s="3" cm="1">
        <f t="array" aca="1" ref="B3" ca="1">INDIRECT(CONCATENATE("csv!D",$E3))</f>
        <v>10</v>
      </c>
      <c r="C3" s="2">
        <f ca="1">AVERAGE(INDIRECT(CONCATENATE("csv!G",$E3)):INDIRECT(CONCATENATE("csv!G",($E3)+4)))</f>
        <v>33625.18</v>
      </c>
      <c r="D3" s="2">
        <f ca="1">_xlfn.STDEV.S(INDIRECT(CONCATENATE("csv!G",$E3)):INDIRECT(CONCATENATE("csv!G",($E3)+4)))</f>
        <v>3400.8573061803108</v>
      </c>
      <c r="E3" s="3">
        <f>E2+25</f>
        <v>27</v>
      </c>
    </row>
    <row r="4" spans="1:8">
      <c r="A4" t="str" cm="1">
        <f t="array" aca="1" ref="A4" ca="1">INDIRECT(CONCATENATE("csv!A",$E4))</f>
        <v>CA</v>
      </c>
      <c r="B4" s="3" cm="1">
        <f t="array" aca="1" ref="B4" ca="1">INDIRECT(CONCATENATE("csv!D",$E4))</f>
        <v>100</v>
      </c>
      <c r="C4" s="2">
        <f ca="1">AVERAGE(INDIRECT(CONCATENATE("csv!G",$E4)):INDIRECT(CONCATENATE("csv!G",($E4)+4)))</f>
        <v>32086.1</v>
      </c>
      <c r="D4" s="2">
        <f ca="1">_xlfn.STDEV.S(INDIRECT(CONCATENATE("csv!G",$E4)):INDIRECT(CONCATENATE("csv!G",($E4)+4)))</f>
        <v>3737.5152829118988</v>
      </c>
      <c r="E4" s="3">
        <f t="shared" ref="E4:E25" si="0">E3+25</f>
        <v>52</v>
      </c>
    </row>
    <row r="5" spans="1:8">
      <c r="A5" t="str" cm="1">
        <f t="array" aca="1" ref="A5" ca="1">INDIRECT(CONCATENATE("csv!A",$E5))</f>
        <v>CA</v>
      </c>
      <c r="B5" s="3" cm="1">
        <f t="array" aca="1" ref="B5" ca="1">INDIRECT(CONCATENATE("csv!D",$E5))</f>
        <v>1000</v>
      </c>
      <c r="C5" s="2">
        <f ca="1">AVERAGE(INDIRECT(CONCATENATE("csv!G",$E5)):INDIRECT(CONCATENATE("csv!G",($E5)+4)))</f>
        <v>52793.06</v>
      </c>
      <c r="D5" s="2">
        <f ca="1">_xlfn.STDEV.S(INDIRECT(CONCATENATE("csv!G",$E5)):INDIRECT(CONCATENATE("csv!G",($E5)+4)))</f>
        <v>5938.6179821571368</v>
      </c>
      <c r="E5" s="3">
        <f t="shared" si="0"/>
        <v>77</v>
      </c>
    </row>
    <row r="6" spans="1:8">
      <c r="A6" t="str" cm="1">
        <f t="array" aca="1" ref="A6" ca="1">INDIRECT(CONCATENATE("csv!A",$E6))</f>
        <v>CA</v>
      </c>
      <c r="B6" s="3" cm="1">
        <f t="array" aca="1" ref="B6" ca="1">INDIRECT(CONCATENATE("csv!D",$E6))</f>
        <v>10000</v>
      </c>
      <c r="C6" s="2">
        <f ca="1">AVERAGE(INDIRECT(CONCATENATE("csv!G",$E6)):INDIRECT(CONCATENATE("csv!G",($E6)+4)))</f>
        <v>34337.46</v>
      </c>
      <c r="D6" s="2">
        <f ca="1">_xlfn.STDEV.S(INDIRECT(CONCATENATE("csv!G",$E6)):INDIRECT(CONCATENATE("csv!G",($E6)+4)))</f>
        <v>971.79220412596555</v>
      </c>
      <c r="E6" s="3">
        <f t="shared" si="0"/>
        <v>102</v>
      </c>
    </row>
    <row r="7" spans="1:8">
      <c r="A7" t="str" cm="1">
        <f t="array" aca="1" ref="A7" ca="1">INDIRECT(CONCATENATE("csv!A",$E7))</f>
        <v>CA</v>
      </c>
      <c r="B7" s="3" cm="1">
        <f t="array" aca="1" ref="B7" ca="1">INDIRECT(CONCATENATE("csv!D",$E7))</f>
        <v>100000</v>
      </c>
      <c r="C7" s="2">
        <f ca="1">AVERAGE(INDIRECT(CONCATENATE("csv!G",$E7)):INDIRECT(CONCATENATE("csv!G",($E7)+4)))</f>
        <v>24491.16</v>
      </c>
      <c r="D7" s="2">
        <f ca="1">_xlfn.STDEV.S(INDIRECT(CONCATENATE("csv!G",$E7)):INDIRECT(CONCATENATE("csv!G",($E7)+4)))</f>
        <v>434.26836518447902</v>
      </c>
      <c r="E7" s="3">
        <f t="shared" si="0"/>
        <v>127</v>
      </c>
    </row>
    <row r="8" spans="1:8">
      <c r="A8" t="str" cm="1">
        <f t="array" aca="1" ref="A8" ca="1">INDIRECT(CONCATENATE("csv!A",$E8))</f>
        <v>PVA</v>
      </c>
      <c r="B8" s="3" cm="1">
        <f t="array" aca="1" ref="B8" ca="1">INDIRECT(CONCATENATE("csv!D",$E8))</f>
        <v>1</v>
      </c>
      <c r="C8" s="2">
        <f ca="1">AVERAGE(INDIRECT(CONCATENATE("csv!G",$E8)):INDIRECT(CONCATENATE("csv!G",($E8)+4)))</f>
        <v>107248.4</v>
      </c>
      <c r="D8" s="2">
        <f ca="1">_xlfn.STDEV.S(INDIRECT(CONCATENATE("csv!G",$E8)):INDIRECT(CONCATENATE("csv!G",($E8)+4)))</f>
        <v>3345.56591625393</v>
      </c>
      <c r="E8" s="3">
        <f t="shared" si="0"/>
        <v>152</v>
      </c>
    </row>
    <row r="9" spans="1:8">
      <c r="A9" t="str" cm="1">
        <f t="array" aca="1" ref="A9" ca="1">INDIRECT(CONCATENATE("csv!A",$E9))</f>
        <v>PVA</v>
      </c>
      <c r="B9" s="3" cm="1">
        <f t="array" aca="1" ref="B9" ca="1">INDIRECT(CONCATENATE("csv!D",$E9))</f>
        <v>10</v>
      </c>
      <c r="C9" s="2">
        <f ca="1">AVERAGE(INDIRECT(CONCATENATE("csv!G",$E9)):INDIRECT(CONCATENATE("csv!G",($E9)+4)))</f>
        <v>107652.8</v>
      </c>
      <c r="D9" s="2">
        <f ca="1">_xlfn.STDEV.S(INDIRECT(CONCATENATE("csv!G",$E9)):INDIRECT(CONCATENATE("csv!G",($E9)+4)))</f>
        <v>5306.3469732010553</v>
      </c>
      <c r="E9" s="3">
        <f t="shared" si="0"/>
        <v>177</v>
      </c>
    </row>
    <row r="10" spans="1:8">
      <c r="A10" t="str" cm="1">
        <f t="array" aca="1" ref="A10" ca="1">INDIRECT(CONCATENATE("csv!A",$E10))</f>
        <v>PVA</v>
      </c>
      <c r="B10" s="3" cm="1">
        <f t="array" aca="1" ref="B10" ca="1">INDIRECT(CONCATENATE("csv!D",$E10))</f>
        <v>100</v>
      </c>
      <c r="C10" s="2">
        <f ca="1">AVERAGE(INDIRECT(CONCATENATE("csv!G",$E10)):INDIRECT(CONCATENATE("csv!G",($E10)+4)))</f>
        <v>99042.12</v>
      </c>
      <c r="D10" s="2">
        <f ca="1">_xlfn.STDEV.S(INDIRECT(CONCATENATE("csv!G",$E10)):INDIRECT(CONCATENATE("csv!G",($E10)+4)))</f>
        <v>9703.4568606759949</v>
      </c>
      <c r="E10" s="3">
        <f t="shared" si="0"/>
        <v>202</v>
      </c>
    </row>
    <row r="11" spans="1:8">
      <c r="A11" t="str" cm="1">
        <f t="array" aca="1" ref="A11" ca="1">INDIRECT(CONCATENATE("csv!A",$E11))</f>
        <v>PVA</v>
      </c>
      <c r="B11" s="3" cm="1">
        <f t="array" aca="1" ref="B11" ca="1">INDIRECT(CONCATENATE("csv!D",$E11))</f>
        <v>1000</v>
      </c>
      <c r="C11" s="2">
        <f ca="1">AVERAGE(INDIRECT(CONCATENATE("csv!G",$E11)):INDIRECT(CONCATENATE("csv!G",($E11)+4)))</f>
        <v>84055.34</v>
      </c>
      <c r="D11" s="2">
        <f ca="1">_xlfn.STDEV.S(INDIRECT(CONCATENATE("csv!G",$E11)):INDIRECT(CONCATENATE("csv!G",($E11)+4)))</f>
        <v>5188.5478366302113</v>
      </c>
      <c r="E11" s="3">
        <f t="shared" si="0"/>
        <v>227</v>
      </c>
    </row>
    <row r="12" spans="1:8">
      <c r="A12" t="str" cm="1">
        <f t="array" aca="1" ref="A12" ca="1">INDIRECT(CONCATENATE("csv!A",$E12))</f>
        <v>PVA</v>
      </c>
      <c r="B12" s="3" cm="1">
        <f t="array" aca="1" ref="B12" ca="1">INDIRECT(CONCATENATE("csv!D",$E12))</f>
        <v>10000</v>
      </c>
      <c r="C12" s="2">
        <f ca="1">AVERAGE(INDIRECT(CONCATENATE("csv!G",$E12)):INDIRECT(CONCATENATE("csv!G",($E12)+4)))</f>
        <v>54317.179999999993</v>
      </c>
      <c r="D12" s="2">
        <f ca="1">_xlfn.STDEV.S(INDIRECT(CONCATENATE("csv!G",$E12)):INDIRECT(CONCATENATE("csv!G",($E12)+4)))</f>
        <v>2759.5275160795181</v>
      </c>
      <c r="E12" s="3">
        <f t="shared" si="0"/>
        <v>252</v>
      </c>
    </row>
    <row r="13" spans="1:8">
      <c r="A13" t="str" cm="1">
        <f t="array" aca="1" ref="A13" ca="1">INDIRECT(CONCATENATE("csv!A",$E13))</f>
        <v>PVA</v>
      </c>
      <c r="B13" s="3" cm="1">
        <f t="array" aca="1" ref="B13" ca="1">INDIRECT(CONCATENATE("csv!D",$E13))</f>
        <v>100000</v>
      </c>
      <c r="C13" s="2">
        <f ca="1">AVERAGE(INDIRECT(CONCATENATE("csv!G",$E13)):INDIRECT(CONCATENATE("csv!G",($E13)+4)))</f>
        <v>14339.560000000001</v>
      </c>
      <c r="D13" s="2">
        <f ca="1">_xlfn.STDEV.S(INDIRECT(CONCATENATE("csv!G",$E13)):INDIRECT(CONCATENATE("csv!G",($E13)+4)))</f>
        <v>508.47438775222469</v>
      </c>
      <c r="E13" s="3">
        <f t="shared" si="0"/>
        <v>277</v>
      </c>
    </row>
    <row r="14" spans="1:8">
      <c r="A14" t="str" cm="1">
        <f t="array" aca="1" ref="A14" ca="1">INDIRECT(CONCATENATE("csv!A",$E14))</f>
        <v>SPVA</v>
      </c>
      <c r="B14" s="3" cm="1">
        <f t="array" aca="1" ref="B14" ca="1">INDIRECT(CONCATENATE("csv!D",$E14))</f>
        <v>1</v>
      </c>
      <c r="C14" s="2">
        <f ca="1">AVERAGE(INDIRECT(CONCATENATE("csv!G",$E14)):INDIRECT(CONCATENATE("csv!G",($E14)+4)))</f>
        <v>75098.860000000015</v>
      </c>
      <c r="D14" s="2">
        <f ca="1">_xlfn.STDEV.S(INDIRECT(CONCATENATE("csv!G",$E14)):INDIRECT(CONCATENATE("csv!G",($E14)+4)))</f>
        <v>640.74063629521697</v>
      </c>
      <c r="E14" s="3">
        <f t="shared" si="0"/>
        <v>302</v>
      </c>
    </row>
    <row r="15" spans="1:8">
      <c r="A15" t="str" cm="1">
        <f t="array" aca="1" ref="A15" ca="1">INDIRECT(CONCATENATE("csv!A",$E15))</f>
        <v>SPVA</v>
      </c>
      <c r="B15" s="3" cm="1">
        <f t="array" aca="1" ref="B15" ca="1">INDIRECT(CONCATENATE("csv!D",$E15))</f>
        <v>10</v>
      </c>
      <c r="C15" s="2">
        <f ca="1">AVERAGE(INDIRECT(CONCATENATE("csv!G",$E15)):INDIRECT(CONCATENATE("csv!G",($E15)+4)))</f>
        <v>75308.74000000002</v>
      </c>
      <c r="D15" s="2">
        <f ca="1">_xlfn.STDEV.S(INDIRECT(CONCATENATE("csv!G",$E15)):INDIRECT(CONCATENATE("csv!G",($E15)+4)))</f>
        <v>1564.7993059814455</v>
      </c>
      <c r="E15" s="3">
        <f t="shared" si="0"/>
        <v>327</v>
      </c>
    </row>
    <row r="16" spans="1:8">
      <c r="A16" t="str" cm="1">
        <f t="array" aca="1" ref="A16" ca="1">INDIRECT(CONCATENATE("csv!A",$E16))</f>
        <v>SPVA</v>
      </c>
      <c r="B16" s="3" cm="1">
        <f t="array" aca="1" ref="B16" ca="1">INDIRECT(CONCATENATE("csv!D",$E16))</f>
        <v>100</v>
      </c>
      <c r="C16" s="2">
        <f ca="1">AVERAGE(INDIRECT(CONCATENATE("csv!G",$E16)):INDIRECT(CONCATENATE("csv!G",($E16)+4)))</f>
        <v>74584.539999999994</v>
      </c>
      <c r="D16" s="2">
        <f ca="1">_xlfn.STDEV.S(INDIRECT(CONCATENATE("csv!G",$E16)):INDIRECT(CONCATENATE("csv!G",($E16)+4)))</f>
        <v>1896.6787980572781</v>
      </c>
      <c r="E16" s="3">
        <f t="shared" si="0"/>
        <v>352</v>
      </c>
    </row>
    <row r="17" spans="1:5">
      <c r="A17" t="str" cm="1">
        <f t="array" aca="1" ref="A17" ca="1">INDIRECT(CONCATENATE("csv!A",$E17))</f>
        <v>SPVA</v>
      </c>
      <c r="B17" s="3" cm="1">
        <f t="array" aca="1" ref="B17" ca="1">INDIRECT(CONCATENATE("csv!D",$E17))</f>
        <v>1000</v>
      </c>
      <c r="C17" s="2">
        <f ca="1">AVERAGE(INDIRECT(CONCATENATE("csv!G",$E17)):INDIRECT(CONCATENATE("csv!G",($E17)+4)))</f>
        <v>57063.42</v>
      </c>
      <c r="D17" s="2">
        <f ca="1">_xlfn.STDEV.S(INDIRECT(CONCATENATE("csv!G",$E17)):INDIRECT(CONCATENATE("csv!G",($E17)+4)))</f>
        <v>1590.4360713338967</v>
      </c>
      <c r="E17" s="3">
        <f t="shared" si="0"/>
        <v>377</v>
      </c>
    </row>
    <row r="18" spans="1:5">
      <c r="A18" t="str" cm="1">
        <f t="array" aca="1" ref="A18" ca="1">INDIRECT(CONCATENATE("csv!A",$E18))</f>
        <v>SPVA</v>
      </c>
      <c r="B18" s="3" cm="1">
        <f t="array" aca="1" ref="B18" ca="1">INDIRECT(CONCATENATE("csv!D",$E18))</f>
        <v>10000</v>
      </c>
      <c r="C18" s="2">
        <f ca="1">AVERAGE(INDIRECT(CONCATENATE("csv!G",$E18)):INDIRECT(CONCATENATE("csv!G",($E18)+4)))</f>
        <v>26414.359999999997</v>
      </c>
      <c r="D18" s="2">
        <f ca="1">_xlfn.STDEV.S(INDIRECT(CONCATENATE("csv!G",$E18)):INDIRECT(CONCATENATE("csv!G",($E18)+4)))</f>
        <v>263.19855242763106</v>
      </c>
      <c r="E18" s="3">
        <f t="shared" si="0"/>
        <v>402</v>
      </c>
    </row>
    <row r="19" spans="1:5">
      <c r="A19" t="str" cm="1">
        <f t="array" aca="1" ref="A19" ca="1">INDIRECT(CONCATENATE("csv!A",$E19))</f>
        <v>SPVA</v>
      </c>
      <c r="B19" s="3" cm="1">
        <f t="array" aca="1" ref="B19" ca="1">INDIRECT(CONCATENATE("csv!D",$E19))</f>
        <v>100000</v>
      </c>
      <c r="C19" s="2">
        <f ca="1">AVERAGE(INDIRECT(CONCATENATE("csv!G",$E19)):INDIRECT(CONCATENATE("csv!G",($E19)+4)))</f>
        <v>4232.674</v>
      </c>
      <c r="D19" s="2">
        <f ca="1">_xlfn.STDEV.S(INDIRECT(CONCATENATE("csv!G",$E19)):INDIRECT(CONCATENATE("csv!G",($E19)+4)))</f>
        <v>44.73367333452498</v>
      </c>
      <c r="E19" s="3">
        <f t="shared" si="0"/>
        <v>427</v>
      </c>
    </row>
    <row r="20" spans="1:5">
      <c r="A20" t="str" cm="1">
        <f t="array" aca="1" ref="A20" ca="1">INDIRECT(CONCATENATE("csv!A",$E20))</f>
        <v>SPVA_CERTMON</v>
      </c>
      <c r="B20" s="3" cm="1">
        <f t="array" aca="1" ref="B20" ca="1">INDIRECT(CONCATENATE("csv!D",$E20))</f>
        <v>1</v>
      </c>
      <c r="C20" s="2">
        <f ca="1">AVERAGE(INDIRECT(CONCATENATE("csv!G",$E20)):INDIRECT(CONCATENATE("csv!G",($E20)+4)))</f>
        <v>73196.680000000008</v>
      </c>
      <c r="D20" s="2">
        <f ca="1">_xlfn.STDEV.S(INDIRECT(CONCATENATE("csv!G",$E20)):INDIRECT(CONCATENATE("csv!G",($E20)+4)))</f>
        <v>1631.7843000838041</v>
      </c>
      <c r="E20" s="3">
        <f t="shared" si="0"/>
        <v>452</v>
      </c>
    </row>
    <row r="21" spans="1:5">
      <c r="A21" t="str" cm="1">
        <f t="array" aca="1" ref="A21" ca="1">INDIRECT(CONCATENATE("csv!A",$E21))</f>
        <v>SPVA_CERTMON</v>
      </c>
      <c r="B21" s="3" cm="1">
        <f t="array" aca="1" ref="B21" ca="1">INDIRECT(CONCATENATE("csv!D",$E21))</f>
        <v>10</v>
      </c>
      <c r="C21" s="2">
        <f ca="1">AVERAGE(INDIRECT(CONCATENATE("csv!G",$E21)):INDIRECT(CONCATENATE("csv!G",($E21)+4)))</f>
        <v>75403.38</v>
      </c>
      <c r="D21" s="2">
        <f ca="1">_xlfn.STDEV.S(INDIRECT(CONCATENATE("csv!G",$E21)):INDIRECT(CONCATENATE("csv!G",($E21)+4)))</f>
        <v>1824.7506657075091</v>
      </c>
      <c r="E21" s="3">
        <f t="shared" si="0"/>
        <v>477</v>
      </c>
    </row>
    <row r="22" spans="1:5">
      <c r="A22" t="str" cm="1">
        <f t="array" aca="1" ref="A22" ca="1">INDIRECT(CONCATENATE("csv!A",$E22))</f>
        <v>SPVA_CERTMON</v>
      </c>
      <c r="B22" s="3" cm="1">
        <f t="array" aca="1" ref="B22" ca="1">INDIRECT(CONCATENATE("csv!D",$E22))</f>
        <v>100</v>
      </c>
      <c r="C22" s="2">
        <f ca="1">AVERAGE(INDIRECT(CONCATENATE("csv!G",$E22)):INDIRECT(CONCATENATE("csv!G",($E22)+4)))</f>
        <v>73217.38</v>
      </c>
      <c r="D22" s="2">
        <f ca="1">_xlfn.STDEV.S(INDIRECT(CONCATENATE("csv!G",$E22)):INDIRECT(CONCATENATE("csv!G",($E22)+4)))</f>
        <v>3513.4782405758574</v>
      </c>
      <c r="E22" s="3">
        <f t="shared" si="0"/>
        <v>502</v>
      </c>
    </row>
    <row r="23" spans="1:5">
      <c r="A23" t="str" cm="1">
        <f t="array" aca="1" ref="A23" ca="1">INDIRECT(CONCATENATE("csv!A",$E23))</f>
        <v>SPVA_CERTMON</v>
      </c>
      <c r="B23" s="3" cm="1">
        <f t="array" aca="1" ref="B23" ca="1">INDIRECT(CONCATENATE("csv!D",$E23))</f>
        <v>1000</v>
      </c>
      <c r="C23" s="2">
        <f ca="1">AVERAGE(INDIRECT(CONCATENATE("csv!G",$E23)):INDIRECT(CONCATENATE("csv!G",($E23)+4)))</f>
        <v>59068.800000000003</v>
      </c>
      <c r="D23" s="2">
        <f ca="1">_xlfn.STDEV.S(INDIRECT(CONCATENATE("csv!G",$E23)):INDIRECT(CONCATENATE("csv!G",($E23)+4)))</f>
        <v>1025.773837159049</v>
      </c>
      <c r="E23" s="3">
        <f t="shared" si="0"/>
        <v>527</v>
      </c>
    </row>
    <row r="24" spans="1:5">
      <c r="A24" t="str" cm="1">
        <f t="array" aca="1" ref="A24" ca="1">INDIRECT(CONCATENATE("csv!A",$E24))</f>
        <v>SPVA_CERTMON</v>
      </c>
      <c r="B24" s="3" cm="1">
        <f t="array" aca="1" ref="B24" ca="1">INDIRECT(CONCATENATE("csv!D",$E24))</f>
        <v>10000</v>
      </c>
      <c r="C24" s="2">
        <f ca="1">AVERAGE(INDIRECT(CONCATENATE("csv!G",$E24)):INDIRECT(CONCATENATE("csv!G",($E24)+4)))</f>
        <v>26397.26</v>
      </c>
      <c r="D24" s="2">
        <f ca="1">_xlfn.STDEV.S(INDIRECT(CONCATENATE("csv!G",$E24)):INDIRECT(CONCATENATE("csv!G",($E24)+4)))</f>
        <v>382.34050661681135</v>
      </c>
      <c r="E24" s="3">
        <f t="shared" si="0"/>
        <v>552</v>
      </c>
    </row>
    <row r="25" spans="1:5">
      <c r="A25" t="str" cm="1">
        <f t="array" aca="1" ref="A25" ca="1">INDIRECT(CONCATENATE("csv!A",$E25))</f>
        <v>SPVA_CERTMON</v>
      </c>
      <c r="B25" s="3" cm="1">
        <f t="array" aca="1" ref="B25" ca="1">INDIRECT(CONCATENATE("csv!D",$E25))</f>
        <v>100000</v>
      </c>
      <c r="C25" s="2">
        <f ca="1">AVERAGE(INDIRECT(CONCATENATE("csv!G",$E25)):INDIRECT(CONCATENATE("csv!G",($E25)+4)))</f>
        <v>4197.098</v>
      </c>
      <c r="D25" s="2">
        <f ca="1">_xlfn.STDEV.S(INDIRECT(CONCATENATE("csv!G",$E25)):INDIRECT(CONCATENATE("csv!G",($E25)+4)))</f>
        <v>189.27337073661468</v>
      </c>
      <c r="E25" s="3">
        <f t="shared" si="0"/>
        <v>577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CFA0-6F6B-9E49-8E81-46280049C3D8}">
  <dimension ref="A1:H25"/>
  <sheetViews>
    <sheetView showGridLines="0" zoomScale="211" zoomScaleNormal="211" workbookViewId="0">
      <selection activeCell="A2" sqref="A2"/>
    </sheetView>
  </sheetViews>
  <sheetFormatPr baseColWidth="10" defaultRowHeight="16"/>
  <cols>
    <col min="1" max="1" width="15" bestFit="1" customWidth="1"/>
    <col min="2" max="2" width="15.5" customWidth="1"/>
    <col min="3" max="4" width="20.33203125" customWidth="1"/>
    <col min="5" max="5" width="16.5" hidden="1" customWidth="1"/>
    <col min="6" max="6" width="11.5" bestFit="1" customWidth="1"/>
    <col min="7" max="7" width="12.5" bestFit="1" customWidth="1"/>
    <col min="8" max="8" width="13.5" bestFit="1" customWidth="1"/>
  </cols>
  <sheetData>
    <row r="1" spans="1:8">
      <c r="A1" t="s">
        <v>0</v>
      </c>
      <c r="B1" t="s">
        <v>1</v>
      </c>
      <c r="C1" t="s">
        <v>2</v>
      </c>
      <c r="D1" t="s">
        <v>75</v>
      </c>
      <c r="E1" s="3" t="s">
        <v>22</v>
      </c>
      <c r="F1" s="3"/>
      <c r="G1" s="3"/>
      <c r="H1" s="3"/>
    </row>
    <row r="2" spans="1:8">
      <c r="A2" t="str" cm="1">
        <f t="array" aca="1" ref="A2" ca="1">INDIRECT(CONCATENATE("csv!A",$E2))</f>
        <v>CA</v>
      </c>
      <c r="B2" s="3" cm="1">
        <f t="array" aca="1" ref="B2" ca="1">INDIRECT(CONCATENATE("csv!D",$E2))</f>
        <v>1</v>
      </c>
      <c r="C2" s="2">
        <f ca="1">AVERAGE(INDIRECT(CONCATENATE("csv!G",$E2)):INDIRECT(CONCATENATE("csv!G",($E2)+4)))</f>
        <v>58071.079999999994</v>
      </c>
      <c r="D2" s="2">
        <f ca="1">_xlfn.STDEV.S(INDIRECT(CONCATENATE("csv!G",$E2)):INDIRECT(CONCATENATE("csv!G",($E2)+4)))</f>
        <v>2306.3854311454543</v>
      </c>
      <c r="E2" s="3">
        <v>22</v>
      </c>
    </row>
    <row r="3" spans="1:8">
      <c r="A3" t="str" cm="1">
        <f t="array" aca="1" ref="A3" ca="1">INDIRECT(CONCATENATE("csv!A",$E3))</f>
        <v>CA</v>
      </c>
      <c r="B3" s="3" cm="1">
        <f t="array" aca="1" ref="B3" ca="1">INDIRECT(CONCATENATE("csv!D",$E3))</f>
        <v>10</v>
      </c>
      <c r="C3" s="2">
        <f ca="1">AVERAGE(INDIRECT(CONCATENATE("csv!G",$E3)):INDIRECT(CONCATENATE("csv!G",($E3)+4)))</f>
        <v>57867.3</v>
      </c>
      <c r="D3" s="2">
        <f ca="1">_xlfn.STDEV.S(INDIRECT(CONCATENATE("csv!G",$E3)):INDIRECT(CONCATENATE("csv!G",($E3)+4)))</f>
        <v>2399.5449308150064</v>
      </c>
      <c r="E3" s="3">
        <f>E2+25</f>
        <v>47</v>
      </c>
    </row>
    <row r="4" spans="1:8">
      <c r="A4" t="str" cm="1">
        <f t="array" aca="1" ref="A4" ca="1">INDIRECT(CONCATENATE("csv!A",$E4))</f>
        <v>CA</v>
      </c>
      <c r="B4" s="3" cm="1">
        <f t="array" aca="1" ref="B4" ca="1">INDIRECT(CONCATENATE("csv!D",$E4))</f>
        <v>100</v>
      </c>
      <c r="C4" s="2">
        <f ca="1">AVERAGE(INDIRECT(CONCATENATE("csv!G",$E4)):INDIRECT(CONCATENATE("csv!G",($E4)+4)))</f>
        <v>56693.659999999996</v>
      </c>
      <c r="D4" s="2">
        <f ca="1">_xlfn.STDEV.S(INDIRECT(CONCATENATE("csv!G",$E4)):INDIRECT(CONCATENATE("csv!G",($E4)+4)))</f>
        <v>2893.3483799915975</v>
      </c>
      <c r="E4" s="3">
        <f t="shared" ref="E4:E25" si="0">E3+25</f>
        <v>72</v>
      </c>
    </row>
    <row r="5" spans="1:8">
      <c r="A5" t="str" cm="1">
        <f t="array" aca="1" ref="A5" ca="1">INDIRECT(CONCATENATE("csv!A",$E5))</f>
        <v>CA</v>
      </c>
      <c r="B5" s="3" cm="1">
        <f t="array" aca="1" ref="B5" ca="1">INDIRECT(CONCATENATE("csv!D",$E5))</f>
        <v>1000</v>
      </c>
      <c r="C5" s="2">
        <f ca="1">AVERAGE(INDIRECT(CONCATENATE("csv!G",$E5)):INDIRECT(CONCATENATE("csv!G",($E5)+4)))</f>
        <v>55102.6</v>
      </c>
      <c r="D5" s="2">
        <f ca="1">_xlfn.STDEV.S(INDIRECT(CONCATENATE("csv!G",$E5)):INDIRECT(CONCATENATE("csv!G",($E5)+4)))</f>
        <v>1757.8141440436757</v>
      </c>
      <c r="E5" s="3">
        <f t="shared" si="0"/>
        <v>97</v>
      </c>
    </row>
    <row r="6" spans="1:8">
      <c r="A6" t="str" cm="1">
        <f t="array" aca="1" ref="A6" ca="1">INDIRECT(CONCATENATE("csv!A",$E6))</f>
        <v>CA</v>
      </c>
      <c r="B6" s="3" cm="1">
        <f t="array" aca="1" ref="B6" ca="1">INDIRECT(CONCATENATE("csv!D",$E6))</f>
        <v>10000</v>
      </c>
      <c r="C6" s="2">
        <f ca="1">AVERAGE(INDIRECT(CONCATENATE("csv!G",$E6)):INDIRECT(CONCATENATE("csv!G",($E6)+4)))</f>
        <v>26119.06</v>
      </c>
      <c r="D6" s="2">
        <f ca="1">_xlfn.STDEV.S(INDIRECT(CONCATENATE("csv!G",$E6)):INDIRECT(CONCATENATE("csv!G",($E6)+4)))</f>
        <v>157.83604784712529</v>
      </c>
      <c r="E6" s="3">
        <f t="shared" si="0"/>
        <v>122</v>
      </c>
    </row>
    <row r="7" spans="1:8">
      <c r="A7" t="str" cm="1">
        <f t="array" aca="1" ref="A7" ca="1">INDIRECT(CONCATENATE("csv!A",$E7))</f>
        <v>CA</v>
      </c>
      <c r="B7" s="3" cm="1">
        <f t="array" aca="1" ref="B7" ca="1">INDIRECT(CONCATENATE("csv!D",$E7))</f>
        <v>100000</v>
      </c>
      <c r="C7" s="2">
        <f ca="1">AVERAGE(INDIRECT(CONCATENATE("csv!G",$E7)):INDIRECT(CONCATENATE("csv!G",($E7)+4)))</f>
        <v>11354.420000000002</v>
      </c>
      <c r="D7" s="2">
        <f ca="1">_xlfn.STDEV.S(INDIRECT(CONCATENATE("csv!G",$E7)):INDIRECT(CONCATENATE("csv!G",($E7)+4)))</f>
        <v>701.08956417850072</v>
      </c>
      <c r="E7" s="3">
        <f t="shared" si="0"/>
        <v>147</v>
      </c>
    </row>
    <row r="8" spans="1:8">
      <c r="A8" t="str" cm="1">
        <f t="array" aca="1" ref="A8" ca="1">INDIRECT(CONCATENATE("csv!A",$E8))</f>
        <v>PVA</v>
      </c>
      <c r="B8" s="3" cm="1">
        <f t="array" aca="1" ref="B8" ca="1">INDIRECT(CONCATENATE("csv!D",$E8))</f>
        <v>1</v>
      </c>
      <c r="C8" s="2">
        <f ca="1">AVERAGE(INDIRECT(CONCATENATE("csv!G",$E8)):INDIRECT(CONCATENATE("csv!G",($E8)+4)))</f>
        <v>257999.4</v>
      </c>
      <c r="D8" s="2">
        <f ca="1">_xlfn.STDEV.S(INDIRECT(CONCATENATE("csv!G",$E8)):INDIRECT(CONCATENATE("csv!G",($E8)+4)))</f>
        <v>3586.3926583685729</v>
      </c>
      <c r="E8" s="3">
        <f t="shared" si="0"/>
        <v>172</v>
      </c>
    </row>
    <row r="9" spans="1:8">
      <c r="A9" t="str" cm="1">
        <f t="array" aca="1" ref="A9" ca="1">INDIRECT(CONCATENATE("csv!A",$E9))</f>
        <v>PVA</v>
      </c>
      <c r="B9" s="3" cm="1">
        <f t="array" aca="1" ref="B9" ca="1">INDIRECT(CONCATENATE("csv!D",$E9))</f>
        <v>10</v>
      </c>
      <c r="C9" s="2">
        <f ca="1">AVERAGE(INDIRECT(CONCATENATE("csv!G",$E9)):INDIRECT(CONCATENATE("csv!G",($E9)+4)))</f>
        <v>161745.20000000001</v>
      </c>
      <c r="D9" s="2">
        <f ca="1">_xlfn.STDEV.S(INDIRECT(CONCATENATE("csv!G",$E9)):INDIRECT(CONCATENATE("csv!G",($E9)+4)))</f>
        <v>16114.285112905256</v>
      </c>
      <c r="E9" s="3">
        <f t="shared" si="0"/>
        <v>197</v>
      </c>
    </row>
    <row r="10" spans="1:8">
      <c r="A10" t="str" cm="1">
        <f t="array" aca="1" ref="A10" ca="1">INDIRECT(CONCATENATE("csv!A",$E10))</f>
        <v>PVA</v>
      </c>
      <c r="B10" s="3" cm="1">
        <f t="array" aca="1" ref="B10" ca="1">INDIRECT(CONCATENATE("csv!D",$E10))</f>
        <v>100</v>
      </c>
      <c r="C10" s="2">
        <f ca="1">AVERAGE(INDIRECT(CONCATENATE("csv!G",$E10)):INDIRECT(CONCATENATE("csv!G",($E10)+4)))</f>
        <v>160598</v>
      </c>
      <c r="D10" s="2">
        <f ca="1">_xlfn.STDEV.S(INDIRECT(CONCATENATE("csv!G",$E10)):INDIRECT(CONCATENATE("csv!G",($E10)+4)))</f>
        <v>6515.5633678140221</v>
      </c>
      <c r="E10" s="3">
        <f t="shared" si="0"/>
        <v>222</v>
      </c>
    </row>
    <row r="11" spans="1:8">
      <c r="A11" t="str" cm="1">
        <f t="array" aca="1" ref="A11" ca="1">INDIRECT(CONCATENATE("csv!A",$E11))</f>
        <v>PVA</v>
      </c>
      <c r="B11" s="3" cm="1">
        <f t="array" aca="1" ref="B11" ca="1">INDIRECT(CONCATENATE("csv!D",$E11))</f>
        <v>1000</v>
      </c>
      <c r="C11" s="2">
        <f ca="1">AVERAGE(INDIRECT(CONCATENATE("csv!G",$E11)):INDIRECT(CONCATENATE("csv!G",($E11)+4)))</f>
        <v>67008.360000000015</v>
      </c>
      <c r="D11" s="2">
        <f ca="1">_xlfn.STDEV.S(INDIRECT(CONCATENATE("csv!G",$E11)):INDIRECT(CONCATENATE("csv!G",($E11)+4)))</f>
        <v>2629.2143366412702</v>
      </c>
      <c r="E11" s="3">
        <f t="shared" si="0"/>
        <v>247</v>
      </c>
    </row>
    <row r="12" spans="1:8">
      <c r="A12" t="str" cm="1">
        <f t="array" aca="1" ref="A12" ca="1">INDIRECT(CONCATENATE("csv!A",$E12))</f>
        <v>PVA</v>
      </c>
      <c r="B12" s="3" cm="1">
        <f t="array" aca="1" ref="B12" ca="1">INDIRECT(CONCATENATE("csv!D",$E12))</f>
        <v>10000</v>
      </c>
      <c r="C12" s="2">
        <f ca="1">AVERAGE(INDIRECT(CONCATENATE("csv!G",$E12)):INDIRECT(CONCATENATE("csv!G",($E12)+4)))</f>
        <v>54524.1</v>
      </c>
      <c r="D12" s="2">
        <f ca="1">_xlfn.STDEV.S(INDIRECT(CONCATENATE("csv!G",$E12)):INDIRECT(CONCATENATE("csv!G",($E12)+4)))</f>
        <v>4028.4375562989671</v>
      </c>
      <c r="E12" s="3">
        <f t="shared" si="0"/>
        <v>272</v>
      </c>
    </row>
    <row r="13" spans="1:8">
      <c r="A13" t="str" cm="1">
        <f t="array" aca="1" ref="A13" ca="1">INDIRECT(CONCATENATE("csv!A",$E13))</f>
        <v>PVA</v>
      </c>
      <c r="B13" s="3" cm="1">
        <f t="array" aca="1" ref="B13" ca="1">INDIRECT(CONCATENATE("csv!D",$E13))</f>
        <v>100000</v>
      </c>
      <c r="C13" s="2">
        <f ca="1">AVERAGE(INDIRECT(CONCATENATE("csv!G",$E13)):INDIRECT(CONCATENATE("csv!G",($E13)+4)))</f>
        <v>13769.439999999999</v>
      </c>
      <c r="D13" s="2">
        <f ca="1">_xlfn.STDEV.S(INDIRECT(CONCATENATE("csv!G",$E13)):INDIRECT(CONCATENATE("csv!G",($E13)+4)))</f>
        <v>321.58710017660871</v>
      </c>
      <c r="E13" s="3">
        <f t="shared" si="0"/>
        <v>297</v>
      </c>
    </row>
    <row r="14" spans="1:8">
      <c r="A14" t="str" cm="1">
        <f t="array" aca="1" ref="A14" ca="1">INDIRECT(CONCATENATE("csv!A",$E14))</f>
        <v>SPVA</v>
      </c>
      <c r="B14" s="3" cm="1">
        <f t="array" aca="1" ref="B14" ca="1">INDIRECT(CONCATENATE("csv!D",$E14))</f>
        <v>1</v>
      </c>
      <c r="C14" s="2">
        <f ca="1">AVERAGE(INDIRECT(CONCATENATE("csv!G",$E14)):INDIRECT(CONCATENATE("csv!G",($E14)+4)))</f>
        <v>70914.880000000005</v>
      </c>
      <c r="D14" s="2">
        <f ca="1">_xlfn.STDEV.S(INDIRECT(CONCATENATE("csv!G",$E14)):INDIRECT(CONCATENATE("csv!G",($E14)+4)))</f>
        <v>1079.2627423384931</v>
      </c>
      <c r="E14" s="3">
        <f t="shared" si="0"/>
        <v>322</v>
      </c>
    </row>
    <row r="15" spans="1:8">
      <c r="A15" t="str" cm="1">
        <f t="array" aca="1" ref="A15" ca="1">INDIRECT(CONCATENATE("csv!A",$E15))</f>
        <v>SPVA</v>
      </c>
      <c r="B15" s="3" cm="1">
        <f t="array" aca="1" ref="B15" ca="1">INDIRECT(CONCATENATE("csv!D",$E15))</f>
        <v>10</v>
      </c>
      <c r="C15" s="2">
        <f ca="1">AVERAGE(INDIRECT(CONCATENATE("csv!G",$E15)):INDIRECT(CONCATENATE("csv!G",($E15)+4)))</f>
        <v>43413.58</v>
      </c>
      <c r="D15" s="2">
        <f ca="1">_xlfn.STDEV.S(INDIRECT(CONCATENATE("csv!G",$E15)):INDIRECT(CONCATENATE("csv!G",($E15)+4)))</f>
        <v>1334.1890147201773</v>
      </c>
      <c r="E15" s="3">
        <f t="shared" si="0"/>
        <v>347</v>
      </c>
    </row>
    <row r="16" spans="1:8">
      <c r="A16" t="str" cm="1">
        <f t="array" aca="1" ref="A16" ca="1">INDIRECT(CONCATENATE("csv!A",$E16))</f>
        <v>SPVA</v>
      </c>
      <c r="B16" s="3" cm="1">
        <f t="array" aca="1" ref="B16" ca="1">INDIRECT(CONCATENATE("csv!D",$E16))</f>
        <v>100</v>
      </c>
      <c r="C16" s="2">
        <f ca="1">AVERAGE(INDIRECT(CONCATENATE("csv!G",$E16)):INDIRECT(CONCATENATE("csv!G",($E16)+4)))</f>
        <v>52606.180000000008</v>
      </c>
      <c r="D16" s="2">
        <f ca="1">_xlfn.STDEV.S(INDIRECT(CONCATENATE("csv!G",$E16)):INDIRECT(CONCATENATE("csv!G",($E16)+4)))</f>
        <v>833.1987800039085</v>
      </c>
      <c r="E16" s="3">
        <f t="shared" si="0"/>
        <v>372</v>
      </c>
    </row>
    <row r="17" spans="1:5">
      <c r="A17" t="str" cm="1">
        <f t="array" aca="1" ref="A17" ca="1">INDIRECT(CONCATENATE("csv!A",$E17))</f>
        <v>SPVA</v>
      </c>
      <c r="B17" s="3" cm="1">
        <f t="array" aca="1" ref="B17" ca="1">INDIRECT(CONCATENATE("csv!D",$E17))</f>
        <v>1000</v>
      </c>
      <c r="C17" s="2">
        <f ca="1">AVERAGE(INDIRECT(CONCATENATE("csv!G",$E17)):INDIRECT(CONCATENATE("csv!G",($E17)+4)))</f>
        <v>52841.740000000005</v>
      </c>
      <c r="D17" s="2">
        <f ca="1">_xlfn.STDEV.S(INDIRECT(CONCATENATE("csv!G",$E17)):INDIRECT(CONCATENATE("csv!G",($E17)+4)))</f>
        <v>3389.8904625371015</v>
      </c>
      <c r="E17" s="3">
        <f t="shared" si="0"/>
        <v>397</v>
      </c>
    </row>
    <row r="18" spans="1:5">
      <c r="A18" t="str" cm="1">
        <f t="array" aca="1" ref="A18" ca="1">INDIRECT(CONCATENATE("csv!A",$E18))</f>
        <v>SPVA</v>
      </c>
      <c r="B18" s="3" cm="1">
        <f t="array" aca="1" ref="B18" ca="1">INDIRECT(CONCATENATE("csv!D",$E18))</f>
        <v>10000</v>
      </c>
      <c r="C18" s="2">
        <f ca="1">AVERAGE(INDIRECT(CONCATENATE("csv!G",$E18)):INDIRECT(CONCATENATE("csv!G",($E18)+4)))</f>
        <v>24178.760000000002</v>
      </c>
      <c r="D18" s="2">
        <f ca="1">_xlfn.STDEV.S(INDIRECT(CONCATENATE("csv!G",$E18)):INDIRECT(CONCATENATE("csv!G",($E18)+4)))</f>
        <v>255.40393105823594</v>
      </c>
      <c r="E18" s="3">
        <f t="shared" si="0"/>
        <v>422</v>
      </c>
    </row>
    <row r="19" spans="1:5">
      <c r="A19" t="str" cm="1">
        <f t="array" aca="1" ref="A19" ca="1">INDIRECT(CONCATENATE("csv!A",$E19))</f>
        <v>SPVA</v>
      </c>
      <c r="B19" s="3" cm="1">
        <f t="array" aca="1" ref="B19" ca="1">INDIRECT(CONCATENATE("csv!D",$E19))</f>
        <v>100000</v>
      </c>
      <c r="C19" s="2">
        <f ca="1">AVERAGE(INDIRECT(CONCATENATE("csv!G",$E19)):INDIRECT(CONCATENATE("csv!G",($E19)+4)))</f>
        <v>3732.2239999999997</v>
      </c>
      <c r="D19" s="2">
        <f ca="1">_xlfn.STDEV.S(INDIRECT(CONCATENATE("csv!G",$E19)):INDIRECT(CONCATENATE("csv!G",($E19)+4)))</f>
        <v>20.550123600601491</v>
      </c>
      <c r="E19" s="3">
        <f t="shared" si="0"/>
        <v>447</v>
      </c>
    </row>
    <row r="20" spans="1:5">
      <c r="A20" t="str" cm="1">
        <f t="array" aca="1" ref="A20" ca="1">INDIRECT(CONCATENATE("csv!A",$E20))</f>
        <v>SPVA_CERTMON</v>
      </c>
      <c r="B20" s="3" cm="1">
        <f t="array" aca="1" ref="B20" ca="1">INDIRECT(CONCATENATE("csv!D",$E20))</f>
        <v>1</v>
      </c>
      <c r="C20" s="2">
        <f ca="1">AVERAGE(INDIRECT(CONCATENATE("csv!G",$E20)):INDIRECT(CONCATENATE("csv!G",($E20)+4)))</f>
        <v>70928.899999999994</v>
      </c>
      <c r="D20" s="2">
        <f ca="1">_xlfn.STDEV.S(INDIRECT(CONCATENATE("csv!G",$E20)):INDIRECT(CONCATENATE("csv!G",($E20)+4)))</f>
        <v>1628.1513704198399</v>
      </c>
      <c r="E20" s="3">
        <f t="shared" si="0"/>
        <v>472</v>
      </c>
    </row>
    <row r="21" spans="1:5">
      <c r="A21" t="str" cm="1">
        <f t="array" aca="1" ref="A21" ca="1">INDIRECT(CONCATENATE("csv!A",$E21))</f>
        <v>SPVA_CERTMON</v>
      </c>
      <c r="B21" s="3" cm="1">
        <f t="array" aca="1" ref="B21" ca="1">INDIRECT(CONCATENATE("csv!D",$E21))</f>
        <v>10</v>
      </c>
      <c r="C21" s="2">
        <f ca="1">AVERAGE(INDIRECT(CONCATENATE("csv!G",$E21)):INDIRECT(CONCATENATE("csv!G",($E21)+4)))</f>
        <v>43837.460000000006</v>
      </c>
      <c r="D21" s="2">
        <f ca="1">_xlfn.STDEV.S(INDIRECT(CONCATENATE("csv!G",$E21)):INDIRECT(CONCATENATE("csv!G",($E21)+4)))</f>
        <v>496.22460942601293</v>
      </c>
      <c r="E21" s="3">
        <f t="shared" si="0"/>
        <v>497</v>
      </c>
    </row>
    <row r="22" spans="1:5">
      <c r="A22" t="str" cm="1">
        <f t="array" aca="1" ref="A22" ca="1">INDIRECT(CONCATENATE("csv!A",$E22))</f>
        <v>SPVA_CERTMON</v>
      </c>
      <c r="B22" s="3" cm="1">
        <f t="array" aca="1" ref="B22" ca="1">INDIRECT(CONCATENATE("csv!D",$E22))</f>
        <v>100</v>
      </c>
      <c r="C22" s="2">
        <f ca="1">AVERAGE(INDIRECT(CONCATENATE("csv!G",$E22)):INDIRECT(CONCATENATE("csv!G",($E22)+4)))</f>
        <v>54729.880000000005</v>
      </c>
      <c r="D22" s="2">
        <f ca="1">_xlfn.STDEV.S(INDIRECT(CONCATENATE("csv!G",$E22)):INDIRECT(CONCATENATE("csv!G",($E22)+4)))</f>
        <v>1633.8945917653293</v>
      </c>
      <c r="E22" s="3">
        <f t="shared" si="0"/>
        <v>522</v>
      </c>
    </row>
    <row r="23" spans="1:5">
      <c r="A23" t="str" cm="1">
        <f t="array" aca="1" ref="A23" ca="1">INDIRECT(CONCATENATE("csv!A",$E23))</f>
        <v>SPVA_CERTMON</v>
      </c>
      <c r="B23" s="3" cm="1">
        <f t="array" aca="1" ref="B23" ca="1">INDIRECT(CONCATENATE("csv!D",$E23))</f>
        <v>1000</v>
      </c>
      <c r="C23" s="2">
        <f ca="1">AVERAGE(INDIRECT(CONCATENATE("csv!G",$E23)):INDIRECT(CONCATENATE("csv!G",($E23)+4)))</f>
        <v>54275</v>
      </c>
      <c r="D23" s="2">
        <f ca="1">_xlfn.STDEV.S(INDIRECT(CONCATENATE("csv!G",$E23)):INDIRECT(CONCATENATE("csv!G",($E23)+4)))</f>
        <v>1044.6742482707216</v>
      </c>
      <c r="E23" s="3">
        <f t="shared" si="0"/>
        <v>547</v>
      </c>
    </row>
    <row r="24" spans="1:5">
      <c r="A24" t="str" cm="1">
        <f t="array" aca="1" ref="A24" ca="1">INDIRECT(CONCATENATE("csv!A",$E24))</f>
        <v>SPVA_CERTMON</v>
      </c>
      <c r="B24" s="3" cm="1">
        <f t="array" aca="1" ref="B24" ca="1">INDIRECT(CONCATENATE("csv!D",$E24))</f>
        <v>10000</v>
      </c>
      <c r="C24" s="2">
        <f ca="1">AVERAGE(INDIRECT(CONCATENATE("csv!G",$E24)):INDIRECT(CONCATENATE("csv!G",($E24)+4)))</f>
        <v>23893.420000000002</v>
      </c>
      <c r="D24" s="2">
        <f ca="1">_xlfn.STDEV.S(INDIRECT(CONCATENATE("csv!G",$E24)):INDIRECT(CONCATENATE("csv!G",($E24)+4)))</f>
        <v>352.51547767438507</v>
      </c>
      <c r="E24" s="3">
        <f t="shared" si="0"/>
        <v>572</v>
      </c>
    </row>
    <row r="25" spans="1:5">
      <c r="A25" t="str" cm="1">
        <f t="array" aca="1" ref="A25" ca="1">INDIRECT(CONCATENATE("csv!A",$E25))</f>
        <v>SPVA_CERTMON</v>
      </c>
      <c r="B25" s="3" cm="1">
        <f t="array" aca="1" ref="B25" ca="1">INDIRECT(CONCATENATE("csv!D",$E25))</f>
        <v>100000</v>
      </c>
      <c r="C25" s="2">
        <f ca="1">AVERAGE(INDIRECT(CONCATENATE("csv!G",$E25)):INDIRECT(CONCATENATE("csv!G",($E25)+4)))</f>
        <v>3792.05</v>
      </c>
      <c r="D25" s="2">
        <f ca="1">_xlfn.STDEV.S(INDIRECT(CONCATENATE("csv!G",$E25)):INDIRECT(CONCATENATE("csv!G",($E25)+4)))</f>
        <v>18.066322259939898</v>
      </c>
      <c r="E25" s="3">
        <f t="shared" si="0"/>
        <v>597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4FA6-62FC-DF46-AD0F-22519E4C2F6F}">
  <dimension ref="A1:W31"/>
  <sheetViews>
    <sheetView showGridLines="0" zoomScale="133" workbookViewId="0">
      <selection activeCell="I23" sqref="I23"/>
    </sheetView>
  </sheetViews>
  <sheetFormatPr baseColWidth="10" defaultRowHeight="16"/>
  <cols>
    <col min="1" max="1" width="10.33203125" bestFit="1" customWidth="1"/>
    <col min="2" max="2" width="10.6640625" customWidth="1"/>
    <col min="3" max="3" width="14" bestFit="1" customWidth="1"/>
    <col min="4" max="4" width="17.1640625" bestFit="1" customWidth="1"/>
    <col min="5" max="5" width="0" hidden="1" customWidth="1"/>
    <col min="6" max="6" width="3.5" customWidth="1"/>
    <col min="7" max="7" width="7.83203125" bestFit="1" customWidth="1"/>
    <col min="8" max="8" width="10.5" bestFit="1" customWidth="1"/>
    <col min="9" max="9" width="11.5" bestFit="1" customWidth="1"/>
    <col min="10" max="10" width="15" bestFit="1" customWidth="1"/>
    <col min="11" max="11" width="5.5" hidden="1" customWidth="1"/>
    <col min="12" max="12" width="3.5" customWidth="1"/>
    <col min="13" max="13" width="7.83203125" bestFit="1" customWidth="1"/>
    <col min="14" max="14" width="10.5" bestFit="1" customWidth="1"/>
    <col min="15" max="15" width="11.5" bestFit="1" customWidth="1"/>
    <col min="16" max="16" width="14.6640625" bestFit="1" customWidth="1"/>
    <col min="17" max="17" width="5.5" hidden="1" customWidth="1"/>
    <col min="18" max="18" width="3.5" customWidth="1"/>
    <col min="19" max="19" width="15" bestFit="1" customWidth="1"/>
    <col min="20" max="20" width="10.5" bestFit="1" customWidth="1"/>
    <col min="21" max="21" width="11.5" bestFit="1" customWidth="1"/>
    <col min="22" max="22" width="15" bestFit="1" customWidth="1"/>
    <col min="23" max="23" width="5.5" hidden="1" customWidth="1"/>
  </cols>
  <sheetData>
    <row r="1" spans="1:23">
      <c r="A1" s="4" t="s">
        <v>30</v>
      </c>
      <c r="B1" s="5" t="s">
        <v>29</v>
      </c>
      <c r="C1" s="5" t="s">
        <v>28</v>
      </c>
      <c r="D1" s="6" t="s">
        <v>27</v>
      </c>
      <c r="E1" s="23"/>
      <c r="F1" s="3"/>
      <c r="G1" s="4" t="s">
        <v>30</v>
      </c>
      <c r="H1" s="5" t="s">
        <v>29</v>
      </c>
      <c r="I1" s="5" t="s">
        <v>28</v>
      </c>
      <c r="J1" s="6" t="s">
        <v>27</v>
      </c>
      <c r="K1" s="23"/>
      <c r="M1" s="4" t="s">
        <v>30</v>
      </c>
      <c r="N1" s="5" t="s">
        <v>29</v>
      </c>
      <c r="O1" s="5" t="s">
        <v>28</v>
      </c>
      <c r="P1" s="6" t="s">
        <v>27</v>
      </c>
      <c r="Q1" s="23"/>
      <c r="S1" s="4" t="s">
        <v>30</v>
      </c>
      <c r="T1" s="5" t="s">
        <v>29</v>
      </c>
      <c r="U1" s="5" t="s">
        <v>28</v>
      </c>
      <c r="V1" s="6" t="s">
        <v>27</v>
      </c>
      <c r="W1" s="23"/>
    </row>
    <row r="2" spans="1:23">
      <c r="A2" s="26" t="str" cm="1">
        <f t="array" aca="1" ref="A2" ca="1">INDIRECT(CONCATENATE("csv!A",$E2))</f>
        <v>CA</v>
      </c>
      <c r="B2" s="21" cm="1">
        <f t="array" aca="1" ref="B2" ca="1">INDIRECT(CONCATENATE("csv!C",$E2))</f>
        <v>1</v>
      </c>
      <c r="C2" s="21" cm="1">
        <f t="array" aca="1" ref="C2" ca="1">INDIRECT(CONCATENATE("csv!D",$E2))</f>
        <v>1</v>
      </c>
      <c r="D2" s="29">
        <f ca="1">AVERAGE(INDIRECT(CONCATENATE("csv!H",$E2)):INDIRECT(CONCATENATE("csv!H",($E2)+4)))</f>
        <v>37368.620000000003</v>
      </c>
      <c r="E2" s="24">
        <f>2</f>
        <v>2</v>
      </c>
      <c r="G2" s="26" t="str" cm="1">
        <f t="array" aca="1" ref="G2" ca="1">INDIRECT(CONCATENATE("csv!A",$K2))</f>
        <v>PVA</v>
      </c>
      <c r="H2" s="21" cm="1">
        <f t="array" aca="1" ref="H2" ca="1">INDIRECT(CONCATENATE("csv!C",$K2))</f>
        <v>1</v>
      </c>
      <c r="I2" s="21" cm="1">
        <f t="array" aca="1" ref="I2" ca="1">INDIRECT(CONCATENATE("csv!D",$K2))</f>
        <v>1</v>
      </c>
      <c r="J2" s="29">
        <f ca="1">AVERAGE(INDIRECT(CONCATENATE("csv!H",$K2)):INDIRECT(CONCATENATE("csv!H",($K2)+4)))</f>
        <v>107248.4</v>
      </c>
      <c r="K2" s="24">
        <f>E2+150</f>
        <v>152</v>
      </c>
      <c r="M2" s="26" t="str" cm="1">
        <f t="array" aca="1" ref="M2" ca="1">INDIRECT(CONCATENATE("csv!A",$Q2))</f>
        <v>SPVA</v>
      </c>
      <c r="N2" s="21" cm="1">
        <f t="array" aca="1" ref="N2" ca="1">INDIRECT(CONCATENATE("csv!C",$Q2))</f>
        <v>1</v>
      </c>
      <c r="O2" s="21" cm="1">
        <f t="array" aca="1" ref="O2" ca="1">INDIRECT(CONCATENATE("csv!D",$Q2))</f>
        <v>1</v>
      </c>
      <c r="P2" s="29">
        <f ca="1">AVERAGE(INDIRECT(CONCATENATE("csv!H",$Q2)):INDIRECT(CONCATENATE("csv!H",($Q2)+4)))</f>
        <v>75098.860000000015</v>
      </c>
      <c r="Q2" s="24">
        <f>K2+150</f>
        <v>302</v>
      </c>
      <c r="S2" s="26" t="str" cm="1">
        <f t="array" aca="1" ref="S2" ca="1">INDIRECT(CONCATENATE("csv!A",$W2))</f>
        <v>SPVA_CERTMON</v>
      </c>
      <c r="T2" s="21" cm="1">
        <f t="array" aca="1" ref="T2" ca="1">INDIRECT(CONCATENATE("csv!C",$W2))</f>
        <v>1</v>
      </c>
      <c r="U2" s="21" cm="1">
        <f t="array" aca="1" ref="U2" ca="1">INDIRECT(CONCATENATE("csv!D",$W2))</f>
        <v>1</v>
      </c>
      <c r="V2" s="29" cm="1">
        <f t="array" aca="1" ref="V2" ca="1">INDIRECT(CONCATENATE("csv!H",$W2))</f>
        <v>73641.899999999994</v>
      </c>
      <c r="W2" s="24">
        <f>Q2+150</f>
        <v>452</v>
      </c>
    </row>
    <row r="3" spans="1:23">
      <c r="A3" s="27" t="str" cm="1">
        <f t="array" aca="1" ref="A3" ca="1">INDIRECT(CONCATENATE("csv!A",$E3))</f>
        <v>CA</v>
      </c>
      <c r="B3" s="31" cm="1">
        <f t="array" aca="1" ref="B3" ca="1">INDIRECT(CONCATENATE("csv!C",$E3))</f>
        <v>10</v>
      </c>
      <c r="C3" s="22" cm="1">
        <f t="array" aca="1" ref="C3" ca="1">INDIRECT(CONCATENATE("csv!D",$E3))</f>
        <v>1</v>
      </c>
      <c r="D3" s="30">
        <f ca="1">AVERAGE(INDIRECT(CONCATENATE("csv!H",$E3)):INDIRECT(CONCATENATE("csv!H",($E3)+4)))</f>
        <v>10985.221999999998</v>
      </c>
      <c r="E3" s="25">
        <f>E2+5</f>
        <v>7</v>
      </c>
      <c r="G3" s="27" t="str" cm="1">
        <f t="array" aca="1" ref="G3" ca="1">INDIRECT(CONCATENATE("csv!A",$K3))</f>
        <v>PVA</v>
      </c>
      <c r="H3" s="31" cm="1">
        <f t="array" aca="1" ref="H3" ca="1">INDIRECT(CONCATENATE("csv!C",$K3))</f>
        <v>10</v>
      </c>
      <c r="I3" s="22" cm="1">
        <f t="array" aca="1" ref="I3" ca="1">INDIRECT(CONCATENATE("csv!D",$K3))</f>
        <v>1</v>
      </c>
      <c r="J3" s="30">
        <f ca="1">AVERAGE(INDIRECT(CONCATENATE("csv!H",$K3)):INDIRECT(CONCATENATE("csv!H",($K3)+4)))</f>
        <v>7924.3740000000007</v>
      </c>
      <c r="K3" s="25">
        <f>K2+5</f>
        <v>157</v>
      </c>
      <c r="M3" s="27" t="str" cm="1">
        <f t="array" aca="1" ref="M3" ca="1">INDIRECT(CONCATENATE("csv!A",$Q3))</f>
        <v>SPVA</v>
      </c>
      <c r="N3" s="31" cm="1">
        <f t="array" aca="1" ref="N3" ca="1">INDIRECT(CONCATENATE("csv!C",$Q3))</f>
        <v>10</v>
      </c>
      <c r="O3" s="22" cm="1">
        <f t="array" aca="1" ref="O3" ca="1">INDIRECT(CONCATENATE("csv!D",$Q3))</f>
        <v>1</v>
      </c>
      <c r="P3" s="30">
        <f ca="1">AVERAGE(INDIRECT(CONCATENATE("csv!H",$Q3)):INDIRECT(CONCATENATE("csv!H",($Q3)+4)))</f>
        <v>4439.2199999999993</v>
      </c>
      <c r="Q3" s="25">
        <f>Q2+5</f>
        <v>307</v>
      </c>
      <c r="S3" s="27" t="str" cm="1">
        <f t="array" aca="1" ref="S3" ca="1">INDIRECT(CONCATENATE("csv!A",$W3))</f>
        <v>SPVA_CERTMON</v>
      </c>
      <c r="T3" s="31" cm="1">
        <f t="array" aca="1" ref="T3" ca="1">INDIRECT(CONCATENATE("csv!C",$W3))</f>
        <v>10</v>
      </c>
      <c r="U3" s="22" cm="1">
        <f t="array" aca="1" ref="U3" ca="1">INDIRECT(CONCATENATE("csv!D",$W3))</f>
        <v>1</v>
      </c>
      <c r="V3" s="30" cm="1">
        <f t="array" aca="1" ref="V3" ca="1">INDIRECT(CONCATENATE("csv!H",$W3))</f>
        <v>4435.47</v>
      </c>
      <c r="W3" s="25">
        <f>W2+5</f>
        <v>457</v>
      </c>
    </row>
    <row r="4" spans="1:23">
      <c r="A4" s="26" t="str" cm="1">
        <f t="array" aca="1" ref="A4" ca="1">INDIRECT(CONCATENATE("csv!A",$E4))</f>
        <v>CA</v>
      </c>
      <c r="B4" s="32" cm="1">
        <f t="array" aca="1" ref="B4" ca="1">INDIRECT(CONCATENATE("csv!C",$E4))</f>
        <v>100</v>
      </c>
      <c r="C4" s="21" cm="1">
        <f t="array" aca="1" ref="C4" ca="1">INDIRECT(CONCATENATE("csv!D",$E4))</f>
        <v>1</v>
      </c>
      <c r="D4" s="29">
        <f ca="1">AVERAGE(INDIRECT(CONCATENATE("csv!H",$E4)):INDIRECT(CONCATENATE("csv!H",($E4)+4)))</f>
        <v>217.68959999999998</v>
      </c>
      <c r="E4" s="24">
        <f t="shared" ref="E4:E31" si="0">E3+5</f>
        <v>12</v>
      </c>
      <c r="G4" s="26" t="str" cm="1">
        <f t="array" aca="1" ref="G4" ca="1">INDIRECT(CONCATENATE("csv!A",$K4))</f>
        <v>PVA</v>
      </c>
      <c r="H4" s="32" cm="1">
        <f t="array" aca="1" ref="H4" ca="1">INDIRECT(CONCATENATE("csv!C",$K4))</f>
        <v>100</v>
      </c>
      <c r="I4" s="21" cm="1">
        <f t="array" aca="1" ref="I4" ca="1">INDIRECT(CONCATENATE("csv!D",$K4))</f>
        <v>1</v>
      </c>
      <c r="J4" s="29">
        <f ca="1">AVERAGE(INDIRECT(CONCATENATE("csv!H",$K4)):INDIRECT(CONCATENATE("csv!H",($K4)+4)))</f>
        <v>264.78280000000007</v>
      </c>
      <c r="K4" s="24">
        <f t="shared" ref="K4:K31" si="1">K3+5</f>
        <v>162</v>
      </c>
      <c r="M4" s="26" t="str" cm="1">
        <f t="array" aca="1" ref="M4" ca="1">INDIRECT(CONCATENATE("csv!A",$Q4))</f>
        <v>SPVA</v>
      </c>
      <c r="N4" s="32" cm="1">
        <f t="array" aca="1" ref="N4" ca="1">INDIRECT(CONCATENATE("csv!C",$Q4))</f>
        <v>100</v>
      </c>
      <c r="O4" s="21" cm="1">
        <f t="array" aca="1" ref="O4" ca="1">INDIRECT(CONCATENATE("csv!D",$Q4))</f>
        <v>1</v>
      </c>
      <c r="P4" s="29">
        <f ca="1">AVERAGE(INDIRECT(CONCATENATE("csv!H",$Q4)):INDIRECT(CONCATENATE("csv!H",($Q4)+4)))</f>
        <v>220.44620000000003</v>
      </c>
      <c r="Q4" s="24">
        <f t="shared" ref="Q4:Q31" si="2">Q3+5</f>
        <v>312</v>
      </c>
      <c r="S4" s="26" t="str" cm="1">
        <f t="array" aca="1" ref="S4" ca="1">INDIRECT(CONCATENATE("csv!A",$W4))</f>
        <v>SPVA_CERTMON</v>
      </c>
      <c r="T4" s="32" cm="1">
        <f t="array" aca="1" ref="T4" ca="1">INDIRECT(CONCATENATE("csv!C",$W4))</f>
        <v>100</v>
      </c>
      <c r="U4" s="21" cm="1">
        <f t="array" aca="1" ref="U4" ca="1">INDIRECT(CONCATENATE("csv!D",$W4))</f>
        <v>1</v>
      </c>
      <c r="V4" s="29" cm="1">
        <f t="array" aca="1" ref="V4" ca="1">INDIRECT(CONCATENATE("csv!H",$W4))</f>
        <v>205.84899999999999</v>
      </c>
      <c r="W4" s="24">
        <f t="shared" ref="W4:W31" si="3">W3+5</f>
        <v>462</v>
      </c>
    </row>
    <row r="5" spans="1:23">
      <c r="A5" s="27" t="str" cm="1">
        <f t="array" aca="1" ref="A5" ca="1">INDIRECT(CONCATENATE("csv!A",$E5))</f>
        <v>CA</v>
      </c>
      <c r="B5" s="31" cm="1">
        <f t="array" aca="1" ref="B5" ca="1">INDIRECT(CONCATENATE("csv!C",$E5))</f>
        <v>500</v>
      </c>
      <c r="C5" s="22" cm="1">
        <f t="array" aca="1" ref="C5" ca="1">INDIRECT(CONCATENATE("csv!D",$E5))</f>
        <v>1</v>
      </c>
      <c r="D5" s="30">
        <f ca="1">AVERAGE(INDIRECT(CONCATENATE("csv!H",$E5)):INDIRECT(CONCATENATE("csv!H",($E5)+4)))</f>
        <v>130.57679999999999</v>
      </c>
      <c r="E5" s="25">
        <f t="shared" si="0"/>
        <v>17</v>
      </c>
      <c r="G5" s="27" t="str" cm="1">
        <f t="array" aca="1" ref="G5" ca="1">INDIRECT(CONCATENATE("csv!A",$K5))</f>
        <v>PVA</v>
      </c>
      <c r="H5" s="31" cm="1">
        <f t="array" aca="1" ref="H5" ca="1">INDIRECT(CONCATENATE("csv!C",$K5))</f>
        <v>500</v>
      </c>
      <c r="I5" s="22" cm="1">
        <f t="array" aca="1" ref="I5" ca="1">INDIRECT(CONCATENATE("csv!D",$K5))</f>
        <v>1</v>
      </c>
      <c r="J5" s="30">
        <f ca="1">AVERAGE(INDIRECT(CONCATENATE("csv!H",$K5)):INDIRECT(CONCATENATE("csv!H",($K5)+4)))</f>
        <v>252.11839999999998</v>
      </c>
      <c r="K5" s="25">
        <f t="shared" si="1"/>
        <v>167</v>
      </c>
      <c r="M5" s="27" t="str" cm="1">
        <f t="array" aca="1" ref="M5" ca="1">INDIRECT(CONCATENATE("csv!A",$Q5))</f>
        <v>SPVA</v>
      </c>
      <c r="N5" s="31" cm="1">
        <f t="array" aca="1" ref="N5" ca="1">INDIRECT(CONCATENATE("csv!C",$Q5))</f>
        <v>500</v>
      </c>
      <c r="O5" s="22" cm="1">
        <f t="array" aca="1" ref="O5" ca="1">INDIRECT(CONCATENATE("csv!D",$Q5))</f>
        <v>1</v>
      </c>
      <c r="P5" s="30">
        <f ca="1">AVERAGE(INDIRECT(CONCATENATE("csv!H",$Q5)):INDIRECT(CONCATENATE("csv!H",($Q5)+4)))</f>
        <v>94.110159999999993</v>
      </c>
      <c r="Q5" s="25">
        <f t="shared" si="2"/>
        <v>317</v>
      </c>
      <c r="S5" s="27" t="str" cm="1">
        <f t="array" aca="1" ref="S5" ca="1">INDIRECT(CONCATENATE("csv!A",$W5))</f>
        <v>SPVA_CERTMON</v>
      </c>
      <c r="T5" s="31" cm="1">
        <f t="array" aca="1" ref="T5" ca="1">INDIRECT(CONCATENATE("csv!C",$W5))</f>
        <v>500</v>
      </c>
      <c r="U5" s="22" cm="1">
        <f t="array" aca="1" ref="U5" ca="1">INDIRECT(CONCATENATE("csv!D",$W5))</f>
        <v>1</v>
      </c>
      <c r="V5" s="30" cm="1">
        <f t="array" aca="1" ref="V5" ca="1">INDIRECT(CONCATENATE("csv!H",$W5))</f>
        <v>95.163899999999998</v>
      </c>
      <c r="W5" s="25">
        <f t="shared" si="3"/>
        <v>467</v>
      </c>
    </row>
    <row r="6" spans="1:23">
      <c r="A6" s="26" t="str" cm="1">
        <f t="array" aca="1" ref="A6" ca="1">INDIRECT(CONCATENATE("csv!A",$E6))</f>
        <v>CA</v>
      </c>
      <c r="B6" s="32" cm="1">
        <f t="array" aca="1" ref="B6" ca="1">INDIRECT(CONCATENATE("csv!C",$E6))</f>
        <v>1000</v>
      </c>
      <c r="C6" s="21" cm="1">
        <f t="array" aca="1" ref="C6" ca="1">INDIRECT(CONCATENATE("csv!D",$E6))</f>
        <v>1</v>
      </c>
      <c r="D6" s="29">
        <f ca="1">AVERAGE(INDIRECT(CONCATENATE("csv!H",$E6)):INDIRECT(CONCATENATE("csv!H",($E6)+4)))</f>
        <v>58.071080000000009</v>
      </c>
      <c r="E6" s="24">
        <f t="shared" si="0"/>
        <v>22</v>
      </c>
      <c r="G6" s="26" t="str" cm="1">
        <f t="array" aca="1" ref="G6" ca="1">INDIRECT(CONCATENATE("csv!A",$K6))</f>
        <v>PVA</v>
      </c>
      <c r="H6" s="32" cm="1">
        <f t="array" aca="1" ref="H6" ca="1">INDIRECT(CONCATENATE("csv!C",$K6))</f>
        <v>1000</v>
      </c>
      <c r="I6" s="21" cm="1">
        <f t="array" aca="1" ref="I6" ca="1">INDIRECT(CONCATENATE("csv!D",$K6))</f>
        <v>1</v>
      </c>
      <c r="J6" s="29">
        <f ca="1">AVERAGE(INDIRECT(CONCATENATE("csv!H",$K6)):INDIRECT(CONCATENATE("csv!H",($K6)+4)))</f>
        <v>257.99939999999998</v>
      </c>
      <c r="K6" s="24">
        <f t="shared" si="1"/>
        <v>172</v>
      </c>
      <c r="M6" s="26" t="str" cm="1">
        <f t="array" aca="1" ref="M6" ca="1">INDIRECT(CONCATENATE("csv!A",$Q6))</f>
        <v>SPVA</v>
      </c>
      <c r="N6" s="32" cm="1">
        <f t="array" aca="1" ref="N6" ca="1">INDIRECT(CONCATENATE("csv!C",$Q6))</f>
        <v>1000</v>
      </c>
      <c r="O6" s="21" cm="1">
        <f t="array" aca="1" ref="O6" ca="1">INDIRECT(CONCATENATE("csv!D",$Q6))</f>
        <v>1</v>
      </c>
      <c r="P6" s="29">
        <f ca="1">AVERAGE(INDIRECT(CONCATENATE("csv!H",$Q6)):INDIRECT(CONCATENATE("csv!H",($Q6)+4)))</f>
        <v>70.914880000000011</v>
      </c>
      <c r="Q6" s="24">
        <f t="shared" si="2"/>
        <v>322</v>
      </c>
      <c r="S6" s="26" t="str" cm="1">
        <f t="array" aca="1" ref="S6" ca="1">INDIRECT(CONCATENATE("csv!A",$W6))</f>
        <v>SPVA_CERTMON</v>
      </c>
      <c r="T6" s="32" cm="1">
        <f t="array" aca="1" ref="T6" ca="1">INDIRECT(CONCATENATE("csv!C",$W6))</f>
        <v>1000</v>
      </c>
      <c r="U6" s="21" cm="1">
        <f t="array" aca="1" ref="U6" ca="1">INDIRECT(CONCATENATE("csv!D",$W6))</f>
        <v>1</v>
      </c>
      <c r="V6" s="29" cm="1">
        <f t="array" aca="1" ref="V6" ca="1">INDIRECT(CONCATENATE("csv!H",$W6))</f>
        <v>71.534199999999998</v>
      </c>
      <c r="W6" s="24">
        <f t="shared" si="3"/>
        <v>472</v>
      </c>
    </row>
    <row r="7" spans="1:23">
      <c r="A7" s="27" t="str" cm="1">
        <f t="array" aca="1" ref="A7" ca="1">INDIRECT(CONCATENATE("csv!A",$E7))</f>
        <v>CA</v>
      </c>
      <c r="B7" s="31" cm="1">
        <f t="array" aca="1" ref="B7" ca="1">INDIRECT(CONCATENATE("csv!C",$E7))</f>
        <v>1</v>
      </c>
      <c r="C7" s="22" cm="1">
        <f t="array" aca="1" ref="C7" ca="1">INDIRECT(CONCATENATE("csv!D",$E7))</f>
        <v>10</v>
      </c>
      <c r="D7" s="30">
        <f ca="1">AVERAGE(INDIRECT(CONCATENATE("csv!H",$E7)):INDIRECT(CONCATENATE("csv!H",($E7)+4)))</f>
        <v>33625.18</v>
      </c>
      <c r="E7" s="25">
        <f t="shared" si="0"/>
        <v>27</v>
      </c>
      <c r="G7" s="27" t="str" cm="1">
        <f t="array" aca="1" ref="G7" ca="1">INDIRECT(CONCATENATE("csv!A",$K7))</f>
        <v>PVA</v>
      </c>
      <c r="H7" s="31" cm="1">
        <f t="array" aca="1" ref="H7" ca="1">INDIRECT(CONCATENATE("csv!C",$K7))</f>
        <v>1</v>
      </c>
      <c r="I7" s="22" cm="1">
        <f t="array" aca="1" ref="I7" ca="1">INDIRECT(CONCATENATE("csv!D",$K7))</f>
        <v>10</v>
      </c>
      <c r="J7" s="30">
        <f ca="1">AVERAGE(INDIRECT(CONCATENATE("csv!H",$K7)):INDIRECT(CONCATENATE("csv!H",($K7)+4)))</f>
        <v>107652.8</v>
      </c>
      <c r="K7" s="25">
        <f t="shared" si="1"/>
        <v>177</v>
      </c>
      <c r="M7" s="27" t="str" cm="1">
        <f t="array" aca="1" ref="M7" ca="1">INDIRECT(CONCATENATE("csv!A",$Q7))</f>
        <v>SPVA</v>
      </c>
      <c r="N7" s="31" cm="1">
        <f t="array" aca="1" ref="N7" ca="1">INDIRECT(CONCATENATE("csv!C",$Q7))</f>
        <v>1</v>
      </c>
      <c r="O7" s="22" cm="1">
        <f t="array" aca="1" ref="O7" ca="1">INDIRECT(CONCATENATE("csv!D",$Q7))</f>
        <v>10</v>
      </c>
      <c r="P7" s="30">
        <f ca="1">AVERAGE(INDIRECT(CONCATENATE("csv!H",$Q7)):INDIRECT(CONCATENATE("csv!H",($Q7)+4)))</f>
        <v>75308.74000000002</v>
      </c>
      <c r="Q7" s="25">
        <f t="shared" si="2"/>
        <v>327</v>
      </c>
      <c r="S7" s="27" t="str" cm="1">
        <f t="array" aca="1" ref="S7" ca="1">INDIRECT(CONCATENATE("csv!A",$W7))</f>
        <v>SPVA_CERTMON</v>
      </c>
      <c r="T7" s="31" cm="1">
        <f t="array" aca="1" ref="T7" ca="1">INDIRECT(CONCATENATE("csv!C",$W7))</f>
        <v>1</v>
      </c>
      <c r="U7" s="22" cm="1">
        <f t="array" aca="1" ref="U7" ca="1">INDIRECT(CONCATENATE("csv!D",$W7))</f>
        <v>10</v>
      </c>
      <c r="V7" s="30" cm="1">
        <f t="array" aca="1" ref="V7" ca="1">INDIRECT(CONCATENATE("csv!H",$W7))</f>
        <v>72590.7</v>
      </c>
      <c r="W7" s="25">
        <f t="shared" si="3"/>
        <v>477</v>
      </c>
    </row>
    <row r="8" spans="1:23">
      <c r="A8" s="26" t="str" cm="1">
        <f t="array" aca="1" ref="A8" ca="1">INDIRECT(CONCATENATE("csv!A",$E8))</f>
        <v>CA</v>
      </c>
      <c r="B8" s="32" cm="1">
        <f t="array" aca="1" ref="B8" ca="1">INDIRECT(CONCATENATE("csv!C",$E8))</f>
        <v>10</v>
      </c>
      <c r="C8" s="21" cm="1">
        <f t="array" aca="1" ref="C8" ca="1">INDIRECT(CONCATENATE("csv!D",$E8))</f>
        <v>10</v>
      </c>
      <c r="D8" s="29">
        <f ca="1">AVERAGE(INDIRECT(CONCATENATE("csv!H",$E8)):INDIRECT(CONCATENATE("csv!H",($E8)+4)))</f>
        <v>13046.499999999998</v>
      </c>
      <c r="E8" s="24">
        <f t="shared" si="0"/>
        <v>32</v>
      </c>
      <c r="G8" s="26" t="str" cm="1">
        <f t="array" aca="1" ref="G8" ca="1">INDIRECT(CONCATENATE("csv!A",$K8))</f>
        <v>PVA</v>
      </c>
      <c r="H8" s="32" cm="1">
        <f t="array" aca="1" ref="H8" ca="1">INDIRECT(CONCATENATE("csv!C",$K8))</f>
        <v>10</v>
      </c>
      <c r="I8" s="21" cm="1">
        <f t="array" aca="1" ref="I8" ca="1">INDIRECT(CONCATENATE("csv!D",$K8))</f>
        <v>10</v>
      </c>
      <c r="J8" s="29">
        <f ca="1">AVERAGE(INDIRECT(CONCATENATE("csv!H",$K8)):INDIRECT(CONCATENATE("csv!H",($K8)+4)))</f>
        <v>11154.68</v>
      </c>
      <c r="K8" s="24">
        <f t="shared" si="1"/>
        <v>182</v>
      </c>
      <c r="M8" s="26" t="str" cm="1">
        <f t="array" aca="1" ref="M8" ca="1">INDIRECT(CONCATENATE("csv!A",$Q8))</f>
        <v>SPVA</v>
      </c>
      <c r="N8" s="32" cm="1">
        <f t="array" aca="1" ref="N8" ca="1">INDIRECT(CONCATENATE("csv!C",$Q8))</f>
        <v>10</v>
      </c>
      <c r="O8" s="21" cm="1">
        <f t="array" aca="1" ref="O8" ca="1">INDIRECT(CONCATENATE("csv!D",$Q8))</f>
        <v>10</v>
      </c>
      <c r="P8" s="29">
        <f ca="1">AVERAGE(INDIRECT(CONCATENATE("csv!H",$Q8)):INDIRECT(CONCATENATE("csv!H",($Q8)+4)))</f>
        <v>3955.2760000000003</v>
      </c>
      <c r="Q8" s="24">
        <f t="shared" si="2"/>
        <v>332</v>
      </c>
      <c r="S8" s="26" t="str" cm="1">
        <f t="array" aca="1" ref="S8" ca="1">INDIRECT(CONCATENATE("csv!A",$W8))</f>
        <v>SPVA_CERTMON</v>
      </c>
      <c r="T8" s="32" cm="1">
        <f t="array" aca="1" ref="T8" ca="1">INDIRECT(CONCATENATE("csv!C",$W8))</f>
        <v>10</v>
      </c>
      <c r="U8" s="21" cm="1">
        <f t="array" aca="1" ref="U8" ca="1">INDIRECT(CONCATENATE("csv!D",$W8))</f>
        <v>10</v>
      </c>
      <c r="V8" s="29" cm="1">
        <f t="array" aca="1" ref="V8" ca="1">INDIRECT(CONCATENATE("csv!H",$W8))</f>
        <v>3976.34</v>
      </c>
      <c r="W8" s="24">
        <f t="shared" si="3"/>
        <v>482</v>
      </c>
    </row>
    <row r="9" spans="1:23">
      <c r="A9" s="27" t="str" cm="1">
        <f t="array" aca="1" ref="A9" ca="1">INDIRECT(CONCATENATE("csv!A",$E9))</f>
        <v>CA</v>
      </c>
      <c r="B9" s="31" cm="1">
        <f t="array" aca="1" ref="B9" ca="1">INDIRECT(CONCATENATE("csv!C",$E9))</f>
        <v>100</v>
      </c>
      <c r="C9" s="22" cm="1">
        <f t="array" aca="1" ref="C9" ca="1">INDIRECT(CONCATENATE("csv!D",$E9))</f>
        <v>10</v>
      </c>
      <c r="D9" s="30">
        <f ca="1">AVERAGE(INDIRECT(CONCATENATE("csv!H",$E9)):INDIRECT(CONCATENATE("csv!H",($E9)+4)))</f>
        <v>190.89180000000002</v>
      </c>
      <c r="E9" s="25">
        <f t="shared" si="0"/>
        <v>37</v>
      </c>
      <c r="G9" s="27" t="str" cm="1">
        <f t="array" aca="1" ref="G9" ca="1">INDIRECT(CONCATENATE("csv!A",$K9))</f>
        <v>PVA</v>
      </c>
      <c r="H9" s="31" cm="1">
        <f t="array" aca="1" ref="H9" ca="1">INDIRECT(CONCATENATE("csv!C",$K9))</f>
        <v>100</v>
      </c>
      <c r="I9" s="22" cm="1">
        <f t="array" aca="1" ref="I9" ca="1">INDIRECT(CONCATENATE("csv!D",$K9))</f>
        <v>10</v>
      </c>
      <c r="J9" s="30">
        <f ca="1">AVERAGE(INDIRECT(CONCATENATE("csv!H",$K9)):INDIRECT(CONCATENATE("csv!H",($K9)+4)))</f>
        <v>314.46159999999998</v>
      </c>
      <c r="K9" s="25">
        <f t="shared" si="1"/>
        <v>187</v>
      </c>
      <c r="M9" s="27" t="str" cm="1">
        <f t="array" aca="1" ref="M9" ca="1">INDIRECT(CONCATENATE("csv!A",$Q9))</f>
        <v>SPVA</v>
      </c>
      <c r="N9" s="31" cm="1">
        <f t="array" aca="1" ref="N9" ca="1">INDIRECT(CONCATENATE("csv!C",$Q9))</f>
        <v>100</v>
      </c>
      <c r="O9" s="22" cm="1">
        <f t="array" aca="1" ref="O9" ca="1">INDIRECT(CONCATENATE("csv!D",$Q9))</f>
        <v>10</v>
      </c>
      <c r="P9" s="30">
        <f ca="1">AVERAGE(INDIRECT(CONCATENATE("csv!H",$Q9)):INDIRECT(CONCATENATE("csv!H",($Q9)+4)))</f>
        <v>238.10659999999999</v>
      </c>
      <c r="Q9" s="25">
        <f t="shared" si="2"/>
        <v>337</v>
      </c>
      <c r="S9" s="27" t="str" cm="1">
        <f t="array" aca="1" ref="S9" ca="1">INDIRECT(CONCATENATE("csv!A",$W9))</f>
        <v>SPVA_CERTMON</v>
      </c>
      <c r="T9" s="31" cm="1">
        <f t="array" aca="1" ref="T9" ca="1">INDIRECT(CONCATENATE("csv!C",$W9))</f>
        <v>100</v>
      </c>
      <c r="U9" s="22" cm="1">
        <f t="array" aca="1" ref="U9" ca="1">INDIRECT(CONCATENATE("csv!D",$W9))</f>
        <v>10</v>
      </c>
      <c r="V9" s="30" cm="1">
        <f t="array" aca="1" ref="V9" ca="1">INDIRECT(CONCATENATE("csv!H",$W9))</f>
        <v>251.13499999999999</v>
      </c>
      <c r="W9" s="25">
        <f t="shared" si="3"/>
        <v>487</v>
      </c>
    </row>
    <row r="10" spans="1:23">
      <c r="A10" s="26" t="str" cm="1">
        <f t="array" aca="1" ref="A10" ca="1">INDIRECT(CONCATENATE("csv!A",$E10))</f>
        <v>CA</v>
      </c>
      <c r="B10" s="32" cm="1">
        <f t="array" aca="1" ref="B10" ca="1">INDIRECT(CONCATENATE("csv!C",$E10))</f>
        <v>500</v>
      </c>
      <c r="C10" s="21" cm="1">
        <f t="array" aca="1" ref="C10" ca="1">INDIRECT(CONCATENATE("csv!D",$E10))</f>
        <v>10</v>
      </c>
      <c r="D10" s="29">
        <f ca="1">AVERAGE(INDIRECT(CONCATENATE("csv!H",$E10)):INDIRECT(CONCATENATE("csv!H",($E10)+4)))</f>
        <v>129.99279999999999</v>
      </c>
      <c r="E10" s="24">
        <f t="shared" si="0"/>
        <v>42</v>
      </c>
      <c r="G10" s="26" t="str" cm="1">
        <f t="array" aca="1" ref="G10" ca="1">INDIRECT(CONCATENATE("csv!A",$K10))</f>
        <v>PVA</v>
      </c>
      <c r="H10" s="32" cm="1">
        <f t="array" aca="1" ref="H10" ca="1">INDIRECT(CONCATENATE("csv!C",$K10))</f>
        <v>500</v>
      </c>
      <c r="I10" s="21" cm="1">
        <f t="array" aca="1" ref="I10" ca="1">INDIRECT(CONCATENATE("csv!D",$K10))</f>
        <v>10</v>
      </c>
      <c r="J10" s="29">
        <f ca="1">AVERAGE(INDIRECT(CONCATENATE("csv!H",$K10)):INDIRECT(CONCATENATE("csv!H",($K10)+4)))</f>
        <v>138.43860000000001</v>
      </c>
      <c r="K10" s="24">
        <f t="shared" si="1"/>
        <v>192</v>
      </c>
      <c r="M10" s="26" t="str" cm="1">
        <f t="array" aca="1" ref="M10" ca="1">INDIRECT(CONCATENATE("csv!A",$Q10))</f>
        <v>SPVA</v>
      </c>
      <c r="N10" s="32" cm="1">
        <f t="array" aca="1" ref="N10" ca="1">INDIRECT(CONCATENATE("csv!C",$Q10))</f>
        <v>500</v>
      </c>
      <c r="O10" s="21" cm="1">
        <f t="array" aca="1" ref="O10" ca="1">INDIRECT(CONCATENATE("csv!D",$Q10))</f>
        <v>10</v>
      </c>
      <c r="P10" s="29">
        <f ca="1">AVERAGE(INDIRECT(CONCATENATE("csv!H",$Q10)):INDIRECT(CONCATENATE("csv!H",($Q10)+4)))</f>
        <v>78.01697999999999</v>
      </c>
      <c r="Q10" s="24">
        <f t="shared" si="2"/>
        <v>342</v>
      </c>
      <c r="S10" s="26" t="str" cm="1">
        <f t="array" aca="1" ref="S10" ca="1">INDIRECT(CONCATENATE("csv!A",$W10))</f>
        <v>SPVA_CERTMON</v>
      </c>
      <c r="T10" s="32" cm="1">
        <f t="array" aca="1" ref="T10" ca="1">INDIRECT(CONCATENATE("csv!C",$W10))</f>
        <v>500</v>
      </c>
      <c r="U10" s="21" cm="1">
        <f t="array" aca="1" ref="U10" ca="1">INDIRECT(CONCATENATE("csv!D",$W10))</f>
        <v>10</v>
      </c>
      <c r="V10" s="29" cm="1">
        <f t="array" aca="1" ref="V10" ca="1">INDIRECT(CONCATENATE("csv!H",$W10))</f>
        <v>74.019199999999998</v>
      </c>
      <c r="W10" s="24">
        <f t="shared" si="3"/>
        <v>492</v>
      </c>
    </row>
    <row r="11" spans="1:23">
      <c r="A11" s="27" t="str" cm="1">
        <f t="array" aca="1" ref="A11" ca="1">INDIRECT(CONCATENATE("csv!A",$E11))</f>
        <v>CA</v>
      </c>
      <c r="B11" s="31" cm="1">
        <f t="array" aca="1" ref="B11" ca="1">INDIRECT(CONCATENATE("csv!C",$E11))</f>
        <v>1000</v>
      </c>
      <c r="C11" s="22" cm="1">
        <f t="array" aca="1" ref="C11" ca="1">INDIRECT(CONCATENATE("csv!D",$E11))</f>
        <v>10</v>
      </c>
      <c r="D11" s="30">
        <f ca="1">AVERAGE(INDIRECT(CONCATENATE("csv!H",$E11)):INDIRECT(CONCATENATE("csv!H",($E11)+4)))</f>
        <v>57.8673</v>
      </c>
      <c r="E11" s="25">
        <f t="shared" si="0"/>
        <v>47</v>
      </c>
      <c r="G11" s="27" t="str" cm="1">
        <f t="array" aca="1" ref="G11" ca="1">INDIRECT(CONCATENATE("csv!A",$K11))</f>
        <v>PVA</v>
      </c>
      <c r="H11" s="31" cm="1">
        <f t="array" aca="1" ref="H11" ca="1">INDIRECT(CONCATENATE("csv!C",$K11))</f>
        <v>1000</v>
      </c>
      <c r="I11" s="22" cm="1">
        <f t="array" aca="1" ref="I11" ca="1">INDIRECT(CONCATENATE("csv!D",$K11))</f>
        <v>10</v>
      </c>
      <c r="J11" s="30">
        <f ca="1">AVERAGE(INDIRECT(CONCATENATE("csv!H",$K11)):INDIRECT(CONCATENATE("csv!H",($K11)+4)))</f>
        <v>161.74519999999998</v>
      </c>
      <c r="K11" s="25">
        <f t="shared" si="1"/>
        <v>197</v>
      </c>
      <c r="M11" s="27" t="str" cm="1">
        <f t="array" aca="1" ref="M11" ca="1">INDIRECT(CONCATENATE("csv!A",$Q11))</f>
        <v>SPVA</v>
      </c>
      <c r="N11" s="31" cm="1">
        <f t="array" aca="1" ref="N11" ca="1">INDIRECT(CONCATENATE("csv!C",$Q11))</f>
        <v>1000</v>
      </c>
      <c r="O11" s="22" cm="1">
        <f t="array" aca="1" ref="O11" ca="1">INDIRECT(CONCATENATE("csv!D",$Q11))</f>
        <v>10</v>
      </c>
      <c r="P11" s="30">
        <f ca="1">AVERAGE(INDIRECT(CONCATENATE("csv!H",$Q11)):INDIRECT(CONCATENATE("csv!H",($Q11)+4)))</f>
        <v>43.413579999999996</v>
      </c>
      <c r="Q11" s="25">
        <f t="shared" si="2"/>
        <v>347</v>
      </c>
      <c r="S11" s="27" t="str" cm="1">
        <f t="array" aca="1" ref="S11" ca="1">INDIRECT(CONCATENATE("csv!A",$W11))</f>
        <v>SPVA_CERTMON</v>
      </c>
      <c r="T11" s="31" cm="1">
        <f t="array" aca="1" ref="T11" ca="1">INDIRECT(CONCATENATE("csv!C",$W11))</f>
        <v>1000</v>
      </c>
      <c r="U11" s="22" cm="1">
        <f t="array" aca="1" ref="U11" ca="1">INDIRECT(CONCATENATE("csv!D",$W11))</f>
        <v>10</v>
      </c>
      <c r="V11" s="30" cm="1">
        <f t="array" aca="1" ref="V11" ca="1">INDIRECT(CONCATENATE("csv!H",$W11))</f>
        <v>43.134300000000003</v>
      </c>
      <c r="W11" s="25">
        <f t="shared" si="3"/>
        <v>497</v>
      </c>
    </row>
    <row r="12" spans="1:23">
      <c r="A12" s="26" t="str" cm="1">
        <f t="array" aca="1" ref="A12" ca="1">INDIRECT(CONCATENATE("csv!A",$E12))</f>
        <v>CA</v>
      </c>
      <c r="B12" s="32" cm="1">
        <f t="array" aca="1" ref="B12" ca="1">INDIRECT(CONCATENATE("csv!C",$E12))</f>
        <v>1</v>
      </c>
      <c r="C12" s="21" cm="1">
        <f t="array" aca="1" ref="C12" ca="1">INDIRECT(CONCATENATE("csv!D",$E12))</f>
        <v>100</v>
      </c>
      <c r="D12" s="29">
        <f ca="1">AVERAGE(INDIRECT(CONCATENATE("csv!H",$E12)):INDIRECT(CONCATENATE("csv!H",($E12)+4)))</f>
        <v>32086.1</v>
      </c>
      <c r="E12" s="24">
        <f t="shared" si="0"/>
        <v>52</v>
      </c>
      <c r="G12" s="26" t="str" cm="1">
        <f t="array" aca="1" ref="G12" ca="1">INDIRECT(CONCATENATE("csv!A",$K12))</f>
        <v>PVA</v>
      </c>
      <c r="H12" s="32" cm="1">
        <f t="array" aca="1" ref="H12" ca="1">INDIRECT(CONCATENATE("csv!C",$K12))</f>
        <v>1</v>
      </c>
      <c r="I12" s="21" cm="1">
        <f t="array" aca="1" ref="I12" ca="1">INDIRECT(CONCATENATE("csv!D",$K12))</f>
        <v>100</v>
      </c>
      <c r="J12" s="29">
        <f ca="1">AVERAGE(INDIRECT(CONCATENATE("csv!H",$K12)):INDIRECT(CONCATENATE("csv!H",($K12)+4)))</f>
        <v>99042.12</v>
      </c>
      <c r="K12" s="24">
        <f t="shared" si="1"/>
        <v>202</v>
      </c>
      <c r="M12" s="26" t="str" cm="1">
        <f t="array" aca="1" ref="M12" ca="1">INDIRECT(CONCATENATE("csv!A",$Q12))</f>
        <v>SPVA</v>
      </c>
      <c r="N12" s="32" cm="1">
        <f t="array" aca="1" ref="N12" ca="1">INDIRECT(CONCATENATE("csv!C",$Q12))</f>
        <v>1</v>
      </c>
      <c r="O12" s="21" cm="1">
        <f t="array" aca="1" ref="O12" ca="1">INDIRECT(CONCATENATE("csv!D",$Q12))</f>
        <v>100</v>
      </c>
      <c r="P12" s="29">
        <f ca="1">AVERAGE(INDIRECT(CONCATENATE("csv!H",$Q12)):INDIRECT(CONCATENATE("csv!H",($Q12)+4)))</f>
        <v>74584.539999999994</v>
      </c>
      <c r="Q12" s="24">
        <f t="shared" si="2"/>
        <v>352</v>
      </c>
      <c r="S12" s="26" t="str" cm="1">
        <f t="array" aca="1" ref="S12" ca="1">INDIRECT(CONCATENATE("csv!A",$W12))</f>
        <v>SPVA_CERTMON</v>
      </c>
      <c r="T12" s="32" cm="1">
        <f t="array" aca="1" ref="T12" ca="1">INDIRECT(CONCATENATE("csv!C",$W12))</f>
        <v>1</v>
      </c>
      <c r="U12" s="21" cm="1">
        <f t="array" aca="1" ref="U12" ca="1">INDIRECT(CONCATENATE("csv!D",$W12))</f>
        <v>100</v>
      </c>
      <c r="V12" s="29" cm="1">
        <f t="array" aca="1" ref="V12" ca="1">INDIRECT(CONCATENATE("csv!H",$W12))</f>
        <v>73077.399999999994</v>
      </c>
      <c r="W12" s="24">
        <f t="shared" si="3"/>
        <v>502</v>
      </c>
    </row>
    <row r="13" spans="1:23">
      <c r="A13" s="27" t="str" cm="1">
        <f t="array" aca="1" ref="A13" ca="1">INDIRECT(CONCATENATE("csv!A",$E13))</f>
        <v>CA</v>
      </c>
      <c r="B13" s="31" cm="1">
        <f t="array" aca="1" ref="B13" ca="1">INDIRECT(CONCATENATE("csv!C",$E13))</f>
        <v>10</v>
      </c>
      <c r="C13" s="22" cm="1">
        <f t="array" aca="1" ref="C13" ca="1">INDIRECT(CONCATENATE("csv!D",$E13))</f>
        <v>100</v>
      </c>
      <c r="D13" s="30">
        <f ca="1">AVERAGE(INDIRECT(CONCATENATE("csv!H",$E13)):INDIRECT(CONCATENATE("csv!H",($E13)+4)))</f>
        <v>10181.897999999997</v>
      </c>
      <c r="E13" s="25">
        <f t="shared" si="0"/>
        <v>57</v>
      </c>
      <c r="G13" s="27" t="str" cm="1">
        <f t="array" aca="1" ref="G13" ca="1">INDIRECT(CONCATENATE("csv!A",$K13))</f>
        <v>PVA</v>
      </c>
      <c r="H13" s="31" cm="1">
        <f t="array" aca="1" ref="H13" ca="1">INDIRECT(CONCATENATE("csv!C",$K13))</f>
        <v>10</v>
      </c>
      <c r="I13" s="22" cm="1">
        <f t="array" aca="1" ref="I13" ca="1">INDIRECT(CONCATENATE("csv!D",$K13))</f>
        <v>100</v>
      </c>
      <c r="J13" s="30">
        <f ca="1">AVERAGE(INDIRECT(CONCATENATE("csv!H",$K13)):INDIRECT(CONCATENATE("csv!H",($K13)+4)))</f>
        <v>8841.0639999999985</v>
      </c>
      <c r="K13" s="25">
        <f t="shared" si="1"/>
        <v>207</v>
      </c>
      <c r="M13" s="27" t="str" cm="1">
        <f t="array" aca="1" ref="M13" ca="1">INDIRECT(CONCATENATE("csv!A",$Q13))</f>
        <v>SPVA</v>
      </c>
      <c r="N13" s="31" cm="1">
        <f t="array" aca="1" ref="N13" ca="1">INDIRECT(CONCATENATE("csv!C",$Q13))</f>
        <v>10</v>
      </c>
      <c r="O13" s="22" cm="1">
        <f t="array" aca="1" ref="O13" ca="1">INDIRECT(CONCATENATE("csv!D",$Q13))</f>
        <v>100</v>
      </c>
      <c r="P13" s="30">
        <f ca="1">AVERAGE(INDIRECT(CONCATENATE("csv!H",$Q13)):INDIRECT(CONCATENATE("csv!H",($Q13)+4)))</f>
        <v>4588.5059999999994</v>
      </c>
      <c r="Q13" s="25">
        <f t="shared" si="2"/>
        <v>357</v>
      </c>
      <c r="S13" s="27" t="str" cm="1">
        <f t="array" aca="1" ref="S13" ca="1">INDIRECT(CONCATENATE("csv!A",$W13))</f>
        <v>SPVA_CERTMON</v>
      </c>
      <c r="T13" s="31" cm="1">
        <f t="array" aca="1" ref="T13" ca="1">INDIRECT(CONCATENATE("csv!C",$W13))</f>
        <v>10</v>
      </c>
      <c r="U13" s="22" cm="1">
        <f t="array" aca="1" ref="U13" ca="1">INDIRECT(CONCATENATE("csv!D",$W13))</f>
        <v>100</v>
      </c>
      <c r="V13" s="30" cm="1">
        <f t="array" aca="1" ref="V13" ca="1">INDIRECT(CONCATENATE("csv!H",$W13))</f>
        <v>4731.83</v>
      </c>
      <c r="W13" s="25">
        <f t="shared" si="3"/>
        <v>507</v>
      </c>
    </row>
    <row r="14" spans="1:23">
      <c r="A14" s="26" t="str" cm="1">
        <f t="array" aca="1" ref="A14" ca="1">INDIRECT(CONCATENATE("csv!A",$E14))</f>
        <v>CA</v>
      </c>
      <c r="B14" s="32" cm="1">
        <f t="array" aca="1" ref="B14" ca="1">INDIRECT(CONCATENATE("csv!C",$E14))</f>
        <v>100</v>
      </c>
      <c r="C14" s="21" cm="1">
        <f t="array" aca="1" ref="C14" ca="1">INDIRECT(CONCATENATE("csv!D",$E14))</f>
        <v>100</v>
      </c>
      <c r="D14" s="29">
        <f ca="1">AVERAGE(INDIRECT(CONCATENATE("csv!H",$E14)):INDIRECT(CONCATENATE("csv!H",($E14)+4)))</f>
        <v>203.87380000000002</v>
      </c>
      <c r="E14" s="24">
        <f t="shared" si="0"/>
        <v>62</v>
      </c>
      <c r="G14" s="26" t="str" cm="1">
        <f t="array" aca="1" ref="G14" ca="1">INDIRECT(CONCATENATE("csv!A",$K14))</f>
        <v>PVA</v>
      </c>
      <c r="H14" s="32" cm="1">
        <f t="array" aca="1" ref="H14" ca="1">INDIRECT(CONCATENATE("csv!C",$K14))</f>
        <v>100</v>
      </c>
      <c r="I14" s="21" cm="1">
        <f t="array" aca="1" ref="I14" ca="1">INDIRECT(CONCATENATE("csv!D",$K14))</f>
        <v>100</v>
      </c>
      <c r="J14" s="29">
        <f ca="1">AVERAGE(INDIRECT(CONCATENATE("csv!H",$K14)):INDIRECT(CONCATENATE("csv!H",($K14)+4)))</f>
        <v>578.25740000000008</v>
      </c>
      <c r="K14" s="24">
        <f t="shared" si="1"/>
        <v>212</v>
      </c>
      <c r="M14" s="26" t="str" cm="1">
        <f t="array" aca="1" ref="M14" ca="1">INDIRECT(CONCATENATE("csv!A",$Q14))</f>
        <v>SPVA</v>
      </c>
      <c r="N14" s="32" cm="1">
        <f t="array" aca="1" ref="N14" ca="1">INDIRECT(CONCATENATE("csv!C",$Q14))</f>
        <v>100</v>
      </c>
      <c r="O14" s="21" cm="1">
        <f t="array" aca="1" ref="O14" ca="1">INDIRECT(CONCATENATE("csv!D",$Q14))</f>
        <v>100</v>
      </c>
      <c r="P14" s="29">
        <f ca="1">AVERAGE(INDIRECT(CONCATENATE("csv!H",$Q14)):INDIRECT(CONCATENATE("csv!H",($Q14)+4)))</f>
        <v>365.02180000000004</v>
      </c>
      <c r="Q14" s="24">
        <f t="shared" si="2"/>
        <v>362</v>
      </c>
      <c r="S14" s="26" t="str" cm="1">
        <f t="array" aca="1" ref="S14" ca="1">INDIRECT(CONCATENATE("csv!A",$W14))</f>
        <v>SPVA_CERTMON</v>
      </c>
      <c r="T14" s="32" cm="1">
        <f t="array" aca="1" ref="T14" ca="1">INDIRECT(CONCATENATE("csv!C",$W14))</f>
        <v>100</v>
      </c>
      <c r="U14" s="21" cm="1">
        <f t="array" aca="1" ref="U14" ca="1">INDIRECT(CONCATENATE("csv!D",$W14))</f>
        <v>100</v>
      </c>
      <c r="V14" s="29" cm="1">
        <f t="array" aca="1" ref="V14" ca="1">INDIRECT(CONCATENATE("csv!H",$W14))</f>
        <v>371.32799999999997</v>
      </c>
      <c r="W14" s="24">
        <f t="shared" si="3"/>
        <v>512</v>
      </c>
    </row>
    <row r="15" spans="1:23">
      <c r="A15" s="27" t="str" cm="1">
        <f t="array" aca="1" ref="A15" ca="1">INDIRECT(CONCATENATE("csv!A",$E15))</f>
        <v>CA</v>
      </c>
      <c r="B15" s="31" cm="1">
        <f t="array" aca="1" ref="B15" ca="1">INDIRECT(CONCATENATE("csv!C",$E15))</f>
        <v>500</v>
      </c>
      <c r="C15" s="22" cm="1">
        <f t="array" aca="1" ref="C15" ca="1">INDIRECT(CONCATENATE("csv!D",$E15))</f>
        <v>100</v>
      </c>
      <c r="D15" s="30">
        <f ca="1">AVERAGE(INDIRECT(CONCATENATE("csv!H",$E15)):INDIRECT(CONCATENATE("csv!H",($E15)+4)))</f>
        <v>130.14079999999998</v>
      </c>
      <c r="E15" s="25">
        <f t="shared" si="0"/>
        <v>67</v>
      </c>
      <c r="G15" s="27" t="str" cm="1">
        <f t="array" aca="1" ref="G15" ca="1">INDIRECT(CONCATENATE("csv!A",$K15))</f>
        <v>PVA</v>
      </c>
      <c r="H15" s="31" cm="1">
        <f t="array" aca="1" ref="H15" ca="1">INDIRECT(CONCATENATE("csv!C",$K15))</f>
        <v>500</v>
      </c>
      <c r="I15" s="22" cm="1">
        <f t="array" aca="1" ref="I15" ca="1">INDIRECT(CONCATENATE("csv!D",$K15))</f>
        <v>100</v>
      </c>
      <c r="J15" s="30">
        <f ca="1">AVERAGE(INDIRECT(CONCATENATE("csv!H",$K15)):INDIRECT(CONCATENATE("csv!H",($K15)+4)))</f>
        <v>172.48939999999999</v>
      </c>
      <c r="K15" s="25">
        <f t="shared" si="1"/>
        <v>217</v>
      </c>
      <c r="M15" s="27" t="str" cm="1">
        <f t="array" aca="1" ref="M15" ca="1">INDIRECT(CONCATENATE("csv!A",$Q15))</f>
        <v>SPVA</v>
      </c>
      <c r="N15" s="31" cm="1">
        <f t="array" aca="1" ref="N15" ca="1">INDIRECT(CONCATENATE("csv!C",$Q15))</f>
        <v>500</v>
      </c>
      <c r="O15" s="22" cm="1">
        <f t="array" aca="1" ref="O15" ca="1">INDIRECT(CONCATENATE("csv!D",$Q15))</f>
        <v>100</v>
      </c>
      <c r="P15" s="30">
        <f ca="1">AVERAGE(INDIRECT(CONCATENATE("csv!H",$Q15)):INDIRECT(CONCATENATE("csv!H",($Q15)+4)))</f>
        <v>108.55260000000001</v>
      </c>
      <c r="Q15" s="25">
        <f t="shared" si="2"/>
        <v>367</v>
      </c>
      <c r="S15" s="27" t="str" cm="1">
        <f t="array" aca="1" ref="S15" ca="1">INDIRECT(CONCATENATE("csv!A",$W15))</f>
        <v>SPVA_CERTMON</v>
      </c>
      <c r="T15" s="31" cm="1">
        <f t="array" aca="1" ref="T15" ca="1">INDIRECT(CONCATENATE("csv!C",$W15))</f>
        <v>500</v>
      </c>
      <c r="U15" s="22" cm="1">
        <f t="array" aca="1" ref="U15" ca="1">INDIRECT(CONCATENATE("csv!D",$W15))</f>
        <v>100</v>
      </c>
      <c r="V15" s="30" cm="1">
        <f t="array" aca="1" ref="V15" ca="1">INDIRECT(CONCATENATE("csv!H",$W15))</f>
        <v>108.977</v>
      </c>
      <c r="W15" s="25">
        <f t="shared" si="3"/>
        <v>517</v>
      </c>
    </row>
    <row r="16" spans="1:23">
      <c r="A16" s="26" t="str" cm="1">
        <f t="array" aca="1" ref="A16" ca="1">INDIRECT(CONCATENATE("csv!A",$E16))</f>
        <v>CA</v>
      </c>
      <c r="B16" s="32" cm="1">
        <f t="array" aca="1" ref="B16" ca="1">INDIRECT(CONCATENATE("csv!C",$E16))</f>
        <v>1000</v>
      </c>
      <c r="C16" s="21" cm="1">
        <f t="array" aca="1" ref="C16" ca="1">INDIRECT(CONCATENATE("csv!D",$E16))</f>
        <v>100</v>
      </c>
      <c r="D16" s="29">
        <f ca="1">AVERAGE(INDIRECT(CONCATENATE("csv!H",$E16)):INDIRECT(CONCATENATE("csv!H",($E16)+4)))</f>
        <v>56.693660000000001</v>
      </c>
      <c r="E16" s="24">
        <f t="shared" si="0"/>
        <v>72</v>
      </c>
      <c r="G16" s="26" t="str" cm="1">
        <f t="array" aca="1" ref="G16" ca="1">INDIRECT(CONCATENATE("csv!A",$K16))</f>
        <v>PVA</v>
      </c>
      <c r="H16" s="32" cm="1">
        <f t="array" aca="1" ref="H16" ca="1">INDIRECT(CONCATENATE("csv!C",$K16))</f>
        <v>1000</v>
      </c>
      <c r="I16" s="21" cm="1">
        <f t="array" aca="1" ref="I16" ca="1">INDIRECT(CONCATENATE("csv!D",$K16))</f>
        <v>100</v>
      </c>
      <c r="J16" s="29">
        <f ca="1">AVERAGE(INDIRECT(CONCATENATE("csv!H",$K16)):INDIRECT(CONCATENATE("csv!H",($K16)+4)))</f>
        <v>160.59800000000001</v>
      </c>
      <c r="K16" s="24">
        <f t="shared" si="1"/>
        <v>222</v>
      </c>
      <c r="M16" s="26" t="str" cm="1">
        <f t="array" aca="1" ref="M16" ca="1">INDIRECT(CONCATENATE("csv!A",$Q16))</f>
        <v>SPVA</v>
      </c>
      <c r="N16" s="32" cm="1">
        <f t="array" aca="1" ref="N16" ca="1">INDIRECT(CONCATENATE("csv!C",$Q16))</f>
        <v>1000</v>
      </c>
      <c r="O16" s="21" cm="1">
        <f t="array" aca="1" ref="O16" ca="1">INDIRECT(CONCATENATE("csv!D",$Q16))</f>
        <v>100</v>
      </c>
      <c r="P16" s="29">
        <f ca="1">AVERAGE(INDIRECT(CONCATENATE("csv!H",$Q16)):INDIRECT(CONCATENATE("csv!H",($Q16)+4)))</f>
        <v>52.606179999999995</v>
      </c>
      <c r="Q16" s="24">
        <f t="shared" si="2"/>
        <v>372</v>
      </c>
      <c r="S16" s="26" t="str" cm="1">
        <f t="array" aca="1" ref="S16" ca="1">INDIRECT(CONCATENATE("csv!A",$W16))</f>
        <v>SPVA_CERTMON</v>
      </c>
      <c r="T16" s="32" cm="1">
        <f t="array" aca="1" ref="T16" ca="1">INDIRECT(CONCATENATE("csv!C",$W16))</f>
        <v>1000</v>
      </c>
      <c r="U16" s="21" cm="1">
        <f t="array" aca="1" ref="U16" ca="1">INDIRECT(CONCATENATE("csv!D",$W16))</f>
        <v>100</v>
      </c>
      <c r="V16" s="29" cm="1">
        <f t="array" aca="1" ref="V16" ca="1">INDIRECT(CONCATENATE("csv!H",$W16))</f>
        <v>56.071199999999997</v>
      </c>
      <c r="W16" s="24">
        <f t="shared" si="3"/>
        <v>522</v>
      </c>
    </row>
    <row r="17" spans="1:23">
      <c r="A17" s="27" t="str" cm="1">
        <f t="array" aca="1" ref="A17" ca="1">INDIRECT(CONCATENATE("csv!A",$E17))</f>
        <v>CA</v>
      </c>
      <c r="B17" s="31" cm="1">
        <f t="array" aca="1" ref="B17" ca="1">INDIRECT(CONCATENATE("csv!C",$E17))</f>
        <v>1</v>
      </c>
      <c r="C17" s="22" cm="1">
        <f t="array" aca="1" ref="C17" ca="1">INDIRECT(CONCATENATE("csv!D",$E17))</f>
        <v>1000</v>
      </c>
      <c r="D17" s="30">
        <f ca="1">AVERAGE(INDIRECT(CONCATENATE("csv!H",$E17)):INDIRECT(CONCATENATE("csv!H",($E17)+4)))</f>
        <v>52793.06</v>
      </c>
      <c r="E17" s="25">
        <f t="shared" si="0"/>
        <v>77</v>
      </c>
      <c r="G17" s="27" t="str" cm="1">
        <f t="array" aca="1" ref="G17" ca="1">INDIRECT(CONCATENATE("csv!A",$K17))</f>
        <v>PVA</v>
      </c>
      <c r="H17" s="31" cm="1">
        <f t="array" aca="1" ref="H17" ca="1">INDIRECT(CONCATENATE("csv!C",$K17))</f>
        <v>1</v>
      </c>
      <c r="I17" s="22" cm="1">
        <f t="array" aca="1" ref="I17" ca="1">INDIRECT(CONCATENATE("csv!D",$K17))</f>
        <v>1000</v>
      </c>
      <c r="J17" s="30">
        <f ca="1">AVERAGE(INDIRECT(CONCATENATE("csv!H",$K17)):INDIRECT(CONCATENATE("csv!H",($K17)+4)))</f>
        <v>84055.34</v>
      </c>
      <c r="K17" s="25">
        <f t="shared" si="1"/>
        <v>227</v>
      </c>
      <c r="M17" s="27" t="str" cm="1">
        <f t="array" aca="1" ref="M17" ca="1">INDIRECT(CONCATENATE("csv!A",$Q17))</f>
        <v>SPVA</v>
      </c>
      <c r="N17" s="31" cm="1">
        <f t="array" aca="1" ref="N17" ca="1">INDIRECT(CONCATENATE("csv!C",$Q17))</f>
        <v>1</v>
      </c>
      <c r="O17" s="22" cm="1">
        <f t="array" aca="1" ref="O17" ca="1">INDIRECT(CONCATENATE("csv!D",$Q17))</f>
        <v>1000</v>
      </c>
      <c r="P17" s="30">
        <f ca="1">AVERAGE(INDIRECT(CONCATENATE("csv!H",$Q17)):INDIRECT(CONCATENATE("csv!H",($Q17)+4)))</f>
        <v>57063.42</v>
      </c>
      <c r="Q17" s="25">
        <f t="shared" si="2"/>
        <v>377</v>
      </c>
      <c r="S17" s="27" t="str" cm="1">
        <f t="array" aca="1" ref="S17" ca="1">INDIRECT(CONCATENATE("csv!A",$W17))</f>
        <v>SPVA_CERTMON</v>
      </c>
      <c r="T17" s="31" cm="1">
        <f t="array" aca="1" ref="T17" ca="1">INDIRECT(CONCATENATE("csv!C",$W17))</f>
        <v>1</v>
      </c>
      <c r="U17" s="22" cm="1">
        <f t="array" aca="1" ref="U17" ca="1">INDIRECT(CONCATENATE("csv!D",$W17))</f>
        <v>1000</v>
      </c>
      <c r="V17" s="30" cm="1">
        <f t="array" aca="1" ref="V17" ca="1">INDIRECT(CONCATENATE("csv!H",$W17))</f>
        <v>60246.3</v>
      </c>
      <c r="W17" s="25">
        <f t="shared" si="3"/>
        <v>527</v>
      </c>
    </row>
    <row r="18" spans="1:23">
      <c r="A18" s="26" t="str" cm="1">
        <f t="array" aca="1" ref="A18" ca="1">INDIRECT(CONCATENATE("csv!A",$E18))</f>
        <v>CA</v>
      </c>
      <c r="B18" s="32" cm="1">
        <f t="array" aca="1" ref="B18" ca="1">INDIRECT(CONCATENATE("csv!C",$E18))</f>
        <v>10</v>
      </c>
      <c r="C18" s="21" cm="1">
        <f t="array" aca="1" ref="C18" ca="1">INDIRECT(CONCATENATE("csv!D",$E18))</f>
        <v>1000</v>
      </c>
      <c r="D18" s="29">
        <f ca="1">AVERAGE(INDIRECT(CONCATENATE("csv!H",$E18)):INDIRECT(CONCATENATE("csv!H",($E18)+4)))</f>
        <v>22549.08</v>
      </c>
      <c r="E18" s="24">
        <f t="shared" si="0"/>
        <v>82</v>
      </c>
      <c r="G18" s="26" t="str" cm="1">
        <f t="array" aca="1" ref="G18" ca="1">INDIRECT(CONCATENATE("csv!A",$K18))</f>
        <v>PVA</v>
      </c>
      <c r="H18" s="32" cm="1">
        <f t="array" aca="1" ref="H18" ca="1">INDIRECT(CONCATENATE("csv!C",$K18))</f>
        <v>10</v>
      </c>
      <c r="I18" s="21" cm="1">
        <f t="array" aca="1" ref="I18" ca="1">INDIRECT(CONCATENATE("csv!D",$K18))</f>
        <v>1000</v>
      </c>
      <c r="J18" s="29">
        <f ca="1">AVERAGE(INDIRECT(CONCATENATE("csv!H",$K18)):INDIRECT(CONCATENATE("csv!H",($K18)+4)))</f>
        <v>9715.4079999999994</v>
      </c>
      <c r="K18" s="24">
        <f t="shared" si="1"/>
        <v>232</v>
      </c>
      <c r="M18" s="26" t="str" cm="1">
        <f t="array" aca="1" ref="M18" ca="1">INDIRECT(CONCATENATE("csv!A",$Q18))</f>
        <v>SPVA</v>
      </c>
      <c r="N18" s="32" cm="1">
        <f t="array" aca="1" ref="N18" ca="1">INDIRECT(CONCATENATE("csv!C",$Q18))</f>
        <v>10</v>
      </c>
      <c r="O18" s="21" cm="1">
        <f t="array" aca="1" ref="O18" ca="1">INDIRECT(CONCATENATE("csv!D",$Q18))</f>
        <v>1000</v>
      </c>
      <c r="P18" s="29">
        <f ca="1">AVERAGE(INDIRECT(CONCATENATE("csv!H",$Q18)):INDIRECT(CONCATENATE("csv!H",($Q18)+4)))</f>
        <v>3874.0080000000003</v>
      </c>
      <c r="Q18" s="24">
        <f t="shared" si="2"/>
        <v>382</v>
      </c>
      <c r="S18" s="26" t="str" cm="1">
        <f t="array" aca="1" ref="S18" ca="1">INDIRECT(CONCATENATE("csv!A",$W18))</f>
        <v>SPVA_CERTMON</v>
      </c>
      <c r="T18" s="32" cm="1">
        <f t="array" aca="1" ref="T18" ca="1">INDIRECT(CONCATENATE("csv!C",$W18))</f>
        <v>10</v>
      </c>
      <c r="U18" s="21" cm="1">
        <f t="array" aca="1" ref="U18" ca="1">INDIRECT(CONCATENATE("csv!D",$W18))</f>
        <v>1000</v>
      </c>
      <c r="V18" s="29" cm="1">
        <f t="array" aca="1" ref="V18" ca="1">INDIRECT(CONCATENATE("csv!H",$W18))</f>
        <v>3943.21</v>
      </c>
      <c r="W18" s="24">
        <f t="shared" si="3"/>
        <v>532</v>
      </c>
    </row>
    <row r="19" spans="1:23">
      <c r="A19" s="27" t="str" cm="1">
        <f t="array" aca="1" ref="A19" ca="1">INDIRECT(CONCATENATE("csv!A",$E19))</f>
        <v>CA</v>
      </c>
      <c r="B19" s="31" cm="1">
        <f t="array" aca="1" ref="B19" ca="1">INDIRECT(CONCATENATE("csv!C",$E19))</f>
        <v>100</v>
      </c>
      <c r="C19" s="22" cm="1">
        <f t="array" aca="1" ref="C19" ca="1">INDIRECT(CONCATENATE("csv!D",$E19))</f>
        <v>1000</v>
      </c>
      <c r="D19" s="30">
        <f ca="1">AVERAGE(INDIRECT(CONCATENATE("csv!H",$E19)):INDIRECT(CONCATENATE("csv!H",($E19)+4)))</f>
        <v>205.46599999999998</v>
      </c>
      <c r="E19" s="25">
        <f t="shared" si="0"/>
        <v>87</v>
      </c>
      <c r="G19" s="27" t="str" cm="1">
        <f t="array" aca="1" ref="G19" ca="1">INDIRECT(CONCATENATE("csv!A",$K19))</f>
        <v>PVA</v>
      </c>
      <c r="H19" s="31" cm="1">
        <f t="array" aca="1" ref="H19" ca="1">INDIRECT(CONCATENATE("csv!C",$K19))</f>
        <v>100</v>
      </c>
      <c r="I19" s="22" cm="1">
        <f t="array" aca="1" ref="I19" ca="1">INDIRECT(CONCATENATE("csv!D",$K19))</f>
        <v>1000</v>
      </c>
      <c r="J19" s="30">
        <f ca="1">AVERAGE(INDIRECT(CONCATENATE("csv!H",$K19)):INDIRECT(CONCATENATE("csv!H",($K19)+4)))</f>
        <v>909.7342000000001</v>
      </c>
      <c r="K19" s="25">
        <f t="shared" si="1"/>
        <v>237</v>
      </c>
      <c r="M19" s="27" t="str" cm="1">
        <f t="array" aca="1" ref="M19" ca="1">INDIRECT(CONCATENATE("csv!A",$Q19))</f>
        <v>SPVA</v>
      </c>
      <c r="N19" s="31" cm="1">
        <f t="array" aca="1" ref="N19" ca="1">INDIRECT(CONCATENATE("csv!C",$Q19))</f>
        <v>100</v>
      </c>
      <c r="O19" s="22" cm="1">
        <f t="array" aca="1" ref="O19" ca="1">INDIRECT(CONCATENATE("csv!D",$Q19))</f>
        <v>1000</v>
      </c>
      <c r="P19" s="30">
        <f ca="1">AVERAGE(INDIRECT(CONCATENATE("csv!H",$Q19)):INDIRECT(CONCATENATE("csv!H",($Q19)+4)))</f>
        <v>451.53099999999995</v>
      </c>
      <c r="Q19" s="25">
        <f t="shared" si="2"/>
        <v>387</v>
      </c>
      <c r="S19" s="27" t="str" cm="1">
        <f t="array" aca="1" ref="S19" ca="1">INDIRECT(CONCATENATE("csv!A",$W19))</f>
        <v>SPVA_CERTMON</v>
      </c>
      <c r="T19" s="31" cm="1">
        <f t="array" aca="1" ref="T19" ca="1">INDIRECT(CONCATENATE("csv!C",$W19))</f>
        <v>100</v>
      </c>
      <c r="U19" s="22" cm="1">
        <f t="array" aca="1" ref="U19" ca="1">INDIRECT(CONCATENATE("csv!D",$W19))</f>
        <v>1000</v>
      </c>
      <c r="V19" s="30" cm="1">
        <f t="array" aca="1" ref="V19" ca="1">INDIRECT(CONCATENATE("csv!H",$W19))</f>
        <v>432.25900000000001</v>
      </c>
      <c r="W19" s="25">
        <f t="shared" si="3"/>
        <v>537</v>
      </c>
    </row>
    <row r="20" spans="1:23">
      <c r="A20" s="26" t="str" cm="1">
        <f t="array" aca="1" ref="A20" ca="1">INDIRECT(CONCATENATE("csv!A",$E20))</f>
        <v>CA</v>
      </c>
      <c r="B20" s="32" cm="1">
        <f t="array" aca="1" ref="B20" ca="1">INDIRECT(CONCATENATE("csv!C",$E20))</f>
        <v>500</v>
      </c>
      <c r="C20" s="21" cm="1">
        <f t="array" aca="1" ref="C20" ca="1">INDIRECT(CONCATENATE("csv!D",$E20))</f>
        <v>1000</v>
      </c>
      <c r="D20" s="29">
        <f ca="1">AVERAGE(INDIRECT(CONCATENATE("csv!H",$E20)):INDIRECT(CONCATENATE("csv!H",($E20)+4)))</f>
        <v>130.7852</v>
      </c>
      <c r="E20" s="24">
        <f t="shared" si="0"/>
        <v>92</v>
      </c>
      <c r="G20" s="26" t="str" cm="1">
        <f t="array" aca="1" ref="G20" ca="1">INDIRECT(CONCATENATE("csv!A",$K20))</f>
        <v>PVA</v>
      </c>
      <c r="H20" s="32" cm="1">
        <f t="array" aca="1" ref="H20" ca="1">INDIRECT(CONCATENATE("csv!C",$K20))</f>
        <v>500</v>
      </c>
      <c r="I20" s="21" cm="1">
        <f t="array" aca="1" ref="I20" ca="1">INDIRECT(CONCATENATE("csv!D",$K20))</f>
        <v>1000</v>
      </c>
      <c r="J20" s="29">
        <f ca="1">AVERAGE(INDIRECT(CONCATENATE("csv!H",$K20)):INDIRECT(CONCATENATE("csv!H",($K20)+4)))</f>
        <v>220.05540000000002</v>
      </c>
      <c r="K20" s="24">
        <f t="shared" si="1"/>
        <v>242</v>
      </c>
      <c r="M20" s="26" t="str" cm="1">
        <f t="array" aca="1" ref="M20" ca="1">INDIRECT(CONCATENATE("csv!A",$Q20))</f>
        <v>SPVA</v>
      </c>
      <c r="N20" s="32" cm="1">
        <f t="array" aca="1" ref="N20" ca="1">INDIRECT(CONCATENATE("csv!C",$Q20))</f>
        <v>500</v>
      </c>
      <c r="O20" s="21" cm="1">
        <f t="array" aca="1" ref="O20" ca="1">INDIRECT(CONCATENATE("csv!D",$Q20))</f>
        <v>1000</v>
      </c>
      <c r="P20" s="29">
        <f ca="1">AVERAGE(INDIRECT(CONCATENATE("csv!H",$Q20)):INDIRECT(CONCATENATE("csv!H",($Q20)+4)))</f>
        <v>105.04819999999999</v>
      </c>
      <c r="Q20" s="24">
        <f t="shared" si="2"/>
        <v>392</v>
      </c>
      <c r="S20" s="26" t="str" cm="1">
        <f t="array" aca="1" ref="S20" ca="1">INDIRECT(CONCATENATE("csv!A",$W20))</f>
        <v>SPVA_CERTMON</v>
      </c>
      <c r="T20" s="32" cm="1">
        <f t="array" aca="1" ref="T20" ca="1">INDIRECT(CONCATENATE("csv!C",$W20))</f>
        <v>500</v>
      </c>
      <c r="U20" s="21" cm="1">
        <f t="array" aca="1" ref="U20" ca="1">INDIRECT(CONCATENATE("csv!D",$W20))</f>
        <v>1000</v>
      </c>
      <c r="V20" s="29" cm="1">
        <f t="array" aca="1" ref="V20" ca="1">INDIRECT(CONCATENATE("csv!H",$W20))</f>
        <v>103.11</v>
      </c>
      <c r="W20" s="24">
        <f t="shared" si="3"/>
        <v>542</v>
      </c>
    </row>
    <row r="21" spans="1:23">
      <c r="A21" s="27" t="str" cm="1">
        <f t="array" aca="1" ref="A21" ca="1">INDIRECT(CONCATENATE("csv!A",$E21))</f>
        <v>CA</v>
      </c>
      <c r="B21" s="31" cm="1">
        <f t="array" aca="1" ref="B21" ca="1">INDIRECT(CONCATENATE("csv!C",$E21))</f>
        <v>1000</v>
      </c>
      <c r="C21" s="22" cm="1">
        <f t="array" aca="1" ref="C21" ca="1">INDIRECT(CONCATENATE("csv!D",$E21))</f>
        <v>1000</v>
      </c>
      <c r="D21" s="30">
        <f ca="1">AVERAGE(INDIRECT(CONCATENATE("csv!H",$E21)):INDIRECT(CONCATENATE("csv!H",($E21)+4)))</f>
        <v>55.10260000000001</v>
      </c>
      <c r="E21" s="25">
        <f t="shared" si="0"/>
        <v>97</v>
      </c>
      <c r="G21" s="27" t="str" cm="1">
        <f t="array" aca="1" ref="G21" ca="1">INDIRECT(CONCATENATE("csv!A",$K21))</f>
        <v>PVA</v>
      </c>
      <c r="H21" s="31" cm="1">
        <f t="array" aca="1" ref="H21" ca="1">INDIRECT(CONCATENATE("csv!C",$K21))</f>
        <v>1000</v>
      </c>
      <c r="I21" s="22" cm="1">
        <f t="array" aca="1" ref="I21" ca="1">INDIRECT(CONCATENATE("csv!D",$K21))</f>
        <v>1000</v>
      </c>
      <c r="J21" s="30">
        <f ca="1">AVERAGE(INDIRECT(CONCATENATE("csv!H",$K21)):INDIRECT(CONCATENATE("csv!H",($K21)+4)))</f>
        <v>67.008359999999996</v>
      </c>
      <c r="K21" s="25">
        <f t="shared" si="1"/>
        <v>247</v>
      </c>
      <c r="M21" s="27" t="str" cm="1">
        <f t="array" aca="1" ref="M21" ca="1">INDIRECT(CONCATENATE("csv!A",$Q21))</f>
        <v>SPVA</v>
      </c>
      <c r="N21" s="31" cm="1">
        <f t="array" aca="1" ref="N21" ca="1">INDIRECT(CONCATENATE("csv!C",$Q21))</f>
        <v>1000</v>
      </c>
      <c r="O21" s="22" cm="1">
        <f t="array" aca="1" ref="O21" ca="1">INDIRECT(CONCATENATE("csv!D",$Q21))</f>
        <v>1000</v>
      </c>
      <c r="P21" s="30">
        <f ca="1">AVERAGE(INDIRECT(CONCATENATE("csv!H",$Q21)):INDIRECT(CONCATENATE("csv!H",($Q21)+4)))</f>
        <v>52.841740000000001</v>
      </c>
      <c r="Q21" s="25">
        <f t="shared" si="2"/>
        <v>397</v>
      </c>
      <c r="S21" s="27" t="str" cm="1">
        <f t="array" aca="1" ref="S21" ca="1">INDIRECT(CONCATENATE("csv!A",$W21))</f>
        <v>SPVA_CERTMON</v>
      </c>
      <c r="T21" s="31" cm="1">
        <f t="array" aca="1" ref="T21" ca="1">INDIRECT(CONCATENATE("csv!C",$W21))</f>
        <v>1000</v>
      </c>
      <c r="U21" s="22" cm="1">
        <f t="array" aca="1" ref="U21" ca="1">INDIRECT(CONCATENATE("csv!D",$W21))</f>
        <v>1000</v>
      </c>
      <c r="V21" s="30" cm="1">
        <f t="array" aca="1" ref="V21" ca="1">INDIRECT(CONCATENATE("csv!H",$W21))</f>
        <v>53.812399999999997</v>
      </c>
      <c r="W21" s="25">
        <f t="shared" si="3"/>
        <v>547</v>
      </c>
    </row>
    <row r="22" spans="1:23">
      <c r="A22" s="26" t="str" cm="1">
        <f t="array" aca="1" ref="A22" ca="1">INDIRECT(CONCATENATE("csv!A",$E22))</f>
        <v>CA</v>
      </c>
      <c r="B22" s="32" cm="1">
        <f t="array" aca="1" ref="B22" ca="1">INDIRECT(CONCATENATE("csv!C",$E22))</f>
        <v>1</v>
      </c>
      <c r="C22" s="21" cm="1">
        <f t="array" aca="1" ref="C22" ca="1">INDIRECT(CONCATENATE("csv!D",$E22))</f>
        <v>10000</v>
      </c>
      <c r="D22" s="29">
        <f ca="1">AVERAGE(INDIRECT(CONCATENATE("csv!H",$E22)):INDIRECT(CONCATENATE("csv!H",($E22)+4)))</f>
        <v>34337.46</v>
      </c>
      <c r="E22" s="24">
        <f t="shared" si="0"/>
        <v>102</v>
      </c>
      <c r="G22" s="26" t="str" cm="1">
        <f t="array" aca="1" ref="G22" ca="1">INDIRECT(CONCATENATE("csv!A",$K22))</f>
        <v>PVA</v>
      </c>
      <c r="H22" s="32" cm="1">
        <f t="array" aca="1" ref="H22" ca="1">INDIRECT(CONCATENATE("csv!C",$K22))</f>
        <v>1</v>
      </c>
      <c r="I22" s="21" cm="1">
        <f t="array" aca="1" ref="I22" ca="1">INDIRECT(CONCATENATE("csv!D",$K22))</f>
        <v>10000</v>
      </c>
      <c r="J22" s="29">
        <f ca="1">AVERAGE(INDIRECT(CONCATENATE("csv!H",$K22)):INDIRECT(CONCATENATE("csv!H",($K22)+4)))</f>
        <v>54317.179999999993</v>
      </c>
      <c r="K22" s="24">
        <f t="shared" si="1"/>
        <v>252</v>
      </c>
      <c r="M22" s="26" t="str" cm="1">
        <f t="array" aca="1" ref="M22" ca="1">INDIRECT(CONCATENATE("csv!A",$Q22))</f>
        <v>SPVA</v>
      </c>
      <c r="N22" s="32" cm="1">
        <f t="array" aca="1" ref="N22" ca="1">INDIRECT(CONCATENATE("csv!C",$Q22))</f>
        <v>1</v>
      </c>
      <c r="O22" s="21" cm="1">
        <f t="array" aca="1" ref="O22" ca="1">INDIRECT(CONCATENATE("csv!D",$Q22))</f>
        <v>10000</v>
      </c>
      <c r="P22" s="29">
        <f ca="1">AVERAGE(INDIRECT(CONCATENATE("csv!H",$Q22)):INDIRECT(CONCATENATE("csv!H",($Q22)+4)))</f>
        <v>26414.359999999997</v>
      </c>
      <c r="Q22" s="24">
        <f t="shared" si="2"/>
        <v>402</v>
      </c>
      <c r="S22" s="26" t="str" cm="1">
        <f t="array" aca="1" ref="S22" ca="1">INDIRECT(CONCATENATE("csv!A",$W22))</f>
        <v>SPVA_CERTMON</v>
      </c>
      <c r="T22" s="32" cm="1">
        <f t="array" aca="1" ref="T22" ca="1">INDIRECT(CONCATENATE("csv!C",$W22))</f>
        <v>1</v>
      </c>
      <c r="U22" s="21" cm="1">
        <f t="array" aca="1" ref="U22" ca="1">INDIRECT(CONCATENATE("csv!D",$W22))</f>
        <v>10000</v>
      </c>
      <c r="V22" s="29" cm="1">
        <f t="array" aca="1" ref="V22" ca="1">INDIRECT(CONCATENATE("csv!H",$W22))</f>
        <v>26553.1</v>
      </c>
      <c r="W22" s="24">
        <f t="shared" si="3"/>
        <v>552</v>
      </c>
    </row>
    <row r="23" spans="1:23">
      <c r="A23" s="27" t="str" cm="1">
        <f t="array" aca="1" ref="A23" ca="1">INDIRECT(CONCATENATE("csv!A",$E23))</f>
        <v>CA</v>
      </c>
      <c r="B23" s="31" cm="1">
        <f t="array" aca="1" ref="B23" ca="1">INDIRECT(CONCATENATE("csv!C",$E23))</f>
        <v>10</v>
      </c>
      <c r="C23" s="22" cm="1">
        <f t="array" aca="1" ref="C23" ca="1">INDIRECT(CONCATENATE("csv!D",$E23))</f>
        <v>10000</v>
      </c>
      <c r="D23" s="30">
        <f ca="1">AVERAGE(INDIRECT(CONCATENATE("csv!H",$E23)):INDIRECT(CONCATENATE("csv!H",($E23)+4)))</f>
        <v>23324.5</v>
      </c>
      <c r="E23" s="25">
        <f t="shared" si="0"/>
        <v>107</v>
      </c>
      <c r="G23" s="27" t="str" cm="1">
        <f t="array" aca="1" ref="G23" ca="1">INDIRECT(CONCATENATE("csv!A",$K23))</f>
        <v>PVA</v>
      </c>
      <c r="H23" s="31" cm="1">
        <f t="array" aca="1" ref="H23" ca="1">INDIRECT(CONCATENATE("csv!C",$K23))</f>
        <v>10</v>
      </c>
      <c r="I23" s="22" cm="1">
        <f t="array" aca="1" ref="I23" ca="1">INDIRECT(CONCATENATE("csv!D",$K23))</f>
        <v>10000</v>
      </c>
      <c r="J23" s="30">
        <f ca="1">AVERAGE(INDIRECT(CONCATENATE("csv!H",$K23)):INDIRECT(CONCATENATE("csv!H",($K23)+4)))</f>
        <v>5467.6720000000005</v>
      </c>
      <c r="K23" s="25">
        <f t="shared" si="1"/>
        <v>257</v>
      </c>
      <c r="M23" s="27" t="str" cm="1">
        <f t="array" aca="1" ref="M23" ca="1">INDIRECT(CONCATENATE("csv!A",$Q23))</f>
        <v>SPVA</v>
      </c>
      <c r="N23" s="31" cm="1">
        <f t="array" aca="1" ref="N23" ca="1">INDIRECT(CONCATENATE("csv!C",$Q23))</f>
        <v>10</v>
      </c>
      <c r="O23" s="22" cm="1">
        <f t="array" aca="1" ref="O23" ca="1">INDIRECT(CONCATENATE("csv!D",$Q23))</f>
        <v>10000</v>
      </c>
      <c r="P23" s="30">
        <f ca="1">AVERAGE(INDIRECT(CONCATENATE("csv!H",$Q23)):INDIRECT(CONCATENATE("csv!H",($Q23)+4)))</f>
        <v>2257.076</v>
      </c>
      <c r="Q23" s="25">
        <f t="shared" si="2"/>
        <v>407</v>
      </c>
      <c r="S23" s="27" t="str" cm="1">
        <f t="array" aca="1" ref="S23" ca="1">INDIRECT(CONCATENATE("csv!A",$W23))</f>
        <v>SPVA_CERTMON</v>
      </c>
      <c r="T23" s="31" cm="1">
        <f t="array" aca="1" ref="T23" ca="1">INDIRECT(CONCATENATE("csv!C",$W23))</f>
        <v>10</v>
      </c>
      <c r="U23" s="22" cm="1">
        <f t="array" aca="1" ref="U23" ca="1">INDIRECT(CONCATENATE("csv!D",$W23))</f>
        <v>10000</v>
      </c>
      <c r="V23" s="30" cm="1">
        <f t="array" aca="1" ref="V23" ca="1">INDIRECT(CONCATENATE("csv!H",$W23))</f>
        <v>2326.52</v>
      </c>
      <c r="W23" s="25">
        <f t="shared" si="3"/>
        <v>557</v>
      </c>
    </row>
    <row r="24" spans="1:23">
      <c r="A24" s="26" t="str" cm="1">
        <f t="array" aca="1" ref="A24" ca="1">INDIRECT(CONCATENATE("csv!A",$E24))</f>
        <v>CA</v>
      </c>
      <c r="B24" s="32" cm="1">
        <f t="array" aca="1" ref="B24" ca="1">INDIRECT(CONCATENATE("csv!C",$E24))</f>
        <v>100</v>
      </c>
      <c r="C24" s="21" cm="1">
        <f t="array" aca="1" ref="C24" ca="1">INDIRECT(CONCATENATE("csv!D",$E24))</f>
        <v>10000</v>
      </c>
      <c r="D24" s="29">
        <f ca="1">AVERAGE(INDIRECT(CONCATENATE("csv!H",$E24)):INDIRECT(CONCATENATE("csv!H",($E24)+4)))</f>
        <v>239.94900000000001</v>
      </c>
      <c r="E24" s="24">
        <f t="shared" si="0"/>
        <v>112</v>
      </c>
      <c r="G24" s="26" t="str" cm="1">
        <f t="array" aca="1" ref="G24" ca="1">INDIRECT(CONCATENATE("csv!A",$K24))</f>
        <v>PVA</v>
      </c>
      <c r="H24" s="32" cm="1">
        <f t="array" aca="1" ref="H24" ca="1">INDIRECT(CONCATENATE("csv!C",$K24))</f>
        <v>100</v>
      </c>
      <c r="I24" s="21" cm="1">
        <f t="array" aca="1" ref="I24" ca="1">INDIRECT(CONCATENATE("csv!D",$K24))</f>
        <v>10000</v>
      </c>
      <c r="J24" s="29">
        <f ca="1">AVERAGE(INDIRECT(CONCATENATE("csv!H",$K24)):INDIRECT(CONCATENATE("csv!H",($K24)+4)))</f>
        <v>483.90620000000001</v>
      </c>
      <c r="K24" s="24">
        <f t="shared" si="1"/>
        <v>262</v>
      </c>
      <c r="M24" s="26" t="str" cm="1">
        <f t="array" aca="1" ref="M24" ca="1">INDIRECT(CONCATENATE("csv!A",$Q24))</f>
        <v>SPVA</v>
      </c>
      <c r="N24" s="32" cm="1">
        <f t="array" aca="1" ref="N24" ca="1">INDIRECT(CONCATENATE("csv!C",$Q24))</f>
        <v>100</v>
      </c>
      <c r="O24" s="21" cm="1">
        <f t="array" aca="1" ref="O24" ca="1">INDIRECT(CONCATENATE("csv!D",$Q24))</f>
        <v>10000</v>
      </c>
      <c r="P24" s="29">
        <f ca="1">AVERAGE(INDIRECT(CONCATENATE("csv!H",$Q24)):INDIRECT(CONCATENATE("csv!H",($Q24)+4)))</f>
        <v>213.30900000000003</v>
      </c>
      <c r="Q24" s="24">
        <f t="shared" si="2"/>
        <v>412</v>
      </c>
      <c r="S24" s="26" t="str" cm="1">
        <f t="array" aca="1" ref="S24" ca="1">INDIRECT(CONCATENATE("csv!A",$W24))</f>
        <v>SPVA_CERTMON</v>
      </c>
      <c r="T24" s="32" cm="1">
        <f t="array" aca="1" ref="T24" ca="1">INDIRECT(CONCATENATE("csv!C",$W24))</f>
        <v>100</v>
      </c>
      <c r="U24" s="21" cm="1">
        <f t="array" aca="1" ref="U24" ca="1">INDIRECT(CONCATENATE("csv!D",$W24))</f>
        <v>10000</v>
      </c>
      <c r="V24" s="29" cm="1">
        <f t="array" aca="1" ref="V24" ca="1">INDIRECT(CONCATENATE("csv!H",$W24))</f>
        <v>210.86</v>
      </c>
      <c r="W24" s="24">
        <f t="shared" si="3"/>
        <v>562</v>
      </c>
    </row>
    <row r="25" spans="1:23">
      <c r="A25" s="27" t="str" cm="1">
        <f t="array" aca="1" ref="A25" ca="1">INDIRECT(CONCATENATE("csv!A",$E25))</f>
        <v>CA</v>
      </c>
      <c r="B25" s="31" cm="1">
        <f t="array" aca="1" ref="B25" ca="1">INDIRECT(CONCATENATE("csv!C",$E25))</f>
        <v>500</v>
      </c>
      <c r="C25" s="22" cm="1">
        <f t="array" aca="1" ref="C25" ca="1">INDIRECT(CONCATENATE("csv!D",$E25))</f>
        <v>10000</v>
      </c>
      <c r="D25" s="30">
        <f ca="1">AVERAGE(INDIRECT(CONCATENATE("csv!H",$E25)):INDIRECT(CONCATENATE("csv!H",($E25)+4)))</f>
        <v>104.63319999999999</v>
      </c>
      <c r="E25" s="25">
        <f t="shared" si="0"/>
        <v>117</v>
      </c>
      <c r="G25" s="27" t="str" cm="1">
        <f t="array" aca="1" ref="G25" ca="1">INDIRECT(CONCATENATE("csv!A",$K25))</f>
        <v>PVA</v>
      </c>
      <c r="H25" s="31" cm="1">
        <f t="array" aca="1" ref="H25" ca="1">INDIRECT(CONCATENATE("csv!C",$K25))</f>
        <v>500</v>
      </c>
      <c r="I25" s="22" cm="1">
        <f t="array" aca="1" ref="I25" ca="1">INDIRECT(CONCATENATE("csv!D",$K25))</f>
        <v>10000</v>
      </c>
      <c r="J25" s="30">
        <f ca="1">AVERAGE(INDIRECT(CONCATENATE("csv!H",$K25)):INDIRECT(CONCATENATE("csv!H",($K25)+4)))</f>
        <v>69.725719999999995</v>
      </c>
      <c r="K25" s="25">
        <f t="shared" si="1"/>
        <v>267</v>
      </c>
      <c r="M25" s="27" t="str" cm="1">
        <f t="array" aca="1" ref="M25" ca="1">INDIRECT(CONCATENATE("csv!A",$Q25))</f>
        <v>SPVA</v>
      </c>
      <c r="N25" s="31" cm="1">
        <f t="array" aca="1" ref="N25" ca="1">INDIRECT(CONCATENATE("csv!C",$Q25))</f>
        <v>500</v>
      </c>
      <c r="O25" s="22" cm="1">
        <f t="array" aca="1" ref="O25" ca="1">INDIRECT(CONCATENATE("csv!D",$Q25))</f>
        <v>10000</v>
      </c>
      <c r="P25" s="30">
        <f ca="1">AVERAGE(INDIRECT(CONCATENATE("csv!H",$Q25)):INDIRECT(CONCATENATE("csv!H",($Q25)+4)))</f>
        <v>45.429999999999993</v>
      </c>
      <c r="Q25" s="25">
        <f t="shared" si="2"/>
        <v>417</v>
      </c>
      <c r="S25" s="27" t="str" cm="1">
        <f t="array" aca="1" ref="S25" ca="1">INDIRECT(CONCATENATE("csv!A",$W25))</f>
        <v>SPVA_CERTMON</v>
      </c>
      <c r="T25" s="31" cm="1">
        <f t="array" aca="1" ref="T25" ca="1">INDIRECT(CONCATENATE("csv!C",$W25))</f>
        <v>500</v>
      </c>
      <c r="U25" s="22" cm="1">
        <f t="array" aca="1" ref="U25" ca="1">INDIRECT(CONCATENATE("csv!D",$W25))</f>
        <v>10000</v>
      </c>
      <c r="V25" s="30" cm="1">
        <f t="array" aca="1" ref="V25" ca="1">INDIRECT(CONCATENATE("csv!H",$W25))</f>
        <v>47.064900000000002</v>
      </c>
      <c r="W25" s="25">
        <f t="shared" si="3"/>
        <v>567</v>
      </c>
    </row>
    <row r="26" spans="1:23">
      <c r="A26" s="26" t="str" cm="1">
        <f t="array" aca="1" ref="A26" ca="1">INDIRECT(CONCATENATE("csv!A",$E26))</f>
        <v>CA</v>
      </c>
      <c r="B26" s="32" cm="1">
        <f t="array" aca="1" ref="B26" ca="1">INDIRECT(CONCATENATE("csv!C",$E26))</f>
        <v>1000</v>
      </c>
      <c r="C26" s="21" cm="1">
        <f t="array" aca="1" ref="C26" ca="1">INDIRECT(CONCATENATE("csv!D",$E26))</f>
        <v>10000</v>
      </c>
      <c r="D26" s="29">
        <f ca="1">AVERAGE(INDIRECT(CONCATENATE("csv!H",$E26)):INDIRECT(CONCATENATE("csv!H",($E26)+4)))</f>
        <v>26.119060000000001</v>
      </c>
      <c r="E26" s="24">
        <f t="shared" si="0"/>
        <v>122</v>
      </c>
      <c r="G26" s="26" t="str" cm="1">
        <f t="array" aca="1" ref="G26" ca="1">INDIRECT(CONCATENATE("csv!A",$K26))</f>
        <v>PVA</v>
      </c>
      <c r="H26" s="32" cm="1">
        <f t="array" aca="1" ref="H26" ca="1">INDIRECT(CONCATENATE("csv!C",$K26))</f>
        <v>1000</v>
      </c>
      <c r="I26" s="21" cm="1">
        <f t="array" aca="1" ref="I26" ca="1">INDIRECT(CONCATENATE("csv!D",$K26))</f>
        <v>10000</v>
      </c>
      <c r="J26" s="29">
        <f ca="1">AVERAGE(INDIRECT(CONCATENATE("csv!H",$K26)):INDIRECT(CONCATENATE("csv!H",($K26)+4)))</f>
        <v>54.524100000000011</v>
      </c>
      <c r="K26" s="24">
        <f t="shared" si="1"/>
        <v>272</v>
      </c>
      <c r="M26" s="26" t="str" cm="1">
        <f t="array" aca="1" ref="M26" ca="1">INDIRECT(CONCATENATE("csv!A",$Q26))</f>
        <v>SPVA</v>
      </c>
      <c r="N26" s="32" cm="1">
        <f t="array" aca="1" ref="N26" ca="1">INDIRECT(CONCATENATE("csv!C",$Q26))</f>
        <v>1000</v>
      </c>
      <c r="O26" s="21" cm="1">
        <f t="array" aca="1" ref="O26" ca="1">INDIRECT(CONCATENATE("csv!D",$Q26))</f>
        <v>10000</v>
      </c>
      <c r="P26" s="29">
        <f ca="1">AVERAGE(INDIRECT(CONCATENATE("csv!H",$Q26)):INDIRECT(CONCATENATE("csv!H",($Q26)+4)))</f>
        <v>24.17876</v>
      </c>
      <c r="Q26" s="24">
        <f t="shared" si="2"/>
        <v>422</v>
      </c>
      <c r="S26" s="26" t="str" cm="1">
        <f t="array" aca="1" ref="S26" ca="1">INDIRECT(CONCATENATE("csv!A",$W26))</f>
        <v>SPVA_CERTMON</v>
      </c>
      <c r="T26" s="32" cm="1">
        <f t="array" aca="1" ref="T26" ca="1">INDIRECT(CONCATENATE("csv!C",$W26))</f>
        <v>1000</v>
      </c>
      <c r="U26" s="21" cm="1">
        <f t="array" aca="1" ref="U26" ca="1">INDIRECT(CONCATENATE("csv!D",$W26))</f>
        <v>10000</v>
      </c>
      <c r="V26" s="29" cm="1">
        <f t="array" aca="1" ref="V26" ca="1">INDIRECT(CONCATENATE("csv!H",$W26))</f>
        <v>24.025400000000001</v>
      </c>
      <c r="W26" s="24">
        <f t="shared" si="3"/>
        <v>572</v>
      </c>
    </row>
    <row r="27" spans="1:23">
      <c r="A27" s="27" t="str" cm="1">
        <f t="array" aca="1" ref="A27" ca="1">INDIRECT(CONCATENATE("csv!A",$E27))</f>
        <v>CA</v>
      </c>
      <c r="B27" s="31" cm="1">
        <f t="array" aca="1" ref="B27" ca="1">INDIRECT(CONCATENATE("csv!C",$E27))</f>
        <v>1</v>
      </c>
      <c r="C27" s="22" cm="1">
        <f t="array" aca="1" ref="C27" ca="1">INDIRECT(CONCATENATE("csv!D",$E27))</f>
        <v>100000</v>
      </c>
      <c r="D27" s="30">
        <f ca="1">AVERAGE(INDIRECT(CONCATENATE("csv!H",$E27)):INDIRECT(CONCATENATE("csv!H",($E27)+4)))</f>
        <v>24491.16</v>
      </c>
      <c r="E27" s="25">
        <f t="shared" si="0"/>
        <v>127</v>
      </c>
      <c r="G27" s="27" t="str" cm="1">
        <f t="array" aca="1" ref="G27" ca="1">INDIRECT(CONCATENATE("csv!A",$K27))</f>
        <v>PVA</v>
      </c>
      <c r="H27" s="31" cm="1">
        <f t="array" aca="1" ref="H27" ca="1">INDIRECT(CONCATENATE("csv!C",$K27))</f>
        <v>1</v>
      </c>
      <c r="I27" s="22" cm="1">
        <f t="array" aca="1" ref="I27" ca="1">INDIRECT(CONCATENATE("csv!D",$K27))</f>
        <v>100000</v>
      </c>
      <c r="J27" s="30">
        <f ca="1">AVERAGE(INDIRECT(CONCATENATE("csv!H",$K27)):INDIRECT(CONCATENATE("csv!H",($K27)+4)))</f>
        <v>14339.560000000001</v>
      </c>
      <c r="K27" s="25">
        <f t="shared" si="1"/>
        <v>277</v>
      </c>
      <c r="M27" s="27" t="str" cm="1">
        <f t="array" aca="1" ref="M27" ca="1">INDIRECT(CONCATENATE("csv!A",$Q27))</f>
        <v>SPVA</v>
      </c>
      <c r="N27" s="31" cm="1">
        <f t="array" aca="1" ref="N27" ca="1">INDIRECT(CONCATENATE("csv!C",$Q27))</f>
        <v>1</v>
      </c>
      <c r="O27" s="22" cm="1">
        <f t="array" aca="1" ref="O27" ca="1">INDIRECT(CONCATENATE("csv!D",$Q27))</f>
        <v>100000</v>
      </c>
      <c r="P27" s="30">
        <f ca="1">AVERAGE(INDIRECT(CONCATENATE("csv!H",$Q27)):INDIRECT(CONCATENATE("csv!H",($Q27)+4)))</f>
        <v>4232.674</v>
      </c>
      <c r="Q27" s="25">
        <f t="shared" si="2"/>
        <v>427</v>
      </c>
      <c r="S27" s="27" t="str" cm="1">
        <f t="array" aca="1" ref="S27" ca="1">INDIRECT(CONCATENATE("csv!A",$W27))</f>
        <v>SPVA_CERTMON</v>
      </c>
      <c r="T27" s="31" cm="1">
        <f t="array" aca="1" ref="T27" ca="1">INDIRECT(CONCATENATE("csv!C",$W27))</f>
        <v>1</v>
      </c>
      <c r="U27" s="22" cm="1">
        <f t="array" aca="1" ref="U27" ca="1">INDIRECT(CONCATENATE("csv!D",$W27))</f>
        <v>100000</v>
      </c>
      <c r="V27" s="30" cm="1">
        <f t="array" aca="1" ref="V27" ca="1">INDIRECT(CONCATENATE("csv!H",$W27))</f>
        <v>4291.4799999999996</v>
      </c>
      <c r="W27" s="25">
        <f t="shared" si="3"/>
        <v>577</v>
      </c>
    </row>
    <row r="28" spans="1:23">
      <c r="A28" s="26" t="str" cm="1">
        <f t="array" aca="1" ref="A28" ca="1">INDIRECT(CONCATENATE("csv!A",$E28))</f>
        <v>CA</v>
      </c>
      <c r="B28" s="32" cm="1">
        <f t="array" aca="1" ref="B28" ca="1">INDIRECT(CONCATENATE("csv!C",$E28))</f>
        <v>10</v>
      </c>
      <c r="C28" s="21" cm="1">
        <f t="array" aca="1" ref="C28" ca="1">INDIRECT(CONCATENATE("csv!D",$E28))</f>
        <v>100000</v>
      </c>
      <c r="D28" s="29">
        <f ca="1">AVERAGE(INDIRECT(CONCATENATE("csv!H",$E28)):INDIRECT(CONCATENATE("csv!H",($E28)+4)))</f>
        <v>14165.320000000002</v>
      </c>
      <c r="E28" s="24">
        <f t="shared" si="0"/>
        <v>132</v>
      </c>
      <c r="G28" s="26" t="str" cm="1">
        <f t="array" aca="1" ref="G28" ca="1">INDIRECT(CONCATENATE("csv!A",$K28))</f>
        <v>PVA</v>
      </c>
      <c r="H28" s="32" cm="1">
        <f t="array" aca="1" ref="H28" ca="1">INDIRECT(CONCATENATE("csv!C",$K28))</f>
        <v>10</v>
      </c>
      <c r="I28" s="21" cm="1">
        <f t="array" aca="1" ref="I28" ca="1">INDIRECT(CONCATENATE("csv!D",$K28))</f>
        <v>100000</v>
      </c>
      <c r="J28" s="29">
        <f ca="1">AVERAGE(INDIRECT(CONCATENATE("csv!H",$K28)):INDIRECT(CONCATENATE("csv!H",($K28)+4)))</f>
        <v>1285.7239999999999</v>
      </c>
      <c r="K28" s="24">
        <f t="shared" si="1"/>
        <v>282</v>
      </c>
      <c r="M28" s="26" t="str" cm="1">
        <f t="array" aca="1" ref="M28" ca="1">INDIRECT(CONCATENATE("csv!A",$Q28))</f>
        <v>SPVA</v>
      </c>
      <c r="N28" s="32" cm="1">
        <f t="array" aca="1" ref="N28" ca="1">INDIRECT(CONCATENATE("csv!C",$Q28))</f>
        <v>10</v>
      </c>
      <c r="O28" s="21" cm="1">
        <f t="array" aca="1" ref="O28" ca="1">INDIRECT(CONCATENATE("csv!D",$Q28))</f>
        <v>100000</v>
      </c>
      <c r="P28" s="29">
        <f ca="1">AVERAGE(INDIRECT(CONCATENATE("csv!H",$Q28)):INDIRECT(CONCATENATE("csv!H",($Q28)+4)))</f>
        <v>388.07560000000001</v>
      </c>
      <c r="Q28" s="24">
        <f t="shared" si="2"/>
        <v>432</v>
      </c>
      <c r="S28" s="26" t="str" cm="1">
        <f t="array" aca="1" ref="S28" ca="1">INDIRECT(CONCATENATE("csv!A",$W28))</f>
        <v>SPVA_CERTMON</v>
      </c>
      <c r="T28" s="32" cm="1">
        <f t="array" aca="1" ref="T28" ca="1">INDIRECT(CONCATENATE("csv!C",$W28))</f>
        <v>10</v>
      </c>
      <c r="U28" s="21" cm="1">
        <f t="array" aca="1" ref="U28" ca="1">INDIRECT(CONCATENATE("csv!D",$W28))</f>
        <v>100000</v>
      </c>
      <c r="V28" s="29" cm="1">
        <f t="array" aca="1" ref="V28" ca="1">INDIRECT(CONCATENATE("csv!H",$W28))</f>
        <v>399.07900000000001</v>
      </c>
      <c r="W28" s="24">
        <f t="shared" si="3"/>
        <v>582</v>
      </c>
    </row>
    <row r="29" spans="1:23">
      <c r="A29" s="27" t="str" cm="1">
        <f t="array" aca="1" ref="A29" ca="1">INDIRECT(CONCATENATE("csv!A",$E29))</f>
        <v>CA</v>
      </c>
      <c r="B29" s="31" cm="1">
        <f t="array" aca="1" ref="B29" ca="1">INDIRECT(CONCATENATE("csv!C",$E29))</f>
        <v>100</v>
      </c>
      <c r="C29" s="22" cm="1">
        <f t="array" aca="1" ref="C29" ca="1">INDIRECT(CONCATENATE("csv!D",$E29))</f>
        <v>100000</v>
      </c>
      <c r="D29" s="30">
        <f ca="1">AVERAGE(INDIRECT(CONCATENATE("csv!H",$E29)):INDIRECT(CONCATENATE("csv!H",($E29)+4)))</f>
        <v>2201.7599999999998</v>
      </c>
      <c r="E29" s="25">
        <f t="shared" si="0"/>
        <v>137</v>
      </c>
      <c r="G29" s="27" t="str" cm="1">
        <f t="array" aca="1" ref="G29" ca="1">INDIRECT(CONCATENATE("csv!A",$K29))</f>
        <v>PVA</v>
      </c>
      <c r="H29" s="31" cm="1">
        <f t="array" aca="1" ref="H29" ca="1">INDIRECT(CONCATENATE("csv!C",$K29))</f>
        <v>100</v>
      </c>
      <c r="I29" s="22" cm="1">
        <f t="array" aca="1" ref="I29" ca="1">INDIRECT(CONCATENATE("csv!D",$K29))</f>
        <v>100000</v>
      </c>
      <c r="J29" s="30">
        <f ca="1">AVERAGE(INDIRECT(CONCATENATE("csv!H",$K29)):INDIRECT(CONCATENATE("csv!H",($K29)+4)))</f>
        <v>125.3862</v>
      </c>
      <c r="K29" s="25">
        <f t="shared" si="1"/>
        <v>287</v>
      </c>
      <c r="M29" s="27" t="str" cm="1">
        <f t="array" aca="1" ref="M29" ca="1">INDIRECT(CONCATENATE("csv!A",$Q29))</f>
        <v>SPVA</v>
      </c>
      <c r="N29" s="31" cm="1">
        <f t="array" aca="1" ref="N29" ca="1">INDIRECT(CONCATENATE("csv!C",$Q29))</f>
        <v>100</v>
      </c>
      <c r="O29" s="22" cm="1">
        <f t="array" aca="1" ref="O29" ca="1">INDIRECT(CONCATENATE("csv!D",$Q29))</f>
        <v>100000</v>
      </c>
      <c r="P29" s="30">
        <f ca="1">AVERAGE(INDIRECT(CONCATENATE("csv!H",$Q29)):INDIRECT(CONCATENATE("csv!H",($Q29)+4)))</f>
        <v>39.421979999999998</v>
      </c>
      <c r="Q29" s="25">
        <f t="shared" si="2"/>
        <v>437</v>
      </c>
      <c r="S29" s="27" t="str" cm="1">
        <f t="array" aca="1" ref="S29" ca="1">INDIRECT(CONCATENATE("csv!A",$W29))</f>
        <v>SPVA_CERTMON</v>
      </c>
      <c r="T29" s="31" cm="1">
        <f t="array" aca="1" ref="T29" ca="1">INDIRECT(CONCATENATE("csv!C",$W29))</f>
        <v>100</v>
      </c>
      <c r="U29" s="22" cm="1">
        <f t="array" aca="1" ref="U29" ca="1">INDIRECT(CONCATENATE("csv!D",$W29))</f>
        <v>100000</v>
      </c>
      <c r="V29" s="30" cm="1">
        <f t="array" aca="1" ref="V29" ca="1">INDIRECT(CONCATENATE("csv!H",$W29))</f>
        <v>39.881900000000002</v>
      </c>
      <c r="W29" s="25">
        <f t="shared" si="3"/>
        <v>587</v>
      </c>
    </row>
    <row r="30" spans="1:23">
      <c r="A30" s="26" t="str" cm="1">
        <f t="array" aca="1" ref="A30" ca="1">INDIRECT(CONCATENATE("csv!A",$E30))</f>
        <v>CA</v>
      </c>
      <c r="B30" s="32" cm="1">
        <f t="array" aca="1" ref="B30" ca="1">INDIRECT(CONCATENATE("csv!C",$E30))</f>
        <v>500</v>
      </c>
      <c r="C30" s="21" cm="1">
        <f t="array" aca="1" ref="C30" ca="1">INDIRECT(CONCATENATE("csv!D",$E30))</f>
        <v>100000</v>
      </c>
      <c r="D30" s="29">
        <f ca="1">AVERAGE(INDIRECT(CONCATENATE("csv!H",$E30)):INDIRECT(CONCATENATE("csv!H",($E30)+4)))</f>
        <v>112.4402</v>
      </c>
      <c r="E30" s="24">
        <f t="shared" si="0"/>
        <v>142</v>
      </c>
      <c r="G30" s="26" t="str" cm="1">
        <f t="array" aca="1" ref="G30" ca="1">INDIRECT(CONCATENATE("csv!A",$K30))</f>
        <v>PVA</v>
      </c>
      <c r="H30" s="32" cm="1">
        <f t="array" aca="1" ref="H30" ca="1">INDIRECT(CONCATENATE("csv!C",$K30))</f>
        <v>500</v>
      </c>
      <c r="I30" s="21" cm="1">
        <f t="array" aca="1" ref="I30" ca="1">INDIRECT(CONCATENATE("csv!D",$K30))</f>
        <v>100000</v>
      </c>
      <c r="J30" s="29">
        <f ca="1">AVERAGE(INDIRECT(CONCATENATE("csv!H",$K30)):INDIRECT(CONCATENATE("csv!H",($K30)+4)))</f>
        <v>27.060660000000002</v>
      </c>
      <c r="K30" s="24">
        <f t="shared" si="1"/>
        <v>292</v>
      </c>
      <c r="M30" s="26" t="str" cm="1">
        <f t="array" aca="1" ref="M30" ca="1">INDIRECT(CONCATENATE("csv!A",$Q30))</f>
        <v>SPVA</v>
      </c>
      <c r="N30" s="32" cm="1">
        <f t="array" aca="1" ref="N30" ca="1">INDIRECT(CONCATENATE("csv!C",$Q30))</f>
        <v>500</v>
      </c>
      <c r="O30" s="21" cm="1">
        <f t="array" aca="1" ref="O30" ca="1">INDIRECT(CONCATENATE("csv!D",$Q30))</f>
        <v>100000</v>
      </c>
      <c r="P30" s="29">
        <f ca="1">AVERAGE(INDIRECT(CONCATENATE("csv!H",$Q30)):INDIRECT(CONCATENATE("csv!H",($Q30)+4)))</f>
        <v>7.4510160000000001</v>
      </c>
      <c r="Q30" s="24">
        <f t="shared" si="2"/>
        <v>442</v>
      </c>
      <c r="S30" s="26" t="str" cm="1">
        <f t="array" aca="1" ref="S30" ca="1">INDIRECT(CONCATENATE("csv!A",$W30))</f>
        <v>SPVA_CERTMON</v>
      </c>
      <c r="T30" s="32" cm="1">
        <f t="array" aca="1" ref="T30" ca="1">INDIRECT(CONCATENATE("csv!C",$W30))</f>
        <v>500</v>
      </c>
      <c r="U30" s="21" cm="1">
        <f t="array" aca="1" ref="U30" ca="1">INDIRECT(CONCATENATE("csv!D",$W30))</f>
        <v>100000</v>
      </c>
      <c r="V30" s="29" cm="1">
        <f t="array" aca="1" ref="V30" ca="1">INDIRECT(CONCATENATE("csv!H",$W30))</f>
        <v>7.37582</v>
      </c>
      <c r="W30" s="24">
        <f t="shared" si="3"/>
        <v>592</v>
      </c>
    </row>
    <row r="31" spans="1:23">
      <c r="A31" s="27" t="str" cm="1">
        <f t="array" aca="1" ref="A31" ca="1">INDIRECT(CONCATENATE("csv!A",$E31))</f>
        <v>CA</v>
      </c>
      <c r="B31" s="31" cm="1">
        <f t="array" aca="1" ref="B31" ca="1">INDIRECT(CONCATENATE("csv!C",$E31))</f>
        <v>1000</v>
      </c>
      <c r="C31" s="22" cm="1">
        <f t="array" aca="1" ref="C31" ca="1">INDIRECT(CONCATENATE("csv!D",$E31))</f>
        <v>100000</v>
      </c>
      <c r="D31" s="30">
        <f ca="1">AVERAGE(INDIRECT(CONCATENATE("csv!H",$E31)):INDIRECT(CONCATENATE("csv!H",($E31)+4)))</f>
        <v>11.354419999999999</v>
      </c>
      <c r="E31" s="25">
        <f t="shared" si="0"/>
        <v>147</v>
      </c>
      <c r="G31" s="27" t="str" cm="1">
        <f t="array" aca="1" ref="G31" ca="1">INDIRECT(CONCATENATE("csv!A",$K31))</f>
        <v>PVA</v>
      </c>
      <c r="H31" s="31" cm="1">
        <f t="array" aca="1" ref="H31" ca="1">INDIRECT(CONCATENATE("csv!C",$K31))</f>
        <v>1000</v>
      </c>
      <c r="I31" s="22" cm="1">
        <f t="array" aca="1" ref="I31" ca="1">INDIRECT(CONCATENATE("csv!D",$K31))</f>
        <v>100000</v>
      </c>
      <c r="J31" s="30">
        <f ca="1">AVERAGE(INDIRECT(CONCATENATE("csv!H",$K31)):INDIRECT(CONCATENATE("csv!H",($K31)+4)))</f>
        <v>13.769439999999999</v>
      </c>
      <c r="K31" s="25">
        <f t="shared" si="1"/>
        <v>297</v>
      </c>
      <c r="M31" s="27" t="str" cm="1">
        <f t="array" aca="1" ref="M31" ca="1">INDIRECT(CONCATENATE("csv!A",$Q31))</f>
        <v>SPVA</v>
      </c>
      <c r="N31" s="31" cm="1">
        <f t="array" aca="1" ref="N31" ca="1">INDIRECT(CONCATENATE("csv!C",$Q31))</f>
        <v>1000</v>
      </c>
      <c r="O31" s="22" cm="1">
        <f t="array" aca="1" ref="O31" ca="1">INDIRECT(CONCATENATE("csv!D",$Q31))</f>
        <v>100000</v>
      </c>
      <c r="P31" s="30">
        <f ca="1">AVERAGE(INDIRECT(CONCATENATE("csv!H",$Q31)):INDIRECT(CONCATENATE("csv!H",($Q31)+4)))</f>
        <v>3.732224</v>
      </c>
      <c r="Q31" s="25">
        <f t="shared" si="2"/>
        <v>447</v>
      </c>
      <c r="S31" s="27" t="str" cm="1">
        <f t="array" aca="1" ref="S31" ca="1">INDIRECT(CONCATENATE("csv!A",$W31))</f>
        <v>SPVA_CERTMON</v>
      </c>
      <c r="T31" s="31" cm="1">
        <f t="array" aca="1" ref="T31" ca="1">INDIRECT(CONCATENATE("csv!C",$W31))</f>
        <v>1000</v>
      </c>
      <c r="U31" s="22" cm="1">
        <f t="array" aca="1" ref="U31" ca="1">INDIRECT(CONCATENATE("csv!D",$W31))</f>
        <v>100000</v>
      </c>
      <c r="V31" s="30" cm="1">
        <f t="array" aca="1" ref="V31" ca="1">INDIRECT(CONCATENATE("csv!H",$W31))</f>
        <v>3.7969900000000001</v>
      </c>
      <c r="W31" s="25">
        <f t="shared" si="3"/>
        <v>597</v>
      </c>
    </row>
  </sheetData>
  <sheetProtection sheet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8323-F7A8-1F43-8140-BB87DC3B9ED7}">
  <dimension ref="A1:J121"/>
  <sheetViews>
    <sheetView workbookViewId="0">
      <selection activeCell="K57" sqref="K57"/>
    </sheetView>
  </sheetViews>
  <sheetFormatPr baseColWidth="10" defaultRowHeight="16"/>
  <cols>
    <col min="1" max="1" width="15" bestFit="1" customWidth="1"/>
    <col min="3" max="3" width="11.5" bestFit="1" customWidth="1"/>
    <col min="4" max="4" width="11" bestFit="1" customWidth="1"/>
    <col min="5" max="5" width="11.5" bestFit="1" customWidth="1"/>
    <col min="6" max="6" width="9.5" bestFit="1" customWidth="1"/>
    <col min="7" max="8" width="11.5" bestFit="1" customWidth="1"/>
    <col min="9" max="9" width="12.6640625" customWidth="1"/>
    <col min="10" max="10" width="0" hidden="1" customWidth="1"/>
  </cols>
  <sheetData>
    <row r="1" spans="1:10">
      <c r="A1" s="33" t="s">
        <v>30</v>
      </c>
      <c r="B1" s="33" t="s">
        <v>85</v>
      </c>
      <c r="C1" s="33" t="s">
        <v>13</v>
      </c>
      <c r="D1" s="33" t="s">
        <v>86</v>
      </c>
      <c r="E1" s="33" t="s">
        <v>87</v>
      </c>
      <c r="F1" s="33" t="s">
        <v>88</v>
      </c>
      <c r="G1" s="33" t="s">
        <v>89</v>
      </c>
      <c r="H1" s="33" t="s">
        <v>90</v>
      </c>
      <c r="I1" s="33" t="s">
        <v>91</v>
      </c>
    </row>
    <row r="2" spans="1:10">
      <c r="A2" t="str" cm="1">
        <f t="array" aca="1" ref="A2" ca="1">INDIRECT(CONCATENATE("csv!A",$J2))</f>
        <v>CA</v>
      </c>
      <c r="B2" t="str" cm="1">
        <f t="array" aca="1" ref="B2" ca="1">INDIRECT(CONCATENATE("csv!E",$J2))</f>
        <v>loopback</v>
      </c>
      <c r="C2" s="3" cm="1">
        <f t="array" aca="1" ref="C2" ca="1">INDIRECT(CONCATENATE("csv!D",$J2))</f>
        <v>1</v>
      </c>
      <c r="D2" s="3" cm="1">
        <f t="array" aca="1" ref="D2" ca="1">INDIRECT(CONCATENATE("csv!C",$J2))</f>
        <v>1</v>
      </c>
      <c r="E2" s="2">
        <f ca="1">AVERAGE(INDIRECT(CONCATENATE("csv!H",$J2)):INDIRECT(CONCATENATE("csv!H",($J2)+4)))</f>
        <v>37368.620000000003</v>
      </c>
      <c r="F2" s="2">
        <f ca="1">STDEV(INDIRECT(CONCATENATE("csv!H",$J2)):INDIRECT(CONCATENATE("csv!H",($J2)+4)))</f>
        <v>5258.462501720438</v>
      </c>
      <c r="G2" s="2">
        <f ca="1">MIN(INDIRECT(CONCATENATE("csv!H",$J2)):INDIRECT(CONCATENATE("csv!H",($J2)+4)))</f>
        <v>31468.6</v>
      </c>
      <c r="H2" s="2">
        <f ca="1">MAX(INDIRECT(CONCATENATE("csv!H",$J2)):INDIRECT(CONCATENATE("csv!H",($J2)+4)))</f>
        <v>42766.400000000001</v>
      </c>
      <c r="I2" s="3">
        <f ca="1">SUM(INDIRECT(CONCATENATE("csv!J",$J2)):INDIRECT(CONCATENATE("csv!J",($J2)+4)))</f>
        <v>59642152</v>
      </c>
      <c r="J2">
        <v>2</v>
      </c>
    </row>
    <row r="3" spans="1:10">
      <c r="A3" t="str" cm="1">
        <f t="array" aca="1" ref="A3" ca="1">INDIRECT(CONCATENATE("csv!A",$J3))</f>
        <v>CA</v>
      </c>
      <c r="B3" t="str" cm="1">
        <f t="array" aca="1" ref="B3" ca="1">INDIRECT(CONCATENATE("csv!E",$J3))</f>
        <v>loopback</v>
      </c>
      <c r="C3" s="3" cm="1">
        <f t="array" aca="1" ref="C3" ca="1">INDIRECT(CONCATENATE("csv!D",$J3))</f>
        <v>1</v>
      </c>
      <c r="D3" s="3" cm="1">
        <f t="array" aca="1" ref="D3" ca="1">INDIRECT(CONCATENATE("csv!C",$J3))</f>
        <v>10</v>
      </c>
      <c r="E3" s="2">
        <f ca="1">AVERAGE(INDIRECT(CONCATENATE("csv!H",$J3)):INDIRECT(CONCATENATE("csv!H",($J3)+4)))</f>
        <v>10985.221999999998</v>
      </c>
      <c r="F3" s="2">
        <f ca="1">STDEV(INDIRECT(CONCATENATE("csv!H",$J3)):INDIRECT(CONCATENATE("csv!H",($J3)+4)))</f>
        <v>1021.4464263582307</v>
      </c>
      <c r="G3" s="2">
        <f ca="1">MIN(INDIRECT(CONCATENATE("csv!H",$J3)):INDIRECT(CONCATENATE("csv!H",($J3)+4)))</f>
        <v>9249.2099999999991</v>
      </c>
      <c r="H3" s="2">
        <f ca="1">MAX(INDIRECT(CONCATENATE("csv!H",$J3)):INDIRECT(CONCATENATE("csv!H",($J3)+4)))</f>
        <v>11682.8</v>
      </c>
      <c r="I3" s="3">
        <f ca="1">SUM(INDIRECT(CONCATENATE("csv!J",$J3)):INDIRECT(CONCATENATE("csv!J",($J3)+4)))</f>
        <v>195723374</v>
      </c>
      <c r="J3">
        <f>J2+5</f>
        <v>7</v>
      </c>
    </row>
    <row r="4" spans="1:10">
      <c r="A4" t="str" cm="1">
        <f t="array" aca="1" ref="A4" ca="1">INDIRECT(CONCATENATE("csv!A",$J4))</f>
        <v>CA</v>
      </c>
      <c r="B4" t="str" cm="1">
        <f t="array" aca="1" ref="B4" ca="1">INDIRECT(CONCATENATE("csv!E",$J4))</f>
        <v>loopback</v>
      </c>
      <c r="C4" s="3" cm="1">
        <f t="array" aca="1" ref="C4" ca="1">INDIRECT(CONCATENATE("csv!D",$J4))</f>
        <v>1</v>
      </c>
      <c r="D4" s="3" cm="1">
        <f t="array" aca="1" ref="D4" ca="1">INDIRECT(CONCATENATE("csv!C",$J4))</f>
        <v>100</v>
      </c>
      <c r="E4" s="2">
        <f ca="1">AVERAGE(INDIRECT(CONCATENATE("csv!H",$J4)):INDIRECT(CONCATENATE("csv!H",($J4)+4)))</f>
        <v>217.68959999999998</v>
      </c>
      <c r="F4" s="2">
        <f ca="1">STDEV(INDIRECT(CONCATENATE("csv!H",$J4)):INDIRECT(CONCATENATE("csv!H",($J4)+4)))</f>
        <v>16.553212053858303</v>
      </c>
      <c r="G4" s="2">
        <f ca="1">MIN(INDIRECT(CONCATENATE("csv!H",$J4)):INDIRECT(CONCATENATE("csv!H",($J4)+4)))</f>
        <v>201.02</v>
      </c>
      <c r="H4" s="2">
        <f ca="1">MAX(INDIRECT(CONCATENATE("csv!H",$J4)):INDIRECT(CONCATENATE("csv!H",($J4)+4)))</f>
        <v>241.95599999999999</v>
      </c>
      <c r="I4" s="3">
        <f ca="1">SUM(INDIRECT(CONCATENATE("csv!J",$J4)):INDIRECT(CONCATENATE("csv!J",($J4)+4)))</f>
        <v>363346787</v>
      </c>
      <c r="J4">
        <f t="shared" ref="J4:J67" si="0">J3+5</f>
        <v>12</v>
      </c>
    </row>
    <row r="5" spans="1:10">
      <c r="A5" t="str" cm="1">
        <f t="array" aca="1" ref="A5" ca="1">INDIRECT(CONCATENATE("csv!A",$J5))</f>
        <v>CA</v>
      </c>
      <c r="B5" t="str" cm="1">
        <f t="array" aca="1" ref="B5" ca="1">INDIRECT(CONCATENATE("csv!E",$J5))</f>
        <v>loopback</v>
      </c>
      <c r="C5" s="3" cm="1">
        <f t="array" aca="1" ref="C5" ca="1">INDIRECT(CONCATENATE("csv!D",$J5))</f>
        <v>1</v>
      </c>
      <c r="D5" s="3" cm="1">
        <f t="array" aca="1" ref="D5" ca="1">INDIRECT(CONCATENATE("csv!C",$J5))</f>
        <v>500</v>
      </c>
      <c r="E5" s="2">
        <f ca="1">AVERAGE(INDIRECT(CONCATENATE("csv!H",$J5)):INDIRECT(CONCATENATE("csv!H",($J5)+4)))</f>
        <v>130.57679999999999</v>
      </c>
      <c r="F5" s="2">
        <f ca="1">STDEV(INDIRECT(CONCATENATE("csv!H",$J5)):INDIRECT(CONCATENATE("csv!H",($J5)+4)))</f>
        <v>3.270809334094547</v>
      </c>
      <c r="G5" s="2">
        <f ca="1">MIN(INDIRECT(CONCATENATE("csv!H",$J5)):INDIRECT(CONCATENATE("csv!H",($J5)+4)))</f>
        <v>124.86499999999999</v>
      </c>
      <c r="H5" s="2">
        <f ca="1">MAX(INDIRECT(CONCATENATE("csv!H",$J5)):INDIRECT(CONCATENATE("csv!H",($J5)+4)))</f>
        <v>132.911</v>
      </c>
      <c r="I5" s="3">
        <f ca="1">SUM(INDIRECT(CONCATENATE("csv!J",$J5)):INDIRECT(CONCATENATE("csv!J",($J5)+4)))</f>
        <v>387285837</v>
      </c>
      <c r="J5">
        <f t="shared" si="0"/>
        <v>17</v>
      </c>
    </row>
    <row r="6" spans="1:10">
      <c r="A6" t="str" cm="1">
        <f t="array" aca="1" ref="A6" ca="1">INDIRECT(CONCATENATE("csv!A",$J6))</f>
        <v>CA</v>
      </c>
      <c r="B6" t="str" cm="1">
        <f t="array" aca="1" ref="B6" ca="1">INDIRECT(CONCATENATE("csv!E",$J6))</f>
        <v>loopback</v>
      </c>
      <c r="C6" s="3" cm="1">
        <f t="array" aca="1" ref="C6" ca="1">INDIRECT(CONCATENATE("csv!D",$J6))</f>
        <v>1</v>
      </c>
      <c r="D6" s="3" cm="1">
        <f t="array" aca="1" ref="D6" ca="1">INDIRECT(CONCATENATE("csv!C",$J6))</f>
        <v>1000</v>
      </c>
      <c r="E6" s="2">
        <f ca="1">AVERAGE(INDIRECT(CONCATENATE("csv!H",$J6)):INDIRECT(CONCATENATE("csv!H",($J6)+4)))</f>
        <v>58.071080000000009</v>
      </c>
      <c r="F6" s="2">
        <f ca="1">STDEV(INDIRECT(CONCATENATE("csv!H",$J6)):INDIRECT(CONCATENATE("csv!H",($J6)+4)))</f>
        <v>2.3063854311454537</v>
      </c>
      <c r="G6" s="2">
        <f ca="1">MIN(INDIRECT(CONCATENATE("csv!H",$J6)):INDIRECT(CONCATENATE("csv!H",($J6)+4)))</f>
        <v>55.5002</v>
      </c>
      <c r="H6" s="2">
        <f ca="1">MAX(INDIRECT(CONCATENATE("csv!H",$J6)):INDIRECT(CONCATENATE("csv!H",($J6)+4)))</f>
        <v>61.2502</v>
      </c>
      <c r="I6" s="3">
        <f ca="1">SUM(INDIRECT(CONCATENATE("csv!J",$J6)):INDIRECT(CONCATENATE("csv!J",($J6)+4)))</f>
        <v>395176598</v>
      </c>
      <c r="J6">
        <f t="shared" si="0"/>
        <v>22</v>
      </c>
    </row>
    <row r="7" spans="1:10">
      <c r="A7" t="str" cm="1">
        <f t="array" aca="1" ref="A7" ca="1">INDIRECT(CONCATENATE("csv!A",$J7))</f>
        <v>CA</v>
      </c>
      <c r="B7" t="str" cm="1">
        <f t="array" aca="1" ref="B7" ca="1">INDIRECT(CONCATENATE("csv!E",$J7))</f>
        <v>loopback</v>
      </c>
      <c r="C7" s="3" cm="1">
        <f t="array" aca="1" ref="C7" ca="1">INDIRECT(CONCATENATE("csv!D",$J7))</f>
        <v>10</v>
      </c>
      <c r="D7" s="3" cm="1">
        <f t="array" aca="1" ref="D7" ca="1">INDIRECT(CONCATENATE("csv!C",$J7))</f>
        <v>1</v>
      </c>
      <c r="E7" s="2">
        <f ca="1">AVERAGE(INDIRECT(CONCATENATE("csv!H",$J7)):INDIRECT(CONCATENATE("csv!H",($J7)+4)))</f>
        <v>33625.18</v>
      </c>
      <c r="F7" s="2">
        <f ca="1">STDEV(INDIRECT(CONCATENATE("csv!H",$J7)):INDIRECT(CONCATENATE("csv!H",($J7)+4)))</f>
        <v>3400.8573061803108</v>
      </c>
      <c r="G7" s="2">
        <f ca="1">MIN(INDIRECT(CONCATENATE("csv!H",$J7)):INDIRECT(CONCATENATE("csv!H",($J7)+4)))</f>
        <v>30018</v>
      </c>
      <c r="H7" s="2">
        <f ca="1">MAX(INDIRECT(CONCATENATE("csv!H",$J7)):INDIRECT(CONCATENATE("csv!H",($J7)+4)))</f>
        <v>37459.4</v>
      </c>
      <c r="I7" s="3">
        <f ca="1">SUM(INDIRECT(CONCATENATE("csv!J",$J7)):INDIRECT(CONCATENATE("csv!J",($J7)+4)))</f>
        <v>58600019</v>
      </c>
      <c r="J7">
        <f t="shared" si="0"/>
        <v>27</v>
      </c>
    </row>
    <row r="8" spans="1:10">
      <c r="A8" t="str" cm="1">
        <f t="array" aca="1" ref="A8" ca="1">INDIRECT(CONCATENATE("csv!A",$J8))</f>
        <v>CA</v>
      </c>
      <c r="B8" t="str" cm="1">
        <f t="array" aca="1" ref="B8" ca="1">INDIRECT(CONCATENATE("csv!E",$J8))</f>
        <v>loopback</v>
      </c>
      <c r="C8" s="3" cm="1">
        <f t="array" aca="1" ref="C8" ca="1">INDIRECT(CONCATENATE("csv!D",$J8))</f>
        <v>10</v>
      </c>
      <c r="D8" s="3" cm="1">
        <f t="array" aca="1" ref="D8" ca="1">INDIRECT(CONCATENATE("csv!C",$J8))</f>
        <v>10</v>
      </c>
      <c r="E8" s="2">
        <f ca="1">AVERAGE(INDIRECT(CONCATENATE("csv!H",$J8)):INDIRECT(CONCATENATE("csv!H",($J8)+4)))</f>
        <v>13046.499999999998</v>
      </c>
      <c r="F8" s="2">
        <f ca="1">STDEV(INDIRECT(CONCATENATE("csv!H",$J8)):INDIRECT(CONCATENATE("csv!H",($J8)+4)))</f>
        <v>1741.4916867444549</v>
      </c>
      <c r="G8" s="2">
        <f ca="1">MIN(INDIRECT(CONCATENATE("csv!H",$J8)):INDIRECT(CONCATENATE("csv!H",($J8)+4)))</f>
        <v>11330.6</v>
      </c>
      <c r="H8" s="2">
        <f ca="1">MAX(INDIRECT(CONCATENATE("csv!H",$J8)):INDIRECT(CONCATENATE("csv!H",($J8)+4)))</f>
        <v>14963.3</v>
      </c>
      <c r="I8" s="3">
        <f ca="1">SUM(INDIRECT(CONCATENATE("csv!J",$J8)):INDIRECT(CONCATENATE("csv!J",($J8)+4)))</f>
        <v>191863248</v>
      </c>
      <c r="J8">
        <f t="shared" si="0"/>
        <v>32</v>
      </c>
    </row>
    <row r="9" spans="1:10">
      <c r="A9" t="str" cm="1">
        <f t="array" aca="1" ref="A9" ca="1">INDIRECT(CONCATENATE("csv!A",$J9))</f>
        <v>CA</v>
      </c>
      <c r="B9" t="str" cm="1">
        <f t="array" aca="1" ref="B9" ca="1">INDIRECT(CONCATENATE("csv!E",$J9))</f>
        <v>loopback</v>
      </c>
      <c r="C9" s="3" cm="1">
        <f t="array" aca="1" ref="C9" ca="1">INDIRECT(CONCATENATE("csv!D",$J9))</f>
        <v>10</v>
      </c>
      <c r="D9" s="3" cm="1">
        <f t="array" aca="1" ref="D9" ca="1">INDIRECT(CONCATENATE("csv!C",$J9))</f>
        <v>100</v>
      </c>
      <c r="E9" s="2">
        <f ca="1">AVERAGE(INDIRECT(CONCATENATE("csv!H",$J9)):INDIRECT(CONCATENATE("csv!H",($J9)+4)))</f>
        <v>190.89180000000002</v>
      </c>
      <c r="F9" s="2">
        <f ca="1">STDEV(INDIRECT(CONCATENATE("csv!H",$J9)):INDIRECT(CONCATENATE("csv!H",($J9)+4)))</f>
        <v>5.7931870934745486</v>
      </c>
      <c r="G9" s="2">
        <f ca="1">MIN(INDIRECT(CONCATENATE("csv!H",$J9)):INDIRECT(CONCATENATE("csv!H",($J9)+4)))</f>
        <v>183.68799999999999</v>
      </c>
      <c r="H9" s="2">
        <f ca="1">MAX(INDIRECT(CONCATENATE("csv!H",$J9)):INDIRECT(CONCATENATE("csv!H",($J9)+4)))</f>
        <v>196.727</v>
      </c>
      <c r="I9" s="3">
        <f ca="1">SUM(INDIRECT(CONCATENATE("csv!J",$J9)):INDIRECT(CONCATENATE("csv!J",($J9)+4)))</f>
        <v>365634400</v>
      </c>
      <c r="J9">
        <f t="shared" si="0"/>
        <v>37</v>
      </c>
    </row>
    <row r="10" spans="1:10">
      <c r="A10" t="str" cm="1">
        <f t="array" aca="1" ref="A10" ca="1">INDIRECT(CONCATENATE("csv!A",$J10))</f>
        <v>CA</v>
      </c>
      <c r="B10" t="str" cm="1">
        <f t="array" aca="1" ref="B10" ca="1">INDIRECT(CONCATENATE("csv!E",$J10))</f>
        <v>loopback</v>
      </c>
      <c r="C10" s="3" cm="1">
        <f t="array" aca="1" ref="C10" ca="1">INDIRECT(CONCATENATE("csv!D",$J10))</f>
        <v>10</v>
      </c>
      <c r="D10" s="3" cm="1">
        <f t="array" aca="1" ref="D10" ca="1">INDIRECT(CONCATENATE("csv!C",$J10))</f>
        <v>500</v>
      </c>
      <c r="E10" s="2">
        <f ca="1">AVERAGE(INDIRECT(CONCATENATE("csv!H",$J10)):INDIRECT(CONCATENATE("csv!H",($J10)+4)))</f>
        <v>129.99279999999999</v>
      </c>
      <c r="F10" s="2">
        <f ca="1">STDEV(INDIRECT(CONCATENATE("csv!H",$J10)):INDIRECT(CONCATENATE("csv!H",($J10)+4)))</f>
        <v>2.1080611234022575</v>
      </c>
      <c r="G10" s="2">
        <f ca="1">MIN(INDIRECT(CONCATENATE("csv!H",$J10)):INDIRECT(CONCATENATE("csv!H",($J10)+4)))</f>
        <v>126.462</v>
      </c>
      <c r="H10" s="2">
        <f ca="1">MAX(INDIRECT(CONCATENATE("csv!H",$J10)):INDIRECT(CONCATENATE("csv!H",($J10)+4)))</f>
        <v>131.92099999999999</v>
      </c>
      <c r="I10" s="3">
        <f ca="1">SUM(INDIRECT(CONCATENATE("csv!J",$J10)):INDIRECT(CONCATENATE("csv!J",($J10)+4)))</f>
        <v>388402090</v>
      </c>
      <c r="J10">
        <f t="shared" si="0"/>
        <v>42</v>
      </c>
    </row>
    <row r="11" spans="1:10">
      <c r="A11" t="str" cm="1">
        <f t="array" aca="1" ref="A11" ca="1">INDIRECT(CONCATENATE("csv!A",$J11))</f>
        <v>CA</v>
      </c>
      <c r="B11" t="str" cm="1">
        <f t="array" aca="1" ref="B11" ca="1">INDIRECT(CONCATENATE("csv!E",$J11))</f>
        <v>loopback</v>
      </c>
      <c r="C11" s="3" cm="1">
        <f t="array" aca="1" ref="C11" ca="1">INDIRECT(CONCATENATE("csv!D",$J11))</f>
        <v>10</v>
      </c>
      <c r="D11" s="3" cm="1">
        <f t="array" aca="1" ref="D11" ca="1">INDIRECT(CONCATENATE("csv!C",$J11))</f>
        <v>1000</v>
      </c>
      <c r="E11" s="2">
        <f ca="1">AVERAGE(INDIRECT(CONCATENATE("csv!H",$J11)):INDIRECT(CONCATENATE("csv!H",($J11)+4)))</f>
        <v>57.8673</v>
      </c>
      <c r="F11" s="2">
        <f ca="1">STDEV(INDIRECT(CONCATENATE("csv!H",$J11)):INDIRECT(CONCATENATE("csv!H",($J11)+4)))</f>
        <v>2.399544930815007</v>
      </c>
      <c r="G11" s="2">
        <f ca="1">MIN(INDIRECT(CONCATENATE("csv!H",$J11)):INDIRECT(CONCATENATE("csv!H",($J11)+4)))</f>
        <v>54.514299999999999</v>
      </c>
      <c r="H11" s="2">
        <f ca="1">MAX(INDIRECT(CONCATENATE("csv!H",$J11)):INDIRECT(CONCATENATE("csv!H",($J11)+4)))</f>
        <v>60.247999999999998</v>
      </c>
      <c r="I11" s="3">
        <f ca="1">SUM(INDIRECT(CONCATENATE("csv!J",$J11)):INDIRECT(CONCATENATE("csv!J",($J11)+4)))</f>
        <v>393860713</v>
      </c>
      <c r="J11">
        <f t="shared" si="0"/>
        <v>47</v>
      </c>
    </row>
    <row r="12" spans="1:10">
      <c r="A12" t="str" cm="1">
        <f t="array" aca="1" ref="A12" ca="1">INDIRECT(CONCATENATE("csv!A",$J12))</f>
        <v>CA</v>
      </c>
      <c r="B12" t="str" cm="1">
        <f t="array" aca="1" ref="B12" ca="1">INDIRECT(CONCATENATE("csv!E",$J12))</f>
        <v>loopback</v>
      </c>
      <c r="C12" s="3" cm="1">
        <f t="array" aca="1" ref="C12" ca="1">INDIRECT(CONCATENATE("csv!D",$J12))</f>
        <v>100</v>
      </c>
      <c r="D12" s="3" cm="1">
        <f t="array" aca="1" ref="D12" ca="1">INDIRECT(CONCATENATE("csv!C",$J12))</f>
        <v>1</v>
      </c>
      <c r="E12" s="2">
        <f ca="1">AVERAGE(INDIRECT(CONCATENATE("csv!H",$J12)):INDIRECT(CONCATENATE("csv!H",($J12)+4)))</f>
        <v>32086.1</v>
      </c>
      <c r="F12" s="2">
        <f ca="1">STDEV(INDIRECT(CONCATENATE("csv!H",$J12)):INDIRECT(CONCATENATE("csv!H",($J12)+4)))</f>
        <v>3737.5152829118988</v>
      </c>
      <c r="G12" s="2">
        <f ca="1">MIN(INDIRECT(CONCATENATE("csv!H",$J12)):INDIRECT(CONCATENATE("csv!H",($J12)+4)))</f>
        <v>28523.4</v>
      </c>
      <c r="H12" s="2">
        <f ca="1">MAX(INDIRECT(CONCATENATE("csv!H",$J12)):INDIRECT(CONCATENATE("csv!H",($J12)+4)))</f>
        <v>37747</v>
      </c>
      <c r="I12" s="3">
        <f ca="1">SUM(INDIRECT(CONCATENATE("csv!J",$J12)):INDIRECT(CONCATENATE("csv!J",($J12)+4)))</f>
        <v>56721305</v>
      </c>
      <c r="J12">
        <f t="shared" si="0"/>
        <v>52</v>
      </c>
    </row>
    <row r="13" spans="1:10">
      <c r="A13" t="str" cm="1">
        <f t="array" aca="1" ref="A13" ca="1">INDIRECT(CONCATENATE("csv!A",$J13))</f>
        <v>CA</v>
      </c>
      <c r="B13" t="str" cm="1">
        <f t="array" aca="1" ref="B13" ca="1">INDIRECT(CONCATENATE("csv!E",$J13))</f>
        <v>loopback</v>
      </c>
      <c r="C13" s="3" cm="1">
        <f t="array" aca="1" ref="C13" ca="1">INDIRECT(CONCATENATE("csv!D",$J13))</f>
        <v>100</v>
      </c>
      <c r="D13" s="3" cm="1">
        <f t="array" aca="1" ref="D13" ca="1">INDIRECT(CONCATENATE("csv!C",$J13))</f>
        <v>10</v>
      </c>
      <c r="E13" s="2">
        <f ca="1">AVERAGE(INDIRECT(CONCATENATE("csv!H",$J13)):INDIRECT(CONCATENATE("csv!H",($J13)+4)))</f>
        <v>10181.897999999997</v>
      </c>
      <c r="F13" s="2">
        <f ca="1">STDEV(INDIRECT(CONCATENATE("csv!H",$J13)):INDIRECT(CONCATENATE("csv!H",($J13)+4)))</f>
        <v>1571.2257441310092</v>
      </c>
      <c r="G13" s="2">
        <f ca="1">MIN(INDIRECT(CONCATENATE("csv!H",$J13)):INDIRECT(CONCATENATE("csv!H",($J13)+4)))</f>
        <v>8519.7000000000007</v>
      </c>
      <c r="H13" s="2">
        <f ca="1">MAX(INDIRECT(CONCATENATE("csv!H",$J13)):INDIRECT(CONCATENATE("csv!H",($J13)+4)))</f>
        <v>12137.9</v>
      </c>
      <c r="I13" s="3">
        <f ca="1">SUM(INDIRECT(CONCATENATE("csv!J",$J13)):INDIRECT(CONCATENATE("csv!J",($J13)+4)))</f>
        <v>194568044</v>
      </c>
      <c r="J13">
        <f t="shared" si="0"/>
        <v>57</v>
      </c>
    </row>
    <row r="14" spans="1:10">
      <c r="A14" t="str" cm="1">
        <f t="array" aca="1" ref="A14" ca="1">INDIRECT(CONCATENATE("csv!A",$J14))</f>
        <v>CA</v>
      </c>
      <c r="B14" t="str" cm="1">
        <f t="array" aca="1" ref="B14" ca="1">INDIRECT(CONCATENATE("csv!E",$J14))</f>
        <v>loopback</v>
      </c>
      <c r="C14" s="3" cm="1">
        <f t="array" aca="1" ref="C14" ca="1">INDIRECT(CONCATENATE("csv!D",$J14))</f>
        <v>100</v>
      </c>
      <c r="D14" s="3" cm="1">
        <f t="array" aca="1" ref="D14" ca="1">INDIRECT(CONCATENATE("csv!C",$J14))</f>
        <v>100</v>
      </c>
      <c r="E14" s="2">
        <f ca="1">AVERAGE(INDIRECT(CONCATENATE("csv!H",$J14)):INDIRECT(CONCATENATE("csv!H",($J14)+4)))</f>
        <v>203.87380000000002</v>
      </c>
      <c r="F14" s="2">
        <f ca="1">STDEV(INDIRECT(CONCATENATE("csv!H",$J14)):INDIRECT(CONCATENATE("csv!H",($J14)+4)))</f>
        <v>12.221136493796305</v>
      </c>
      <c r="G14" s="2">
        <f ca="1">MIN(INDIRECT(CONCATENATE("csv!H",$J14)):INDIRECT(CONCATENATE("csv!H",($J14)+4)))</f>
        <v>192.179</v>
      </c>
      <c r="H14" s="2">
        <f ca="1">MAX(INDIRECT(CONCATENATE("csv!H",$J14)):INDIRECT(CONCATENATE("csv!H",($J14)+4)))</f>
        <v>217.886</v>
      </c>
      <c r="I14" s="3">
        <f ca="1">SUM(INDIRECT(CONCATENATE("csv!J",$J14)):INDIRECT(CONCATENATE("csv!J",($J14)+4)))</f>
        <v>360062070</v>
      </c>
      <c r="J14">
        <f t="shared" si="0"/>
        <v>62</v>
      </c>
    </row>
    <row r="15" spans="1:10">
      <c r="A15" t="str" cm="1">
        <f t="array" aca="1" ref="A15" ca="1">INDIRECT(CONCATENATE("csv!A",$J15))</f>
        <v>CA</v>
      </c>
      <c r="B15" t="str" cm="1">
        <f t="array" aca="1" ref="B15" ca="1">INDIRECT(CONCATENATE("csv!E",$J15))</f>
        <v>loopback</v>
      </c>
      <c r="C15" s="3" cm="1">
        <f t="array" aca="1" ref="C15" ca="1">INDIRECT(CONCATENATE("csv!D",$J15))</f>
        <v>100</v>
      </c>
      <c r="D15" s="3" cm="1">
        <f t="array" aca="1" ref="D15" ca="1">INDIRECT(CONCATENATE("csv!C",$J15))</f>
        <v>500</v>
      </c>
      <c r="E15" s="2">
        <f ca="1">AVERAGE(INDIRECT(CONCATENATE("csv!H",$J15)):INDIRECT(CONCATENATE("csv!H",($J15)+4)))</f>
        <v>130.14079999999998</v>
      </c>
      <c r="F15" s="2">
        <f ca="1">STDEV(INDIRECT(CONCATENATE("csv!H",$J15)):INDIRECT(CONCATENATE("csv!H",($J15)+4)))</f>
        <v>0.90048331467051101</v>
      </c>
      <c r="G15" s="2">
        <f ca="1">MIN(INDIRECT(CONCATENATE("csv!H",$J15)):INDIRECT(CONCATENATE("csv!H",($J15)+4)))</f>
        <v>128.82300000000001</v>
      </c>
      <c r="H15" s="2">
        <f ca="1">MAX(INDIRECT(CONCATENATE("csv!H",$J15)):INDIRECT(CONCATENATE("csv!H",($J15)+4)))</f>
        <v>130.893</v>
      </c>
      <c r="I15" s="3">
        <f ca="1">SUM(INDIRECT(CONCATENATE("csv!J",$J15)):INDIRECT(CONCATENATE("csv!J",($J15)+4)))</f>
        <v>387240414</v>
      </c>
      <c r="J15">
        <f t="shared" si="0"/>
        <v>67</v>
      </c>
    </row>
    <row r="16" spans="1:10">
      <c r="A16" t="str" cm="1">
        <f t="array" aca="1" ref="A16" ca="1">INDIRECT(CONCATENATE("csv!A",$J16))</f>
        <v>CA</v>
      </c>
      <c r="B16" t="str" cm="1">
        <f t="array" aca="1" ref="B16" ca="1">INDIRECT(CONCATENATE("csv!E",$J16))</f>
        <v>loopback</v>
      </c>
      <c r="C16" s="3" cm="1">
        <f t="array" aca="1" ref="C16" ca="1">INDIRECT(CONCATENATE("csv!D",$J16))</f>
        <v>100</v>
      </c>
      <c r="D16" s="3" cm="1">
        <f t="array" aca="1" ref="D16" ca="1">INDIRECT(CONCATENATE("csv!C",$J16))</f>
        <v>1000</v>
      </c>
      <c r="E16" s="2">
        <f ca="1">AVERAGE(INDIRECT(CONCATENATE("csv!H",$J16)):INDIRECT(CONCATENATE("csv!H",($J16)+4)))</f>
        <v>56.693660000000001</v>
      </c>
      <c r="F16" s="2">
        <f ca="1">STDEV(INDIRECT(CONCATENATE("csv!H",$J16)):INDIRECT(CONCATENATE("csv!H",($J16)+4)))</f>
        <v>2.8933483799915978</v>
      </c>
      <c r="G16" s="2">
        <f ca="1">MIN(INDIRECT(CONCATENATE("csv!H",$J16)):INDIRECT(CONCATENATE("csv!H",($J16)+4)))</f>
        <v>51.994</v>
      </c>
      <c r="H16" s="2">
        <f ca="1">MAX(INDIRECT(CONCATENATE("csv!H",$J16)):INDIRECT(CONCATENATE("csv!H",($J16)+4)))</f>
        <v>59.144799999999996</v>
      </c>
      <c r="I16" s="3">
        <f ca="1">SUM(INDIRECT(CONCATENATE("csv!J",$J16)):INDIRECT(CONCATENATE("csv!J",($J16)+4)))</f>
        <v>391739879</v>
      </c>
      <c r="J16">
        <f t="shared" si="0"/>
        <v>72</v>
      </c>
    </row>
    <row r="17" spans="1:10">
      <c r="A17" t="str" cm="1">
        <f t="array" aca="1" ref="A17" ca="1">INDIRECT(CONCATENATE("csv!A",$J17))</f>
        <v>CA</v>
      </c>
      <c r="B17" t="str" cm="1">
        <f t="array" aca="1" ref="B17" ca="1">INDIRECT(CONCATENATE("csv!E",$J17))</f>
        <v>loopback</v>
      </c>
      <c r="C17" s="3" cm="1">
        <f t="array" aca="1" ref="C17" ca="1">INDIRECT(CONCATENATE("csv!D",$J17))</f>
        <v>1000</v>
      </c>
      <c r="D17" s="3" cm="1">
        <f t="array" aca="1" ref="D17" ca="1">INDIRECT(CONCATENATE("csv!C",$J17))</f>
        <v>1</v>
      </c>
      <c r="E17" s="2">
        <f ca="1">AVERAGE(INDIRECT(CONCATENATE("csv!H",$J17)):INDIRECT(CONCATENATE("csv!H",($J17)+4)))</f>
        <v>52793.06</v>
      </c>
      <c r="F17" s="2">
        <f ca="1">STDEV(INDIRECT(CONCATENATE("csv!H",$J17)):INDIRECT(CONCATENATE("csv!H",($J17)+4)))</f>
        <v>5938.6179821571368</v>
      </c>
      <c r="G17" s="2">
        <f ca="1">MIN(INDIRECT(CONCATENATE("csv!H",$J17)):INDIRECT(CONCATENATE("csv!H",($J17)+4)))</f>
        <v>46898.5</v>
      </c>
      <c r="H17" s="2">
        <f ca="1">MAX(INDIRECT(CONCATENATE("csv!H",$J17)):INDIRECT(CONCATENATE("csv!H",($J17)+4)))</f>
        <v>61378.400000000001</v>
      </c>
      <c r="I17" s="3">
        <f ca="1">SUM(INDIRECT(CONCATENATE("csv!J",$J17)):INDIRECT(CONCATENATE("csv!J",($J17)+4)))</f>
        <v>52303036</v>
      </c>
      <c r="J17">
        <f t="shared" si="0"/>
        <v>77</v>
      </c>
    </row>
    <row r="18" spans="1:10">
      <c r="A18" t="str" cm="1">
        <f t="array" aca="1" ref="A18" ca="1">INDIRECT(CONCATENATE("csv!A",$J18))</f>
        <v>CA</v>
      </c>
      <c r="B18" t="str" cm="1">
        <f t="array" aca="1" ref="B18" ca="1">INDIRECT(CONCATENATE("csv!E",$J18))</f>
        <v>loopback</v>
      </c>
      <c r="C18" s="3" cm="1">
        <f t="array" aca="1" ref="C18" ca="1">INDIRECT(CONCATENATE("csv!D",$J18))</f>
        <v>1000</v>
      </c>
      <c r="D18" s="3" cm="1">
        <f t="array" aca="1" ref="D18" ca="1">INDIRECT(CONCATENATE("csv!C",$J18))</f>
        <v>10</v>
      </c>
      <c r="E18" s="2">
        <f ca="1">AVERAGE(INDIRECT(CONCATENATE("csv!H",$J18)):INDIRECT(CONCATENATE("csv!H",($J18)+4)))</f>
        <v>22549.08</v>
      </c>
      <c r="F18" s="2">
        <f ca="1">STDEV(INDIRECT(CONCATENATE("csv!H",$J18)):INDIRECT(CONCATENATE("csv!H",($J18)+4)))</f>
        <v>4233.287123737281</v>
      </c>
      <c r="G18" s="2">
        <f ca="1">MIN(INDIRECT(CONCATENATE("csv!H",$J18)):INDIRECT(CONCATENATE("csv!H",($J18)+4)))</f>
        <v>17180.099999999999</v>
      </c>
      <c r="H18" s="2">
        <f ca="1">MAX(INDIRECT(CONCATENATE("csv!H",$J18)):INDIRECT(CONCATENATE("csv!H",($J18)+4)))</f>
        <v>27581.5</v>
      </c>
      <c r="I18" s="3">
        <f ca="1">SUM(INDIRECT(CONCATENATE("csv!J",$J18)):INDIRECT(CONCATENATE("csv!J",($J18)+4)))</f>
        <v>179516339</v>
      </c>
      <c r="J18">
        <f t="shared" si="0"/>
        <v>82</v>
      </c>
    </row>
    <row r="19" spans="1:10">
      <c r="A19" t="str" cm="1">
        <f t="array" aca="1" ref="A19" ca="1">INDIRECT(CONCATENATE("csv!A",$J19))</f>
        <v>CA</v>
      </c>
      <c r="B19" t="str" cm="1">
        <f t="array" aca="1" ref="B19" ca="1">INDIRECT(CONCATENATE("csv!E",$J19))</f>
        <v>loopback</v>
      </c>
      <c r="C19" s="3" cm="1">
        <f t="array" aca="1" ref="C19" ca="1">INDIRECT(CONCATENATE("csv!D",$J19))</f>
        <v>1000</v>
      </c>
      <c r="D19" s="3" cm="1">
        <f t="array" aca="1" ref="D19" ca="1">INDIRECT(CONCATENATE("csv!C",$J19))</f>
        <v>100</v>
      </c>
      <c r="E19" s="2">
        <f ca="1">AVERAGE(INDIRECT(CONCATENATE("csv!H",$J19)):INDIRECT(CONCATENATE("csv!H",($J19)+4)))</f>
        <v>205.46599999999998</v>
      </c>
      <c r="F19" s="2">
        <f ca="1">STDEV(INDIRECT(CONCATENATE("csv!H",$J19)):INDIRECT(CONCATENATE("csv!H",($J19)+4)))</f>
        <v>10.835278468964233</v>
      </c>
      <c r="G19" s="2">
        <f ca="1">MIN(INDIRECT(CONCATENATE("csv!H",$J19)):INDIRECT(CONCATENATE("csv!H",($J19)+4)))</f>
        <v>190.71299999999999</v>
      </c>
      <c r="H19" s="2">
        <f ca="1">MAX(INDIRECT(CONCATENATE("csv!H",$J19)):INDIRECT(CONCATENATE("csv!H",($J19)+4)))</f>
        <v>216.61799999999999</v>
      </c>
      <c r="I19" s="3">
        <f ca="1">SUM(INDIRECT(CONCATENATE("csv!J",$J19)):INDIRECT(CONCATENATE("csv!J",($J19)+4)))</f>
        <v>361863594</v>
      </c>
      <c r="J19">
        <f t="shared" si="0"/>
        <v>87</v>
      </c>
    </row>
    <row r="20" spans="1:10">
      <c r="A20" t="str" cm="1">
        <f t="array" aca="1" ref="A20" ca="1">INDIRECT(CONCATENATE("csv!A",$J20))</f>
        <v>CA</v>
      </c>
      <c r="B20" t="str" cm="1">
        <f t="array" aca="1" ref="B20" ca="1">INDIRECT(CONCATENATE("csv!E",$J20))</f>
        <v>loopback</v>
      </c>
      <c r="C20" s="3" cm="1">
        <f t="array" aca="1" ref="C20" ca="1">INDIRECT(CONCATENATE("csv!D",$J20))</f>
        <v>1000</v>
      </c>
      <c r="D20" s="3" cm="1">
        <f t="array" aca="1" ref="D20" ca="1">INDIRECT(CONCATENATE("csv!C",$J20))</f>
        <v>500</v>
      </c>
      <c r="E20" s="2">
        <f ca="1">AVERAGE(INDIRECT(CONCATENATE("csv!H",$J20)):INDIRECT(CONCATENATE("csv!H",($J20)+4)))</f>
        <v>130.7852</v>
      </c>
      <c r="F20" s="2">
        <f ca="1">STDEV(INDIRECT(CONCATENATE("csv!H",$J20)):INDIRECT(CONCATENATE("csv!H",($J20)+4)))</f>
        <v>1.5292054145862775</v>
      </c>
      <c r="G20" s="2">
        <f ca="1">MIN(INDIRECT(CONCATENATE("csv!H",$J20)):INDIRECT(CONCATENATE("csv!H",($J20)+4)))</f>
        <v>128.81200000000001</v>
      </c>
      <c r="H20" s="2">
        <f ca="1">MAX(INDIRECT(CONCATENATE("csv!H",$J20)):INDIRECT(CONCATENATE("csv!H",($J20)+4)))</f>
        <v>132.834</v>
      </c>
      <c r="I20" s="3">
        <f ca="1">SUM(INDIRECT(CONCATENATE("csv!J",$J20)):INDIRECT(CONCATENATE("csv!J",($J20)+4)))</f>
        <v>390480863</v>
      </c>
      <c r="J20">
        <f t="shared" si="0"/>
        <v>92</v>
      </c>
    </row>
    <row r="21" spans="1:10">
      <c r="A21" t="str" cm="1">
        <f t="array" aca="1" ref="A21" ca="1">INDIRECT(CONCATENATE("csv!A",$J21))</f>
        <v>CA</v>
      </c>
      <c r="B21" t="str" cm="1">
        <f t="array" aca="1" ref="B21" ca="1">INDIRECT(CONCATENATE("csv!E",$J21))</f>
        <v>loopback</v>
      </c>
      <c r="C21" s="3" cm="1">
        <f t="array" aca="1" ref="C21" ca="1">INDIRECT(CONCATENATE("csv!D",$J21))</f>
        <v>1000</v>
      </c>
      <c r="D21" s="3" cm="1">
        <f t="array" aca="1" ref="D21" ca="1">INDIRECT(CONCATENATE("csv!C",$J21))</f>
        <v>1000</v>
      </c>
      <c r="E21" s="2">
        <f ca="1">AVERAGE(INDIRECT(CONCATENATE("csv!H",$J21)):INDIRECT(CONCATENATE("csv!H",($J21)+4)))</f>
        <v>55.10260000000001</v>
      </c>
      <c r="F21" s="2">
        <f ca="1">STDEV(INDIRECT(CONCATENATE("csv!H",$J21)):INDIRECT(CONCATENATE("csv!H",($J21)+4)))</f>
        <v>1.7578141440436774</v>
      </c>
      <c r="G21" s="2">
        <f ca="1">MIN(INDIRECT(CONCATENATE("csv!H",$J21)):INDIRECT(CONCATENATE("csv!H",($J21)+4)))</f>
        <v>52.284999999999997</v>
      </c>
      <c r="H21" s="2">
        <f ca="1">MAX(INDIRECT(CONCATENATE("csv!H",$J21)):INDIRECT(CONCATENATE("csv!H",($J21)+4)))</f>
        <v>56.885100000000001</v>
      </c>
      <c r="I21" s="3">
        <f ca="1">SUM(INDIRECT(CONCATENATE("csv!J",$J21)):INDIRECT(CONCATENATE("csv!J",($J21)+4)))</f>
        <v>393966000</v>
      </c>
      <c r="J21">
        <f t="shared" si="0"/>
        <v>97</v>
      </c>
    </row>
    <row r="22" spans="1:10">
      <c r="A22" t="str" cm="1">
        <f t="array" aca="1" ref="A22" ca="1">INDIRECT(CONCATENATE("csv!A",$J22))</f>
        <v>CA</v>
      </c>
      <c r="B22" t="str" cm="1">
        <f t="array" aca="1" ref="B22" ca="1">INDIRECT(CONCATENATE("csv!E",$J22))</f>
        <v>loopback</v>
      </c>
      <c r="C22" s="3" cm="1">
        <f t="array" aca="1" ref="C22" ca="1">INDIRECT(CONCATENATE("csv!D",$J22))</f>
        <v>10000</v>
      </c>
      <c r="D22" s="3" cm="1">
        <f t="array" aca="1" ref="D22" ca="1">INDIRECT(CONCATENATE("csv!C",$J22))</f>
        <v>1</v>
      </c>
      <c r="E22" s="2">
        <f ca="1">AVERAGE(INDIRECT(CONCATENATE("csv!H",$J22)):INDIRECT(CONCATENATE("csv!H",($J22)+4)))</f>
        <v>34337.46</v>
      </c>
      <c r="F22" s="2">
        <f ca="1">STDEV(INDIRECT(CONCATENATE("csv!H",$J22)):INDIRECT(CONCATENATE("csv!H",($J22)+4)))</f>
        <v>971.79220412596555</v>
      </c>
      <c r="G22" s="2">
        <f ca="1">MIN(INDIRECT(CONCATENATE("csv!H",$J22)):INDIRECT(CONCATENATE("csv!H",($J22)+4)))</f>
        <v>33339.5</v>
      </c>
      <c r="H22" s="2">
        <f ca="1">MAX(INDIRECT(CONCATENATE("csv!H",$J22)):INDIRECT(CONCATENATE("csv!H",($J22)+4)))</f>
        <v>35629.4</v>
      </c>
      <c r="I22" s="3">
        <f ca="1">SUM(INDIRECT(CONCATENATE("csv!J",$J22)):INDIRECT(CONCATENATE("csv!J",($J22)+4)))</f>
        <v>33540314</v>
      </c>
      <c r="J22">
        <f t="shared" si="0"/>
        <v>102</v>
      </c>
    </row>
    <row r="23" spans="1:10">
      <c r="A23" t="str" cm="1">
        <f t="array" aca="1" ref="A23" ca="1">INDIRECT(CONCATENATE("csv!A",$J23))</f>
        <v>CA</v>
      </c>
      <c r="B23" t="str" cm="1">
        <f t="array" aca="1" ref="B23" ca="1">INDIRECT(CONCATENATE("csv!E",$J23))</f>
        <v>loopback</v>
      </c>
      <c r="C23" s="3" cm="1">
        <f t="array" aca="1" ref="C23" ca="1">INDIRECT(CONCATENATE("csv!D",$J23))</f>
        <v>10000</v>
      </c>
      <c r="D23" s="3" cm="1">
        <f t="array" aca="1" ref="D23" ca="1">INDIRECT(CONCATENATE("csv!C",$J23))</f>
        <v>10</v>
      </c>
      <c r="E23" s="2">
        <f ca="1">AVERAGE(INDIRECT(CONCATENATE("csv!H",$J23)):INDIRECT(CONCATENATE("csv!H",($J23)+4)))</f>
        <v>23324.5</v>
      </c>
      <c r="F23" s="2">
        <f ca="1">STDEV(INDIRECT(CONCATENATE("csv!H",$J23)):INDIRECT(CONCATENATE("csv!H",($J23)+4)))</f>
        <v>1511.3022662591363</v>
      </c>
      <c r="G23" s="2">
        <f ca="1">MIN(INDIRECT(CONCATENATE("csv!H",$J23)):INDIRECT(CONCATENATE("csv!H",($J23)+4)))</f>
        <v>22038.799999999999</v>
      </c>
      <c r="H23" s="2">
        <f ca="1">MAX(INDIRECT(CONCATENATE("csv!H",$J23)):INDIRECT(CONCATENATE("csv!H",($J23)+4)))</f>
        <v>25943.200000000001</v>
      </c>
      <c r="I23" s="3">
        <f ca="1">SUM(INDIRECT(CONCATENATE("csv!J",$J23)):INDIRECT(CONCATENATE("csv!J",($J23)+4)))</f>
        <v>128179667</v>
      </c>
      <c r="J23">
        <f t="shared" si="0"/>
        <v>107</v>
      </c>
    </row>
    <row r="24" spans="1:10">
      <c r="A24" t="str" cm="1">
        <f t="array" aca="1" ref="A24" ca="1">INDIRECT(CONCATENATE("csv!A",$J24))</f>
        <v>CA</v>
      </c>
      <c r="B24" t="str" cm="1">
        <f t="array" aca="1" ref="B24" ca="1">INDIRECT(CONCATENATE("csv!E",$J24))</f>
        <v>loopback</v>
      </c>
      <c r="C24" s="3" cm="1">
        <f t="array" aca="1" ref="C24" ca="1">INDIRECT(CONCATENATE("csv!D",$J24))</f>
        <v>10000</v>
      </c>
      <c r="D24" s="3" cm="1">
        <f t="array" aca="1" ref="D24" ca="1">INDIRECT(CONCATENATE("csv!C",$J24))</f>
        <v>100</v>
      </c>
      <c r="E24" s="2">
        <f ca="1">AVERAGE(INDIRECT(CONCATENATE("csv!H",$J24)):INDIRECT(CONCATENATE("csv!H",($J24)+4)))</f>
        <v>239.94900000000001</v>
      </c>
      <c r="F24" s="2">
        <f ca="1">STDEV(INDIRECT(CONCATENATE("csv!H",$J24)):INDIRECT(CONCATENATE("csv!H",($J24)+4)))</f>
        <v>15.847394328406178</v>
      </c>
      <c r="G24" s="2">
        <f ca="1">MIN(INDIRECT(CONCATENATE("csv!H",$J24)):INDIRECT(CONCATENATE("csv!H",($J24)+4)))</f>
        <v>213.80799999999999</v>
      </c>
      <c r="H24" s="2">
        <f ca="1">MAX(INDIRECT(CONCATENATE("csv!H",$J24)):INDIRECT(CONCATENATE("csv!H",($J24)+4)))</f>
        <v>256.10500000000002</v>
      </c>
      <c r="I24" s="3">
        <f ca="1">SUM(INDIRECT(CONCATENATE("csv!J",$J24)):INDIRECT(CONCATENATE("csv!J",($J24)+4)))</f>
        <v>345949209</v>
      </c>
      <c r="J24">
        <f t="shared" si="0"/>
        <v>112</v>
      </c>
    </row>
    <row r="25" spans="1:10">
      <c r="A25" t="str" cm="1">
        <f t="array" aca="1" ref="A25" ca="1">INDIRECT(CONCATENATE("csv!A",$J25))</f>
        <v>CA</v>
      </c>
      <c r="B25" t="str" cm="1">
        <f t="array" aca="1" ref="B25" ca="1">INDIRECT(CONCATENATE("csv!E",$J25))</f>
        <v>loopback</v>
      </c>
      <c r="C25" s="3" cm="1">
        <f t="array" aca="1" ref="C25" ca="1">INDIRECT(CONCATENATE("csv!D",$J25))</f>
        <v>10000</v>
      </c>
      <c r="D25" s="3" cm="1">
        <f t="array" aca="1" ref="D25" ca="1">INDIRECT(CONCATENATE("csv!C",$J25))</f>
        <v>500</v>
      </c>
      <c r="E25" s="2">
        <f ca="1">AVERAGE(INDIRECT(CONCATENATE("csv!H",$J25)):INDIRECT(CONCATENATE("csv!H",($J25)+4)))</f>
        <v>104.63319999999999</v>
      </c>
      <c r="F25" s="2">
        <f ca="1">STDEV(INDIRECT(CONCATENATE("csv!H",$J25)):INDIRECT(CONCATENATE("csv!H",($J25)+4)))</f>
        <v>0.66563142954641152</v>
      </c>
      <c r="G25" s="2">
        <f ca="1">MIN(INDIRECT(CONCATENATE("csv!H",$J25)):INDIRECT(CONCATENATE("csv!H",($J25)+4)))</f>
        <v>103.637</v>
      </c>
      <c r="H25" s="2">
        <f ca="1">MAX(INDIRECT(CONCATENATE("csv!H",$J25)):INDIRECT(CONCATENATE("csv!H",($J25)+4)))</f>
        <v>105.295</v>
      </c>
      <c r="I25" s="3">
        <f ca="1">SUM(INDIRECT(CONCATENATE("csv!J",$J25)):INDIRECT(CONCATENATE("csv!J",($J25)+4)))</f>
        <v>383392140</v>
      </c>
      <c r="J25">
        <f t="shared" si="0"/>
        <v>117</v>
      </c>
    </row>
    <row r="26" spans="1:10">
      <c r="A26" t="str" cm="1">
        <f t="array" aca="1" ref="A26" ca="1">INDIRECT(CONCATENATE("csv!A",$J26))</f>
        <v>CA</v>
      </c>
      <c r="B26" t="str" cm="1">
        <f t="array" aca="1" ref="B26" ca="1">INDIRECT(CONCATENATE("csv!E",$J26))</f>
        <v>loopback</v>
      </c>
      <c r="C26" s="3" cm="1">
        <f t="array" aca="1" ref="C26" ca="1">INDIRECT(CONCATENATE("csv!D",$J26))</f>
        <v>10000</v>
      </c>
      <c r="D26" s="3" cm="1">
        <f t="array" aca="1" ref="D26" ca="1">INDIRECT(CONCATENATE("csv!C",$J26))</f>
        <v>1000</v>
      </c>
      <c r="E26" s="2">
        <f ca="1">AVERAGE(INDIRECT(CONCATENATE("csv!H",$J26)):INDIRECT(CONCATENATE("csv!H",($J26)+4)))</f>
        <v>26.119060000000001</v>
      </c>
      <c r="F26" s="2">
        <f ca="1">STDEV(INDIRECT(CONCATENATE("csv!H",$J26)):INDIRECT(CONCATENATE("csv!H",($J26)+4)))</f>
        <v>0.15783604784712479</v>
      </c>
      <c r="G26" s="2">
        <f ca="1">MIN(INDIRECT(CONCATENATE("csv!H",$J26)):INDIRECT(CONCATENATE("csv!H",($J26)+4)))</f>
        <v>25.962900000000001</v>
      </c>
      <c r="H26" s="2">
        <f ca="1">MAX(INDIRECT(CONCATENATE("csv!H",$J26)):INDIRECT(CONCATENATE("csv!H",($J26)+4)))</f>
        <v>26.3582</v>
      </c>
      <c r="I26" s="3">
        <f ca="1">SUM(INDIRECT(CONCATENATE("csv!J",$J26)):INDIRECT(CONCATENATE("csv!J",($J26)+4)))</f>
        <v>397906394</v>
      </c>
      <c r="J26">
        <f t="shared" si="0"/>
        <v>122</v>
      </c>
    </row>
    <row r="27" spans="1:10">
      <c r="A27" t="str" cm="1">
        <f t="array" aca="1" ref="A27" ca="1">INDIRECT(CONCATENATE("csv!A",$J27))</f>
        <v>CA</v>
      </c>
      <c r="B27" t="str" cm="1">
        <f t="array" aca="1" ref="B27" ca="1">INDIRECT(CONCATENATE("csv!E",$J27))</f>
        <v>loopback</v>
      </c>
      <c r="C27" s="3" cm="1">
        <f t="array" aca="1" ref="C27" ca="1">INDIRECT(CONCATENATE("csv!D",$J27))</f>
        <v>100000</v>
      </c>
      <c r="D27" s="3" cm="1">
        <f t="array" aca="1" ref="D27" ca="1">INDIRECT(CONCATENATE("csv!C",$J27))</f>
        <v>1</v>
      </c>
      <c r="E27" s="2">
        <f ca="1">AVERAGE(INDIRECT(CONCATENATE("csv!H",$J27)):INDIRECT(CONCATENATE("csv!H",($J27)+4)))</f>
        <v>24491.16</v>
      </c>
      <c r="F27" s="2">
        <f ca="1">STDEV(INDIRECT(CONCATENATE("csv!H",$J27)):INDIRECT(CONCATENATE("csv!H",($J27)+4)))</f>
        <v>434.26836518447902</v>
      </c>
      <c r="G27" s="2">
        <f ca="1">MIN(INDIRECT(CONCATENATE("csv!H",$J27)):INDIRECT(CONCATENATE("csv!H",($J27)+4)))</f>
        <v>24167.3</v>
      </c>
      <c r="H27" s="2">
        <f ca="1">MAX(INDIRECT(CONCATENATE("csv!H",$J27)):INDIRECT(CONCATENATE("csv!H",($J27)+4)))</f>
        <v>25231</v>
      </c>
      <c r="I27" s="3">
        <f ca="1">SUM(INDIRECT(CONCATENATE("csv!J",$J27)):INDIRECT(CONCATENATE("csv!J",($J27)+4)))</f>
        <v>3545793</v>
      </c>
      <c r="J27">
        <f t="shared" si="0"/>
        <v>127</v>
      </c>
    </row>
    <row r="28" spans="1:10">
      <c r="A28" t="str" cm="1">
        <f t="array" aca="1" ref="A28" ca="1">INDIRECT(CONCATENATE("csv!A",$J28))</f>
        <v>CA</v>
      </c>
      <c r="B28" t="str" cm="1">
        <f t="array" aca="1" ref="B28" ca="1">INDIRECT(CONCATENATE("csv!E",$J28))</f>
        <v>loopback</v>
      </c>
      <c r="C28" s="3" cm="1">
        <f t="array" aca="1" ref="C28" ca="1">INDIRECT(CONCATENATE("csv!D",$J28))</f>
        <v>100000</v>
      </c>
      <c r="D28" s="3" cm="1">
        <f t="array" aca="1" ref="D28" ca="1">INDIRECT(CONCATENATE("csv!C",$J28))</f>
        <v>10</v>
      </c>
      <c r="E28" s="2">
        <f ca="1">AVERAGE(INDIRECT(CONCATENATE("csv!H",$J28)):INDIRECT(CONCATENATE("csv!H",($J28)+4)))</f>
        <v>14165.320000000002</v>
      </c>
      <c r="F28" s="2">
        <f ca="1">STDEV(INDIRECT(CONCATENATE("csv!H",$J28)):INDIRECT(CONCATENATE("csv!H",($J28)+4)))</f>
        <v>115.61326480988237</v>
      </c>
      <c r="G28" s="2">
        <f ca="1">MIN(INDIRECT(CONCATENATE("csv!H",$J28)):INDIRECT(CONCATENATE("csv!H",($J28)+4)))</f>
        <v>14034.7</v>
      </c>
      <c r="H28" s="2">
        <f ca="1">MAX(INDIRECT(CONCATENATE("csv!H",$J28)):INDIRECT(CONCATENATE("csv!H",($J28)+4)))</f>
        <v>14344.6</v>
      </c>
      <c r="I28" s="3">
        <f ca="1">SUM(INDIRECT(CONCATENATE("csv!J",$J28)):INDIRECT(CONCATENATE("csv!J",($J28)+4)))</f>
        <v>17581749</v>
      </c>
      <c r="J28">
        <f t="shared" si="0"/>
        <v>132</v>
      </c>
    </row>
    <row r="29" spans="1:10">
      <c r="A29" t="str" cm="1">
        <f t="array" aca="1" ref="A29" ca="1">INDIRECT(CONCATENATE("csv!A",$J29))</f>
        <v>CA</v>
      </c>
      <c r="B29" t="str" cm="1">
        <f t="array" aca="1" ref="B29" ca="1">INDIRECT(CONCATENATE("csv!E",$J29))</f>
        <v>loopback</v>
      </c>
      <c r="C29" s="3" cm="1">
        <f t="array" aca="1" ref="C29" ca="1">INDIRECT(CONCATENATE("csv!D",$J29))</f>
        <v>100000</v>
      </c>
      <c r="D29" s="3" cm="1">
        <f t="array" aca="1" ref="D29" ca="1">INDIRECT(CONCATENATE("csv!C",$J29))</f>
        <v>100</v>
      </c>
      <c r="E29" s="2">
        <f ca="1">AVERAGE(INDIRECT(CONCATENATE("csv!H",$J29)):INDIRECT(CONCATENATE("csv!H",($J29)+4)))</f>
        <v>2201.7599999999998</v>
      </c>
      <c r="F29" s="2">
        <f ca="1">STDEV(INDIRECT(CONCATENATE("csv!H",$J29)):INDIRECT(CONCATENATE("csv!H",($J29)+4)))</f>
        <v>15.16213705253978</v>
      </c>
      <c r="G29" s="2">
        <f ca="1">MIN(INDIRECT(CONCATENATE("csv!H",$J29)):INDIRECT(CONCATENATE("csv!H",($J29)+4)))</f>
        <v>2182</v>
      </c>
      <c r="H29" s="2">
        <f ca="1">MAX(INDIRECT(CONCATENATE("csv!H",$J29)):INDIRECT(CONCATENATE("csv!H",($J29)+4)))</f>
        <v>2215.56</v>
      </c>
      <c r="I29" s="3">
        <f ca="1">SUM(INDIRECT(CONCATENATE("csv!J",$J29)):INDIRECT(CONCATENATE("csv!J",($J29)+4)))</f>
        <v>66006010</v>
      </c>
      <c r="J29">
        <f t="shared" si="0"/>
        <v>137</v>
      </c>
    </row>
    <row r="30" spans="1:10">
      <c r="A30" t="str" cm="1">
        <f t="array" aca="1" ref="A30" ca="1">INDIRECT(CONCATENATE("csv!A",$J30))</f>
        <v>CA</v>
      </c>
      <c r="B30" t="str" cm="1">
        <f t="array" aca="1" ref="B30" ca="1">INDIRECT(CONCATENATE("csv!E",$J30))</f>
        <v>loopback</v>
      </c>
      <c r="C30" s="3" cm="1">
        <f t="array" aca="1" ref="C30" ca="1">INDIRECT(CONCATENATE("csv!D",$J30))</f>
        <v>100000</v>
      </c>
      <c r="D30" s="3" cm="1">
        <f t="array" aca="1" ref="D30" ca="1">INDIRECT(CONCATENATE("csv!C",$J30))</f>
        <v>500</v>
      </c>
      <c r="E30" s="2">
        <f ca="1">AVERAGE(INDIRECT(CONCATENATE("csv!H",$J30)):INDIRECT(CONCATENATE("csv!H",($J30)+4)))</f>
        <v>112.4402</v>
      </c>
      <c r="F30" s="2">
        <f ca="1">STDEV(INDIRECT(CONCATENATE("csv!H",$J30)):INDIRECT(CONCATENATE("csv!H",($J30)+4)))</f>
        <v>10.54968306159005</v>
      </c>
      <c r="G30" s="2">
        <f ca="1">MIN(INDIRECT(CONCATENATE("csv!H",$J30)):INDIRECT(CONCATENATE("csv!H",($J30)+4)))</f>
        <v>99.465999999999994</v>
      </c>
      <c r="H30" s="2">
        <f ca="1">MAX(INDIRECT(CONCATENATE("csv!H",$J30)):INDIRECT(CONCATENATE("csv!H",($J30)+4)))</f>
        <v>123.965</v>
      </c>
      <c r="I30" s="3">
        <f ca="1">SUM(INDIRECT(CONCATENATE("csv!J",$J30)):INDIRECT(CONCATENATE("csv!J",($J30)+4)))</f>
        <v>295002588</v>
      </c>
      <c r="J30">
        <f t="shared" si="0"/>
        <v>142</v>
      </c>
    </row>
    <row r="31" spans="1:10">
      <c r="A31" t="str" cm="1">
        <f t="array" aca="1" ref="A31" ca="1">INDIRECT(CONCATENATE("csv!A",$J31))</f>
        <v>CA</v>
      </c>
      <c r="B31" t="str" cm="1">
        <f t="array" aca="1" ref="B31" ca="1">INDIRECT(CONCATENATE("csv!E",$J31))</f>
        <v>loopback</v>
      </c>
      <c r="C31" s="3" cm="1">
        <f t="array" aca="1" ref="C31" ca="1">INDIRECT(CONCATENATE("csv!D",$J31))</f>
        <v>100000</v>
      </c>
      <c r="D31" s="3" cm="1">
        <f t="array" aca="1" ref="D31" ca="1">INDIRECT(CONCATENATE("csv!C",$J31))</f>
        <v>1000</v>
      </c>
      <c r="E31" s="2">
        <f ca="1">AVERAGE(INDIRECT(CONCATENATE("csv!H",$J31)):INDIRECT(CONCATENATE("csv!H",($J31)+4)))</f>
        <v>11.354419999999999</v>
      </c>
      <c r="F31" s="2">
        <f ca="1">STDEV(INDIRECT(CONCATENATE("csv!H",$J31)):INDIRECT(CONCATENATE("csv!H",($J31)+4)))</f>
        <v>0.70108956417850032</v>
      </c>
      <c r="G31" s="2">
        <f ca="1">MIN(INDIRECT(CONCATENATE("csv!H",$J31)):INDIRECT(CONCATENATE("csv!H",($J31)+4)))</f>
        <v>10.771000000000001</v>
      </c>
      <c r="H31" s="2">
        <f ca="1">MAX(INDIRECT(CONCATENATE("csv!H",$J31)):INDIRECT(CONCATENATE("csv!H",($J31)+4)))</f>
        <v>12.2515</v>
      </c>
      <c r="I31" s="3">
        <f ca="1">SUM(INDIRECT(CONCATENATE("csv!J",$J31)):INDIRECT(CONCATENATE("csv!J",($J31)+4)))</f>
        <v>363384199</v>
      </c>
      <c r="J31">
        <f t="shared" si="0"/>
        <v>147</v>
      </c>
    </row>
    <row r="32" spans="1:10">
      <c r="A32" t="str" cm="1">
        <f t="array" aca="1" ref="A32" ca="1">INDIRECT(CONCATENATE("csv!A",$J32))</f>
        <v>PVA</v>
      </c>
      <c r="B32" t="str" cm="1">
        <f t="array" aca="1" ref="B32" ca="1">INDIRECT(CONCATENATE("csv!E",$J32))</f>
        <v>loopback</v>
      </c>
      <c r="C32" s="3" cm="1">
        <f t="array" aca="1" ref="C32" ca="1">INDIRECT(CONCATENATE("csv!D",$J32))</f>
        <v>1</v>
      </c>
      <c r="D32" s="3" cm="1">
        <f t="array" aca="1" ref="D32" ca="1">INDIRECT(CONCATENATE("csv!C",$J32))</f>
        <v>1</v>
      </c>
      <c r="E32" s="2">
        <f ca="1">AVERAGE(INDIRECT(CONCATENATE("csv!H",$J32)):INDIRECT(CONCATENATE("csv!H",($J32)+4)))</f>
        <v>107248.4</v>
      </c>
      <c r="F32" s="2">
        <f ca="1">STDEV(INDIRECT(CONCATENATE("csv!H",$J32)):INDIRECT(CONCATENATE("csv!H",($J32)+4)))</f>
        <v>3345.56591625393</v>
      </c>
      <c r="G32" s="2">
        <f ca="1">MIN(INDIRECT(CONCATENATE("csv!H",$J32)):INDIRECT(CONCATENATE("csv!H",($J32)+4)))</f>
        <v>101299</v>
      </c>
      <c r="H32" s="2">
        <f ca="1">MAX(INDIRECT(CONCATENATE("csv!H",$J32)):INDIRECT(CONCATENATE("csv!H",($J32)+4)))</f>
        <v>109244</v>
      </c>
      <c r="I32" s="3">
        <f ca="1">SUM(INDIRECT(CONCATENATE("csv!J",$J32)):INDIRECT(CONCATENATE("csv!J",($J32)+4)))</f>
        <v>8707</v>
      </c>
      <c r="J32">
        <f t="shared" si="0"/>
        <v>152</v>
      </c>
    </row>
    <row r="33" spans="1:10">
      <c r="A33" t="str" cm="1">
        <f t="array" aca="1" ref="A33" ca="1">INDIRECT(CONCATENATE("csv!A",$J33))</f>
        <v>PVA</v>
      </c>
      <c r="B33" t="str" cm="1">
        <f t="array" aca="1" ref="B33" ca="1">INDIRECT(CONCATENATE("csv!E",$J33))</f>
        <v>loopback</v>
      </c>
      <c r="C33" s="3" cm="1">
        <f t="array" aca="1" ref="C33" ca="1">INDIRECT(CONCATENATE("csv!D",$J33))</f>
        <v>1</v>
      </c>
      <c r="D33" s="3" cm="1">
        <f t="array" aca="1" ref="D33" ca="1">INDIRECT(CONCATENATE("csv!C",$J33))</f>
        <v>10</v>
      </c>
      <c r="E33" s="2">
        <f ca="1">AVERAGE(INDIRECT(CONCATENATE("csv!H",$J33)):INDIRECT(CONCATENATE("csv!H",($J33)+4)))</f>
        <v>7924.3740000000007</v>
      </c>
      <c r="F33" s="2">
        <f ca="1">STDEV(INDIRECT(CONCATENATE("csv!H",$J33)):INDIRECT(CONCATENATE("csv!H",($J33)+4)))</f>
        <v>432.38875260580028</v>
      </c>
      <c r="G33" s="2">
        <f ca="1">MIN(INDIRECT(CONCATENATE("csv!H",$J33)):INDIRECT(CONCATENATE("csv!H",($J33)+4)))</f>
        <v>7485.42</v>
      </c>
      <c r="H33" s="2">
        <f ca="1">MAX(INDIRECT(CONCATENATE("csv!H",$J33)):INDIRECT(CONCATENATE("csv!H",($J33)+4)))</f>
        <v>8647.58</v>
      </c>
      <c r="I33" s="3">
        <f ca="1">SUM(INDIRECT(CONCATENATE("csv!J",$J33)):INDIRECT(CONCATENATE("csv!J",($J33)+4)))</f>
        <v>11618337</v>
      </c>
      <c r="J33">
        <f t="shared" si="0"/>
        <v>157</v>
      </c>
    </row>
    <row r="34" spans="1:10">
      <c r="A34" t="str" cm="1">
        <f t="array" aca="1" ref="A34" ca="1">INDIRECT(CONCATENATE("csv!A",$J34))</f>
        <v>PVA</v>
      </c>
      <c r="B34" t="str" cm="1">
        <f t="array" aca="1" ref="B34" ca="1">INDIRECT(CONCATENATE("csv!E",$J34))</f>
        <v>loopback</v>
      </c>
      <c r="C34" s="3" cm="1">
        <f t="array" aca="1" ref="C34" ca="1">INDIRECT(CONCATENATE("csv!D",$J34))</f>
        <v>1</v>
      </c>
      <c r="D34" s="3" cm="1">
        <f t="array" aca="1" ref="D34" ca="1">INDIRECT(CONCATENATE("csv!C",$J34))</f>
        <v>100</v>
      </c>
      <c r="E34" s="2">
        <f ca="1">AVERAGE(INDIRECT(CONCATENATE("csv!H",$J34)):INDIRECT(CONCATENATE("csv!H",($J34)+4)))</f>
        <v>264.78280000000007</v>
      </c>
      <c r="F34" s="2">
        <f ca="1">STDEV(INDIRECT(CONCATENATE("csv!H",$J34)):INDIRECT(CONCATENATE("csv!H",($J34)+4)))</f>
        <v>22.235280697576101</v>
      </c>
      <c r="G34" s="2">
        <f ca="1">MIN(INDIRECT(CONCATENATE("csv!H",$J34)):INDIRECT(CONCATENATE("csv!H",($J34)+4)))</f>
        <v>240.33</v>
      </c>
      <c r="H34" s="2">
        <f ca="1">MAX(INDIRECT(CONCATENATE("csv!H",$J34)):INDIRECT(CONCATENATE("csv!H",($J34)+4)))</f>
        <v>294.39800000000002</v>
      </c>
      <c r="I34" s="3">
        <f ca="1">SUM(INDIRECT(CONCATENATE("csv!J",$J34)):INDIRECT(CONCATENATE("csv!J",($J34)+4)))</f>
        <v>21341759</v>
      </c>
      <c r="J34">
        <f t="shared" si="0"/>
        <v>162</v>
      </c>
    </row>
    <row r="35" spans="1:10">
      <c r="A35" t="str" cm="1">
        <f t="array" aca="1" ref="A35" ca="1">INDIRECT(CONCATENATE("csv!A",$J35))</f>
        <v>PVA</v>
      </c>
      <c r="B35" t="str" cm="1">
        <f t="array" aca="1" ref="B35" ca="1">INDIRECT(CONCATENATE("csv!E",$J35))</f>
        <v>loopback</v>
      </c>
      <c r="C35" s="3" cm="1">
        <f t="array" aca="1" ref="C35" ca="1">INDIRECT(CONCATENATE("csv!D",$J35))</f>
        <v>1</v>
      </c>
      <c r="D35" s="3" cm="1">
        <f t="array" aca="1" ref="D35" ca="1">INDIRECT(CONCATENATE("csv!C",$J35))</f>
        <v>500</v>
      </c>
      <c r="E35" s="2">
        <f ca="1">AVERAGE(INDIRECT(CONCATENATE("csv!H",$J35)):INDIRECT(CONCATENATE("csv!H",($J35)+4)))</f>
        <v>252.11839999999998</v>
      </c>
      <c r="F35" s="2">
        <f ca="1">STDEV(INDIRECT(CONCATENATE("csv!H",$J35)):INDIRECT(CONCATENATE("csv!H",($J35)+4)))</f>
        <v>71.429499912851156</v>
      </c>
      <c r="G35" s="2">
        <f ca="1">MIN(INDIRECT(CONCATENATE("csv!H",$J35)):INDIRECT(CONCATENATE("csv!H",($J35)+4)))</f>
        <v>167.512</v>
      </c>
      <c r="H35" s="2">
        <f ca="1">MAX(INDIRECT(CONCATENATE("csv!H",$J35)):INDIRECT(CONCATENATE("csv!H",($J35)+4)))</f>
        <v>362.78899999999999</v>
      </c>
      <c r="I35" s="3">
        <f ca="1">SUM(INDIRECT(CONCATENATE("csv!J",$J35)):INDIRECT(CONCATENATE("csv!J",($J35)+4)))</f>
        <v>20292220</v>
      </c>
      <c r="J35">
        <f t="shared" si="0"/>
        <v>167</v>
      </c>
    </row>
    <row r="36" spans="1:10">
      <c r="A36" t="str" cm="1">
        <f t="array" aca="1" ref="A36" ca="1">INDIRECT(CONCATENATE("csv!A",$J36))</f>
        <v>PVA</v>
      </c>
      <c r="B36" t="str" cm="1">
        <f t="array" aca="1" ref="B36" ca="1">INDIRECT(CONCATENATE("csv!E",$J36))</f>
        <v>loopback</v>
      </c>
      <c r="C36" s="3" cm="1">
        <f t="array" aca="1" ref="C36" ca="1">INDIRECT(CONCATENATE("csv!D",$J36))</f>
        <v>1</v>
      </c>
      <c r="D36" s="3" cm="1">
        <f t="array" aca="1" ref="D36" ca="1">INDIRECT(CONCATENATE("csv!C",$J36))</f>
        <v>1000</v>
      </c>
      <c r="E36" s="2">
        <f ca="1">AVERAGE(INDIRECT(CONCATENATE("csv!H",$J36)):INDIRECT(CONCATENATE("csv!H",($J36)+4)))</f>
        <v>257.99939999999998</v>
      </c>
      <c r="F36" s="2">
        <f ca="1">STDEV(INDIRECT(CONCATENATE("csv!H",$J36)):INDIRECT(CONCATENATE("csv!H",($J36)+4)))</f>
        <v>3.5863926583685792</v>
      </c>
      <c r="G36" s="2">
        <f ca="1">MIN(INDIRECT(CONCATENATE("csv!H",$J36)):INDIRECT(CONCATENATE("csv!H",($J36)+4)))</f>
        <v>255.23500000000001</v>
      </c>
      <c r="H36" s="2">
        <f ca="1">MAX(INDIRECT(CONCATENATE("csv!H",$J36)):INDIRECT(CONCATENATE("csv!H",($J36)+4)))</f>
        <v>264.23500000000001</v>
      </c>
      <c r="I36" s="3">
        <f ca="1">SUM(INDIRECT(CONCATENATE("csv!J",$J36)):INDIRECT(CONCATENATE("csv!J",($J36)+4)))</f>
        <v>15237137</v>
      </c>
      <c r="J36">
        <f t="shared" si="0"/>
        <v>172</v>
      </c>
    </row>
    <row r="37" spans="1:10">
      <c r="A37" t="str" cm="1">
        <f t="array" aca="1" ref="A37" ca="1">INDIRECT(CONCATENATE("csv!A",$J37))</f>
        <v>PVA</v>
      </c>
      <c r="B37" t="str" cm="1">
        <f t="array" aca="1" ref="B37" ca="1">INDIRECT(CONCATENATE("csv!E",$J37))</f>
        <v>loopback</v>
      </c>
      <c r="C37" s="3" cm="1">
        <f t="array" aca="1" ref="C37" ca="1">INDIRECT(CONCATENATE("csv!D",$J37))</f>
        <v>10</v>
      </c>
      <c r="D37" s="3" cm="1">
        <f t="array" aca="1" ref="D37" ca="1">INDIRECT(CONCATENATE("csv!C",$J37))</f>
        <v>1</v>
      </c>
      <c r="E37" s="2">
        <f ca="1">AVERAGE(INDIRECT(CONCATENATE("csv!H",$J37)):INDIRECT(CONCATENATE("csv!H",($J37)+4)))</f>
        <v>107652.8</v>
      </c>
      <c r="F37" s="2">
        <f ca="1">STDEV(INDIRECT(CONCATENATE("csv!H",$J37)):INDIRECT(CONCATENATE("csv!H",($J37)+4)))</f>
        <v>5306.3469732010553</v>
      </c>
      <c r="G37" s="2">
        <f ca="1">MIN(INDIRECT(CONCATENATE("csv!H",$J37)):INDIRECT(CONCATENATE("csv!H",($J37)+4)))</f>
        <v>100792</v>
      </c>
      <c r="H37" s="2">
        <f ca="1">MAX(INDIRECT(CONCATENATE("csv!H",$J37)):INDIRECT(CONCATENATE("csv!H",($J37)+4)))</f>
        <v>114183</v>
      </c>
      <c r="I37" s="3">
        <f ca="1">SUM(INDIRECT(CONCATENATE("csv!J",$J37)):INDIRECT(CONCATENATE("csv!J",($J37)+4)))</f>
        <v>26294</v>
      </c>
      <c r="J37">
        <f t="shared" si="0"/>
        <v>177</v>
      </c>
    </row>
    <row r="38" spans="1:10">
      <c r="A38" t="str" cm="1">
        <f t="array" aca="1" ref="A38" ca="1">INDIRECT(CONCATENATE("csv!A",$J38))</f>
        <v>PVA</v>
      </c>
      <c r="B38" t="str" cm="1">
        <f t="array" aca="1" ref="B38" ca="1">INDIRECT(CONCATENATE("csv!E",$J38))</f>
        <v>loopback</v>
      </c>
      <c r="C38" s="3" cm="1">
        <f t="array" aca="1" ref="C38" ca="1">INDIRECT(CONCATENATE("csv!D",$J38))</f>
        <v>10</v>
      </c>
      <c r="D38" s="3" cm="1">
        <f t="array" aca="1" ref="D38" ca="1">INDIRECT(CONCATENATE("csv!C",$J38))</f>
        <v>10</v>
      </c>
      <c r="E38" s="2">
        <f ca="1">AVERAGE(INDIRECT(CONCATENATE("csv!H",$J38)):INDIRECT(CONCATENATE("csv!H",($J38)+4)))</f>
        <v>11154.68</v>
      </c>
      <c r="F38" s="2">
        <f ca="1">STDEV(INDIRECT(CONCATENATE("csv!H",$J38)):INDIRECT(CONCATENATE("csv!H",($J38)+4)))</f>
        <v>307.31600511525585</v>
      </c>
      <c r="G38" s="2">
        <f ca="1">MIN(INDIRECT(CONCATENATE("csv!H",$J38)):INDIRECT(CONCATENATE("csv!H",($J38)+4)))</f>
        <v>10633.5</v>
      </c>
      <c r="H38" s="2">
        <f ca="1">MAX(INDIRECT(CONCATENATE("csv!H",$J38)):INDIRECT(CONCATENATE("csv!H",($J38)+4)))</f>
        <v>11364.4</v>
      </c>
      <c r="I38" s="3">
        <f ca="1">SUM(INDIRECT(CONCATENATE("csv!J",$J38)):INDIRECT(CONCATENATE("csv!J",($J38)+4)))</f>
        <v>10736077</v>
      </c>
      <c r="J38">
        <f t="shared" si="0"/>
        <v>182</v>
      </c>
    </row>
    <row r="39" spans="1:10">
      <c r="A39" t="str" cm="1">
        <f t="array" aca="1" ref="A39" ca="1">INDIRECT(CONCATENATE("csv!A",$J39))</f>
        <v>PVA</v>
      </c>
      <c r="B39" t="str" cm="1">
        <f t="array" aca="1" ref="B39" ca="1">INDIRECT(CONCATENATE("csv!E",$J39))</f>
        <v>loopback</v>
      </c>
      <c r="C39" s="3" cm="1">
        <f t="array" aca="1" ref="C39" ca="1">INDIRECT(CONCATENATE("csv!D",$J39))</f>
        <v>10</v>
      </c>
      <c r="D39" s="3" cm="1">
        <f t="array" aca="1" ref="D39" ca="1">INDIRECT(CONCATENATE("csv!C",$J39))</f>
        <v>100</v>
      </c>
      <c r="E39" s="2">
        <f ca="1">AVERAGE(INDIRECT(CONCATENATE("csv!H",$J39)):INDIRECT(CONCATENATE("csv!H",($J39)+4)))</f>
        <v>314.46159999999998</v>
      </c>
      <c r="F39" s="2">
        <f ca="1">STDEV(INDIRECT(CONCATENATE("csv!H",$J39)):INDIRECT(CONCATENATE("csv!H",($J39)+4)))</f>
        <v>12.616759282795234</v>
      </c>
      <c r="G39" s="2">
        <f ca="1">MIN(INDIRECT(CONCATENATE("csv!H",$J39)):INDIRECT(CONCATENATE("csv!H",($J39)+4)))</f>
        <v>292.88400000000001</v>
      </c>
      <c r="H39" s="2">
        <f ca="1">MAX(INDIRECT(CONCATENATE("csv!H",$J39)):INDIRECT(CONCATENATE("csv!H",($J39)+4)))</f>
        <v>325.08999999999997</v>
      </c>
      <c r="I39" s="3">
        <f ca="1">SUM(INDIRECT(CONCATENATE("csv!J",$J39)):INDIRECT(CONCATENATE("csv!J",($J39)+4)))</f>
        <v>20818738</v>
      </c>
      <c r="J39">
        <f t="shared" si="0"/>
        <v>187</v>
      </c>
    </row>
    <row r="40" spans="1:10">
      <c r="A40" t="str" cm="1">
        <f t="array" aca="1" ref="A40" ca="1">INDIRECT(CONCATENATE("csv!A",$J40))</f>
        <v>PVA</v>
      </c>
      <c r="B40" t="str" cm="1">
        <f t="array" aca="1" ref="B40" ca="1">INDIRECT(CONCATENATE("csv!E",$J40))</f>
        <v>loopback</v>
      </c>
      <c r="C40" s="3" cm="1">
        <f t="array" aca="1" ref="C40" ca="1">INDIRECT(CONCATENATE("csv!D",$J40))</f>
        <v>10</v>
      </c>
      <c r="D40" s="3" cm="1">
        <f t="array" aca="1" ref="D40" ca="1">INDIRECT(CONCATENATE("csv!C",$J40))</f>
        <v>500</v>
      </c>
      <c r="E40" s="2">
        <f ca="1">AVERAGE(INDIRECT(CONCATENATE("csv!H",$J40)):INDIRECT(CONCATENATE("csv!H",($J40)+4)))</f>
        <v>138.43860000000001</v>
      </c>
      <c r="F40" s="2">
        <f ca="1">STDEV(INDIRECT(CONCATENATE("csv!H",$J40)):INDIRECT(CONCATENATE("csv!H",($J40)+4)))</f>
        <v>10.779351501829781</v>
      </c>
      <c r="G40" s="2">
        <f ca="1">MIN(INDIRECT(CONCATENATE("csv!H",$J40)):INDIRECT(CONCATENATE("csv!H",($J40)+4)))</f>
        <v>122.98399999999999</v>
      </c>
      <c r="H40" s="2">
        <f ca="1">MAX(INDIRECT(CONCATENATE("csv!H",$J40)):INDIRECT(CONCATENATE("csv!H",($J40)+4)))</f>
        <v>150.559</v>
      </c>
      <c r="I40" s="3">
        <f ca="1">SUM(INDIRECT(CONCATENATE("csv!J",$J40)):INDIRECT(CONCATENATE("csv!J",($J40)+4)))</f>
        <v>21847297</v>
      </c>
      <c r="J40">
        <f t="shared" si="0"/>
        <v>192</v>
      </c>
    </row>
    <row r="41" spans="1:10">
      <c r="A41" t="str" cm="1">
        <f t="array" aca="1" ref="A41" ca="1">INDIRECT(CONCATENATE("csv!A",$J41))</f>
        <v>PVA</v>
      </c>
      <c r="B41" t="str" cm="1">
        <f t="array" aca="1" ref="B41" ca="1">INDIRECT(CONCATENATE("csv!E",$J41))</f>
        <v>loopback</v>
      </c>
      <c r="C41" s="3" cm="1">
        <f t="array" aca="1" ref="C41" ca="1">INDIRECT(CONCATENATE("csv!D",$J41))</f>
        <v>10</v>
      </c>
      <c r="D41" s="3" cm="1">
        <f t="array" aca="1" ref="D41" ca="1">INDIRECT(CONCATENATE("csv!C",$J41))</f>
        <v>1000</v>
      </c>
      <c r="E41" s="2">
        <f ca="1">AVERAGE(INDIRECT(CONCATENATE("csv!H",$J41)):INDIRECT(CONCATENATE("csv!H",($J41)+4)))</f>
        <v>161.74519999999998</v>
      </c>
      <c r="F41" s="2">
        <f ca="1">STDEV(INDIRECT(CONCATENATE("csv!H",$J41)):INDIRECT(CONCATENATE("csv!H",($J41)+4)))</f>
        <v>16.114285112905264</v>
      </c>
      <c r="G41" s="2">
        <f ca="1">MIN(INDIRECT(CONCATENATE("csv!H",$J41)):INDIRECT(CONCATENATE("csv!H",($J41)+4)))</f>
        <v>138.65799999999999</v>
      </c>
      <c r="H41" s="2">
        <f ca="1">MAX(INDIRECT(CONCATENATE("csv!H",$J41)):INDIRECT(CONCATENATE("csv!H",($J41)+4)))</f>
        <v>178.75800000000001</v>
      </c>
      <c r="I41" s="3">
        <f ca="1">SUM(INDIRECT(CONCATENATE("csv!J",$J41)):INDIRECT(CONCATENATE("csv!J",($J41)+4)))</f>
        <v>19884753</v>
      </c>
      <c r="J41">
        <f t="shared" si="0"/>
        <v>197</v>
      </c>
    </row>
    <row r="42" spans="1:10">
      <c r="A42" t="str" cm="1">
        <f t="array" aca="1" ref="A42" ca="1">INDIRECT(CONCATENATE("csv!A",$J42))</f>
        <v>PVA</v>
      </c>
      <c r="B42" t="str" cm="1">
        <f t="array" aca="1" ref="B42" ca="1">INDIRECT(CONCATENATE("csv!E",$J42))</f>
        <v>loopback</v>
      </c>
      <c r="C42" s="3" cm="1">
        <f t="array" aca="1" ref="C42" ca="1">INDIRECT(CONCATENATE("csv!D",$J42))</f>
        <v>100</v>
      </c>
      <c r="D42" s="3" cm="1">
        <f t="array" aca="1" ref="D42" ca="1">INDIRECT(CONCATENATE("csv!C",$J42))</f>
        <v>1</v>
      </c>
      <c r="E42" s="2">
        <f ca="1">AVERAGE(INDIRECT(CONCATENATE("csv!H",$J42)):INDIRECT(CONCATENATE("csv!H",($J42)+4)))</f>
        <v>99042.12</v>
      </c>
      <c r="F42" s="2">
        <f ca="1">STDEV(INDIRECT(CONCATENATE("csv!H",$J42)):INDIRECT(CONCATENATE("csv!H",($J42)+4)))</f>
        <v>9703.4568606759949</v>
      </c>
      <c r="G42" s="2">
        <f ca="1">MIN(INDIRECT(CONCATENATE("csv!H",$J42)):INDIRECT(CONCATENATE("csv!H",($J42)+4)))</f>
        <v>87409.9</v>
      </c>
      <c r="H42" s="2">
        <f ca="1">MAX(INDIRECT(CONCATENATE("csv!H",$J42)):INDIRECT(CONCATENATE("csv!H",($J42)+4)))</f>
        <v>110585</v>
      </c>
      <c r="I42" s="3">
        <f ca="1">SUM(INDIRECT(CONCATENATE("csv!J",$J42)):INDIRECT(CONCATENATE("csv!J",($J42)+4)))</f>
        <v>131192</v>
      </c>
      <c r="J42">
        <f t="shared" si="0"/>
        <v>202</v>
      </c>
    </row>
    <row r="43" spans="1:10">
      <c r="A43" t="str" cm="1">
        <f t="array" aca="1" ref="A43" ca="1">INDIRECT(CONCATENATE("csv!A",$J43))</f>
        <v>PVA</v>
      </c>
      <c r="B43" t="str" cm="1">
        <f t="array" aca="1" ref="B43" ca="1">INDIRECT(CONCATENATE("csv!E",$J43))</f>
        <v>loopback</v>
      </c>
      <c r="C43" s="3" cm="1">
        <f t="array" aca="1" ref="C43" ca="1">INDIRECT(CONCATENATE("csv!D",$J43))</f>
        <v>100</v>
      </c>
      <c r="D43" s="3" cm="1">
        <f t="array" aca="1" ref="D43" ca="1">INDIRECT(CONCATENATE("csv!C",$J43))</f>
        <v>10</v>
      </c>
      <c r="E43" s="2">
        <f ca="1">AVERAGE(INDIRECT(CONCATENATE("csv!H",$J43)):INDIRECT(CONCATENATE("csv!H",($J43)+4)))</f>
        <v>8841.0639999999985</v>
      </c>
      <c r="F43" s="2">
        <f ca="1">STDEV(INDIRECT(CONCATENATE("csv!H",$J43)):INDIRECT(CONCATENATE("csv!H",($J43)+4)))</f>
        <v>356.49765718725251</v>
      </c>
      <c r="G43" s="2">
        <f ca="1">MIN(INDIRECT(CONCATENATE("csv!H",$J43)):INDIRECT(CONCATENATE("csv!H",($J43)+4)))</f>
        <v>8450.09</v>
      </c>
      <c r="H43" s="2">
        <f ca="1">MAX(INDIRECT(CONCATENATE("csv!H",$J43)):INDIRECT(CONCATENATE("csv!H",($J43)+4)))</f>
        <v>9414.7999999999993</v>
      </c>
      <c r="I43" s="3">
        <f ca="1">SUM(INDIRECT(CONCATENATE("csv!J",$J43)):INDIRECT(CONCATENATE("csv!J",($J43)+4)))</f>
        <v>11276417</v>
      </c>
      <c r="J43">
        <f t="shared" si="0"/>
        <v>207</v>
      </c>
    </row>
    <row r="44" spans="1:10">
      <c r="A44" t="str" cm="1">
        <f t="array" aca="1" ref="A44" ca="1">INDIRECT(CONCATENATE("csv!A",$J44))</f>
        <v>PVA</v>
      </c>
      <c r="B44" t="str" cm="1">
        <f t="array" aca="1" ref="B44" ca="1">INDIRECT(CONCATENATE("csv!E",$J44))</f>
        <v>loopback</v>
      </c>
      <c r="C44" s="3" cm="1">
        <f t="array" aca="1" ref="C44" ca="1">INDIRECT(CONCATENATE("csv!D",$J44))</f>
        <v>100</v>
      </c>
      <c r="D44" s="3" cm="1">
        <f t="array" aca="1" ref="D44" ca="1">INDIRECT(CONCATENATE("csv!C",$J44))</f>
        <v>100</v>
      </c>
      <c r="E44" s="2">
        <f ca="1">AVERAGE(INDIRECT(CONCATENATE("csv!H",$J44)):INDIRECT(CONCATENATE("csv!H",($J44)+4)))</f>
        <v>578.25740000000008</v>
      </c>
      <c r="F44" s="2">
        <f ca="1">STDEV(INDIRECT(CONCATENATE("csv!H",$J44)):INDIRECT(CONCATENATE("csv!H",($J44)+4)))</f>
        <v>21.21875157260672</v>
      </c>
      <c r="G44" s="2">
        <f ca="1">MIN(INDIRECT(CONCATENATE("csv!H",$J44)):INDIRECT(CONCATENATE("csv!H",($J44)+4)))</f>
        <v>544.58299999999997</v>
      </c>
      <c r="H44" s="2">
        <f ca="1">MAX(INDIRECT(CONCATENATE("csv!H",$J44)):INDIRECT(CONCATENATE("csv!H",($J44)+4)))</f>
        <v>600.95799999999997</v>
      </c>
      <c r="I44" s="3">
        <f ca="1">SUM(INDIRECT(CONCATENATE("csv!J",$J44)):INDIRECT(CONCATENATE("csv!J",($J44)+4)))</f>
        <v>20094812</v>
      </c>
      <c r="J44">
        <f t="shared" si="0"/>
        <v>212</v>
      </c>
    </row>
    <row r="45" spans="1:10">
      <c r="A45" t="str" cm="1">
        <f t="array" aca="1" ref="A45" ca="1">INDIRECT(CONCATENATE("csv!A",$J45))</f>
        <v>PVA</v>
      </c>
      <c r="B45" t="str" cm="1">
        <f t="array" aca="1" ref="B45" ca="1">INDIRECT(CONCATENATE("csv!E",$J45))</f>
        <v>loopback</v>
      </c>
      <c r="C45" s="3" cm="1">
        <f t="array" aca="1" ref="C45" ca="1">INDIRECT(CONCATENATE("csv!D",$J45))</f>
        <v>100</v>
      </c>
      <c r="D45" s="3" cm="1">
        <f t="array" aca="1" ref="D45" ca="1">INDIRECT(CONCATENATE("csv!C",$J45))</f>
        <v>500</v>
      </c>
      <c r="E45" s="2">
        <f ca="1">AVERAGE(INDIRECT(CONCATENATE("csv!H",$J45)):INDIRECT(CONCATENATE("csv!H",($J45)+4)))</f>
        <v>172.48939999999999</v>
      </c>
      <c r="F45" s="2">
        <f ca="1">STDEV(INDIRECT(CONCATENATE("csv!H",$J45)):INDIRECT(CONCATENATE("csv!H",($J45)+4)))</f>
        <v>37.312179496780914</v>
      </c>
      <c r="G45" s="2">
        <f ca="1">MIN(INDIRECT(CONCATENATE("csv!H",$J45)):INDIRECT(CONCATENATE("csv!H",($J45)+4)))</f>
        <v>133.56899999999999</v>
      </c>
      <c r="H45" s="2">
        <f ca="1">MAX(INDIRECT(CONCATENATE("csv!H",$J45)):INDIRECT(CONCATENATE("csv!H",($J45)+4)))</f>
        <v>223.18799999999999</v>
      </c>
      <c r="I45" s="3">
        <f ca="1">SUM(INDIRECT(CONCATENATE("csv!J",$J45)):INDIRECT(CONCATENATE("csv!J",($J45)+4)))</f>
        <v>21214432</v>
      </c>
      <c r="J45">
        <f t="shared" si="0"/>
        <v>217</v>
      </c>
    </row>
    <row r="46" spans="1:10">
      <c r="A46" t="str" cm="1">
        <f t="array" aca="1" ref="A46" ca="1">INDIRECT(CONCATENATE("csv!A",$J46))</f>
        <v>PVA</v>
      </c>
      <c r="B46" t="str" cm="1">
        <f t="array" aca="1" ref="B46" ca="1">INDIRECT(CONCATENATE("csv!E",$J46))</f>
        <v>loopback</v>
      </c>
      <c r="C46" s="3" cm="1">
        <f t="array" aca="1" ref="C46" ca="1">INDIRECT(CONCATENATE("csv!D",$J46))</f>
        <v>100</v>
      </c>
      <c r="D46" s="3" cm="1">
        <f t="array" aca="1" ref="D46" ca="1">INDIRECT(CONCATENATE("csv!C",$J46))</f>
        <v>1000</v>
      </c>
      <c r="E46" s="2">
        <f ca="1">AVERAGE(INDIRECT(CONCATENATE("csv!H",$J46)):INDIRECT(CONCATENATE("csv!H",($J46)+4)))</f>
        <v>160.59800000000001</v>
      </c>
      <c r="F46" s="2">
        <f ca="1">STDEV(INDIRECT(CONCATENATE("csv!H",$J46)):INDIRECT(CONCATENATE("csv!H",($J46)+4)))</f>
        <v>6.5155633678140203</v>
      </c>
      <c r="G46" s="2">
        <f ca="1">MIN(INDIRECT(CONCATENATE("csv!H",$J46)):INDIRECT(CONCATENATE("csv!H",($J46)+4)))</f>
        <v>152.98699999999999</v>
      </c>
      <c r="H46" s="2">
        <f ca="1">MAX(INDIRECT(CONCATENATE("csv!H",$J46)):INDIRECT(CONCATENATE("csv!H",($J46)+4)))</f>
        <v>169.899</v>
      </c>
      <c r="I46" s="3">
        <f ca="1">SUM(INDIRECT(CONCATENATE("csv!J",$J46)):INDIRECT(CONCATENATE("csv!J",($J46)+4)))</f>
        <v>19242805</v>
      </c>
      <c r="J46">
        <f t="shared" si="0"/>
        <v>222</v>
      </c>
    </row>
    <row r="47" spans="1:10">
      <c r="A47" t="str" cm="1">
        <f t="array" aca="1" ref="A47" ca="1">INDIRECT(CONCATENATE("csv!A",$J47))</f>
        <v>PVA</v>
      </c>
      <c r="B47" t="str" cm="1">
        <f t="array" aca="1" ref="B47" ca="1">INDIRECT(CONCATENATE("csv!E",$J47))</f>
        <v>loopback</v>
      </c>
      <c r="C47" s="3" cm="1">
        <f t="array" aca="1" ref="C47" ca="1">INDIRECT(CONCATENATE("csv!D",$J47))</f>
        <v>1000</v>
      </c>
      <c r="D47" s="3" cm="1">
        <f t="array" aca="1" ref="D47" ca="1">INDIRECT(CONCATENATE("csv!C",$J47))</f>
        <v>1</v>
      </c>
      <c r="E47" s="2">
        <f ca="1">AVERAGE(INDIRECT(CONCATENATE("csv!H",$J47)):INDIRECT(CONCATENATE("csv!H",($J47)+4)))</f>
        <v>84055.34</v>
      </c>
      <c r="F47" s="2">
        <f ca="1">STDEV(INDIRECT(CONCATENATE("csv!H",$J47)):INDIRECT(CONCATENATE("csv!H",($J47)+4)))</f>
        <v>5188.5478366302113</v>
      </c>
      <c r="G47" s="2">
        <f ca="1">MIN(INDIRECT(CONCATENATE("csv!H",$J47)):INDIRECT(CONCATENATE("csv!H",($J47)+4)))</f>
        <v>76535.399999999994</v>
      </c>
      <c r="H47" s="2">
        <f ca="1">MAX(INDIRECT(CONCATENATE("csv!H",$J47)):INDIRECT(CONCATENATE("csv!H",($J47)+4)))</f>
        <v>88832.1</v>
      </c>
      <c r="I47" s="3">
        <f ca="1">SUM(INDIRECT(CONCATENATE("csv!J",$J47)):INDIRECT(CONCATENATE("csv!J",($J47)+4)))</f>
        <v>541877</v>
      </c>
      <c r="J47">
        <f t="shared" si="0"/>
        <v>227</v>
      </c>
    </row>
    <row r="48" spans="1:10">
      <c r="A48" t="str" cm="1">
        <f t="array" aca="1" ref="A48" ca="1">INDIRECT(CONCATENATE("csv!A",$J48))</f>
        <v>PVA</v>
      </c>
      <c r="B48" t="str" cm="1">
        <f t="array" aca="1" ref="B48" ca="1">INDIRECT(CONCATENATE("csv!E",$J48))</f>
        <v>loopback</v>
      </c>
      <c r="C48" s="3" cm="1">
        <f t="array" aca="1" ref="C48" ca="1">INDIRECT(CONCATENATE("csv!D",$J48))</f>
        <v>1000</v>
      </c>
      <c r="D48" s="3" cm="1">
        <f t="array" aca="1" ref="D48" ca="1">INDIRECT(CONCATENATE("csv!C",$J48))</f>
        <v>10</v>
      </c>
      <c r="E48" s="2">
        <f ca="1">AVERAGE(INDIRECT(CONCATENATE("csv!H",$J48)):INDIRECT(CONCATENATE("csv!H",($J48)+4)))</f>
        <v>9715.4079999999994</v>
      </c>
      <c r="F48" s="2">
        <f ca="1">STDEV(INDIRECT(CONCATENATE("csv!H",$J48)):INDIRECT(CONCATENATE("csv!H",($J48)+4)))</f>
        <v>292.79124725647085</v>
      </c>
      <c r="G48" s="2">
        <f ca="1">MIN(INDIRECT(CONCATENATE("csv!H",$J48)):INDIRECT(CONCATENATE("csv!H",($J48)+4)))</f>
        <v>9421.86</v>
      </c>
      <c r="H48" s="2">
        <f ca="1">MAX(INDIRECT(CONCATENATE("csv!H",$J48)):INDIRECT(CONCATENATE("csv!H",($J48)+4)))</f>
        <v>10060.9</v>
      </c>
      <c r="I48" s="3">
        <f ca="1">SUM(INDIRECT(CONCATENATE("csv!J",$J48)):INDIRECT(CONCATENATE("csv!J",($J48)+4)))</f>
        <v>9467035</v>
      </c>
      <c r="J48">
        <f t="shared" si="0"/>
        <v>232</v>
      </c>
    </row>
    <row r="49" spans="1:10">
      <c r="A49" t="str" cm="1">
        <f t="array" aca="1" ref="A49" ca="1">INDIRECT(CONCATENATE("csv!A",$J49))</f>
        <v>PVA</v>
      </c>
      <c r="B49" t="str" cm="1">
        <f t="array" aca="1" ref="B49" ca="1">INDIRECT(CONCATENATE("csv!E",$J49))</f>
        <v>loopback</v>
      </c>
      <c r="C49" s="3" cm="1">
        <f t="array" aca="1" ref="C49" ca="1">INDIRECT(CONCATENATE("csv!D",$J49))</f>
        <v>1000</v>
      </c>
      <c r="D49" s="3" cm="1">
        <f t="array" aca="1" ref="D49" ca="1">INDIRECT(CONCATENATE("csv!C",$J49))</f>
        <v>100</v>
      </c>
      <c r="E49" s="2">
        <f ca="1">AVERAGE(INDIRECT(CONCATENATE("csv!H",$J49)):INDIRECT(CONCATENATE("csv!H",($J49)+4)))</f>
        <v>909.7342000000001</v>
      </c>
      <c r="F49" s="2">
        <f ca="1">STDEV(INDIRECT(CONCATENATE("csv!H",$J49)):INDIRECT(CONCATENATE("csv!H",($J49)+4)))</f>
        <v>166.49221601083866</v>
      </c>
      <c r="G49" s="2">
        <f ca="1">MIN(INDIRECT(CONCATENATE("csv!H",$J49)):INDIRECT(CONCATENATE("csv!H",($J49)+4)))</f>
        <v>745.447</v>
      </c>
      <c r="H49" s="2">
        <f ca="1">MAX(INDIRECT(CONCATENATE("csv!H",$J49)):INDIRECT(CONCATENATE("csv!H",($J49)+4)))</f>
        <v>1189.95</v>
      </c>
      <c r="I49" s="3">
        <f ca="1">SUM(INDIRECT(CONCATENATE("csv!J",$J49)):INDIRECT(CONCATENATE("csv!J",($J49)+4)))</f>
        <v>16726438</v>
      </c>
      <c r="J49">
        <f t="shared" si="0"/>
        <v>237</v>
      </c>
    </row>
    <row r="50" spans="1:10">
      <c r="A50" t="str" cm="1">
        <f t="array" aca="1" ref="A50" ca="1">INDIRECT(CONCATENATE("csv!A",$J50))</f>
        <v>PVA</v>
      </c>
      <c r="B50" t="str" cm="1">
        <f t="array" aca="1" ref="B50" ca="1">INDIRECT(CONCATENATE("csv!E",$J50))</f>
        <v>loopback</v>
      </c>
      <c r="C50" s="3" cm="1">
        <f t="array" aca="1" ref="C50" ca="1">INDIRECT(CONCATENATE("csv!D",$J50))</f>
        <v>1000</v>
      </c>
      <c r="D50" s="3" cm="1">
        <f t="array" aca="1" ref="D50" ca="1">INDIRECT(CONCATENATE("csv!C",$J50))</f>
        <v>500</v>
      </c>
      <c r="E50" s="2">
        <f ca="1">AVERAGE(INDIRECT(CONCATENATE("csv!H",$J50)):INDIRECT(CONCATENATE("csv!H",($J50)+4)))</f>
        <v>220.05540000000002</v>
      </c>
      <c r="F50" s="2">
        <f ca="1">STDEV(INDIRECT(CONCATENATE("csv!H",$J50)):INDIRECT(CONCATENATE("csv!H",($J50)+4)))</f>
        <v>21.333658038414317</v>
      </c>
      <c r="G50" s="2">
        <f ca="1">MIN(INDIRECT(CONCATENATE("csv!H",$J50)):INDIRECT(CONCATENATE("csv!H",($J50)+4)))</f>
        <v>195.40299999999999</v>
      </c>
      <c r="H50" s="2">
        <f ca="1">MAX(INDIRECT(CONCATENATE("csv!H",$J50)):INDIRECT(CONCATENATE("csv!H",($J50)+4)))</f>
        <v>241.78299999999999</v>
      </c>
      <c r="I50" s="3">
        <f ca="1">SUM(INDIRECT(CONCATENATE("csv!J",$J50)):INDIRECT(CONCATENATE("csv!J",($J50)+4)))</f>
        <v>18891280</v>
      </c>
      <c r="J50">
        <f t="shared" si="0"/>
        <v>242</v>
      </c>
    </row>
    <row r="51" spans="1:10">
      <c r="A51" t="str" cm="1">
        <f t="array" aca="1" ref="A51" ca="1">INDIRECT(CONCATENATE("csv!A",$J51))</f>
        <v>PVA</v>
      </c>
      <c r="B51" t="str" cm="1">
        <f t="array" aca="1" ref="B51" ca="1">INDIRECT(CONCATENATE("csv!E",$J51))</f>
        <v>loopback</v>
      </c>
      <c r="C51" s="3" cm="1">
        <f t="array" aca="1" ref="C51" ca="1">INDIRECT(CONCATENATE("csv!D",$J51))</f>
        <v>1000</v>
      </c>
      <c r="D51" s="3" cm="1">
        <f t="array" aca="1" ref="D51" ca="1">INDIRECT(CONCATENATE("csv!C",$J51))</f>
        <v>1000</v>
      </c>
      <c r="E51" s="2">
        <f ca="1">AVERAGE(INDIRECT(CONCATENATE("csv!H",$J51)):INDIRECT(CONCATENATE("csv!H",($J51)+4)))</f>
        <v>67.008359999999996</v>
      </c>
      <c r="F51" s="2">
        <f ca="1">STDEV(INDIRECT(CONCATENATE("csv!H",$J51)):INDIRECT(CONCATENATE("csv!H",($J51)+4)))</f>
        <v>2.6292143366412701</v>
      </c>
      <c r="G51" s="2">
        <f ca="1">MIN(INDIRECT(CONCATENATE("csv!H",$J51)):INDIRECT(CONCATENATE("csv!H",($J51)+4)))</f>
        <v>64.144400000000005</v>
      </c>
      <c r="H51" s="2">
        <f ca="1">MAX(INDIRECT(CONCATENATE("csv!H",$J51)):INDIRECT(CONCATENATE("csv!H",($J51)+4)))</f>
        <v>70.153800000000004</v>
      </c>
      <c r="I51" s="3">
        <f ca="1">SUM(INDIRECT(CONCATENATE("csv!J",$J51)):INDIRECT(CONCATENATE("csv!J",($J51)+4)))</f>
        <v>19990443</v>
      </c>
      <c r="J51">
        <f t="shared" si="0"/>
        <v>247</v>
      </c>
    </row>
    <row r="52" spans="1:10">
      <c r="A52" t="str" cm="1">
        <f t="array" aca="1" ref="A52" ca="1">INDIRECT(CONCATENATE("csv!A",$J52))</f>
        <v>PVA</v>
      </c>
      <c r="B52" t="str" cm="1">
        <f t="array" aca="1" ref="B52" ca="1">INDIRECT(CONCATENATE("csv!E",$J52))</f>
        <v>loopback</v>
      </c>
      <c r="C52" s="3" cm="1">
        <f t="array" aca="1" ref="C52" ca="1">INDIRECT(CONCATENATE("csv!D",$J52))</f>
        <v>10000</v>
      </c>
      <c r="D52" s="3" cm="1">
        <f t="array" aca="1" ref="D52" ca="1">INDIRECT(CONCATENATE("csv!C",$J52))</f>
        <v>1</v>
      </c>
      <c r="E52" s="2">
        <f ca="1">AVERAGE(INDIRECT(CONCATENATE("csv!H",$J52)):INDIRECT(CONCATENATE("csv!H",($J52)+4)))</f>
        <v>54317.179999999993</v>
      </c>
      <c r="F52" s="2">
        <f ca="1">STDEV(INDIRECT(CONCATENATE("csv!H",$J52)):INDIRECT(CONCATENATE("csv!H",($J52)+4)))</f>
        <v>2759.5275160795181</v>
      </c>
      <c r="G52" s="2">
        <f ca="1">MIN(INDIRECT(CONCATENATE("csv!H",$J52)):INDIRECT(CONCATENATE("csv!H",($J52)+4)))</f>
        <v>50244.4</v>
      </c>
      <c r="H52" s="2">
        <f ca="1">MAX(INDIRECT(CONCATENATE("csv!H",$J52)):INDIRECT(CONCATENATE("csv!H",($J52)+4)))</f>
        <v>56551.6</v>
      </c>
      <c r="I52" s="3">
        <f ca="1">SUM(INDIRECT(CONCATENATE("csv!J",$J52)):INDIRECT(CONCATENATE("csv!J",($J52)+4)))</f>
        <v>1118243</v>
      </c>
      <c r="J52">
        <f t="shared" si="0"/>
        <v>252</v>
      </c>
    </row>
    <row r="53" spans="1:10">
      <c r="A53" t="str" cm="1">
        <f t="array" aca="1" ref="A53" ca="1">INDIRECT(CONCATENATE("csv!A",$J53))</f>
        <v>PVA</v>
      </c>
      <c r="B53" t="str" cm="1">
        <f t="array" aca="1" ref="B53" ca="1">INDIRECT(CONCATENATE("csv!E",$J53))</f>
        <v>loopback</v>
      </c>
      <c r="C53" s="3" cm="1">
        <f t="array" aca="1" ref="C53" ca="1">INDIRECT(CONCATENATE("csv!D",$J53))</f>
        <v>10000</v>
      </c>
      <c r="D53" s="3" cm="1">
        <f t="array" aca="1" ref="D53" ca="1">INDIRECT(CONCATENATE("csv!C",$J53))</f>
        <v>10</v>
      </c>
      <c r="E53" s="2">
        <f ca="1">AVERAGE(INDIRECT(CONCATENATE("csv!H",$J53)):INDIRECT(CONCATENATE("csv!H",($J53)+4)))</f>
        <v>5467.6720000000005</v>
      </c>
      <c r="F53" s="2">
        <f ca="1">STDEV(INDIRECT(CONCATENATE("csv!H",$J53)):INDIRECT(CONCATENATE("csv!H",($J53)+4)))</f>
        <v>112.29208462754603</v>
      </c>
      <c r="G53" s="2">
        <f ca="1">MIN(INDIRECT(CONCATENATE("csv!H",$J53)):INDIRECT(CONCATENATE("csv!H",($J53)+4)))</f>
        <v>5355.52</v>
      </c>
      <c r="H53" s="2">
        <f ca="1">MAX(INDIRECT(CONCATENATE("csv!H",$J53)):INDIRECT(CONCATENATE("csv!H",($J53)+4)))</f>
        <v>5611.87</v>
      </c>
      <c r="I53" s="3">
        <f ca="1">SUM(INDIRECT(CONCATENATE("csv!J",$J53)):INDIRECT(CONCATENATE("csv!J",($J53)+4)))</f>
        <v>9600023</v>
      </c>
      <c r="J53">
        <f t="shared" si="0"/>
        <v>257</v>
      </c>
    </row>
    <row r="54" spans="1:10">
      <c r="A54" t="str" cm="1">
        <f t="array" aca="1" ref="A54" ca="1">INDIRECT(CONCATENATE("csv!A",$J54))</f>
        <v>PVA</v>
      </c>
      <c r="B54" t="str" cm="1">
        <f t="array" aca="1" ref="B54" ca="1">INDIRECT(CONCATENATE("csv!E",$J54))</f>
        <v>loopback</v>
      </c>
      <c r="C54" s="3" cm="1">
        <f t="array" aca="1" ref="C54" ca="1">INDIRECT(CONCATENATE("csv!D",$J54))</f>
        <v>10000</v>
      </c>
      <c r="D54" s="3" cm="1">
        <f t="array" aca="1" ref="D54" ca="1">INDIRECT(CONCATENATE("csv!C",$J54))</f>
        <v>100</v>
      </c>
      <c r="E54" s="2">
        <f ca="1">AVERAGE(INDIRECT(CONCATENATE("csv!H",$J54)):INDIRECT(CONCATENATE("csv!H",($J54)+4)))</f>
        <v>483.90620000000001</v>
      </c>
      <c r="F54" s="2">
        <f ca="1">STDEV(INDIRECT(CONCATENATE("csv!H",$J54)):INDIRECT(CONCATENATE("csv!H",($J54)+4)))</f>
        <v>19.72938437204769</v>
      </c>
      <c r="G54" s="2">
        <f ca="1">MIN(INDIRECT(CONCATENATE("csv!H",$J54)):INDIRECT(CONCATENATE("csv!H",($J54)+4)))</f>
        <v>464.88200000000001</v>
      </c>
      <c r="H54" s="2">
        <f ca="1">MAX(INDIRECT(CONCATENATE("csv!H",$J54)):INDIRECT(CONCATENATE("csv!H",($J54)+4)))</f>
        <v>506.899</v>
      </c>
      <c r="I54" s="3">
        <f ca="1">SUM(INDIRECT(CONCATENATE("csv!J",$J54)):INDIRECT(CONCATENATE("csv!J",($J54)+4)))</f>
        <v>17095752</v>
      </c>
      <c r="J54">
        <f t="shared" si="0"/>
        <v>262</v>
      </c>
    </row>
    <row r="55" spans="1:10">
      <c r="A55" t="str" cm="1">
        <f t="array" aca="1" ref="A55" ca="1">INDIRECT(CONCATENATE("csv!A",$J55))</f>
        <v>PVA</v>
      </c>
      <c r="B55" t="str" cm="1">
        <f t="array" aca="1" ref="B55" ca="1">INDIRECT(CONCATENATE("csv!E",$J55))</f>
        <v>loopback</v>
      </c>
      <c r="C55" s="3" cm="1">
        <f t="array" aca="1" ref="C55" ca="1">INDIRECT(CONCATENATE("csv!D",$J55))</f>
        <v>10000</v>
      </c>
      <c r="D55" s="3" cm="1">
        <f t="array" aca="1" ref="D55" ca="1">INDIRECT(CONCATENATE("csv!C",$J55))</f>
        <v>500</v>
      </c>
      <c r="E55" s="2">
        <f ca="1">AVERAGE(INDIRECT(CONCATENATE("csv!H",$J55)):INDIRECT(CONCATENATE("csv!H",($J55)+4)))</f>
        <v>69.725719999999995</v>
      </c>
      <c r="F55" s="2">
        <f ca="1">STDEV(INDIRECT(CONCATENATE("csv!H",$J55)):INDIRECT(CONCATENATE("csv!H",($J55)+4)))</f>
        <v>8.2377400005704597</v>
      </c>
      <c r="G55" s="2">
        <f ca="1">MIN(INDIRECT(CONCATENATE("csv!H",$J55)):INDIRECT(CONCATENATE("csv!H",($J55)+4)))</f>
        <v>55.391300000000001</v>
      </c>
      <c r="H55" s="2">
        <f ca="1">MAX(INDIRECT(CONCATENATE("csv!H",$J55)):INDIRECT(CONCATENATE("csv!H",($J55)+4)))</f>
        <v>74.8262</v>
      </c>
      <c r="I55" s="3">
        <f ca="1">SUM(INDIRECT(CONCATENATE("csv!J",$J55)):INDIRECT(CONCATENATE("csv!J",($J55)+4)))</f>
        <v>17560617</v>
      </c>
      <c r="J55">
        <f t="shared" si="0"/>
        <v>267</v>
      </c>
    </row>
    <row r="56" spans="1:10">
      <c r="A56" t="str" cm="1">
        <f t="array" aca="1" ref="A56" ca="1">INDIRECT(CONCATENATE("csv!A",$J56))</f>
        <v>PVA</v>
      </c>
      <c r="B56" t="str" cm="1">
        <f t="array" aca="1" ref="B56" ca="1">INDIRECT(CONCATENATE("csv!E",$J56))</f>
        <v>loopback</v>
      </c>
      <c r="C56" s="3" cm="1">
        <f t="array" aca="1" ref="C56" ca="1">INDIRECT(CONCATENATE("csv!D",$J56))</f>
        <v>10000</v>
      </c>
      <c r="D56" s="3" cm="1">
        <f t="array" aca="1" ref="D56" ca="1">INDIRECT(CONCATENATE("csv!C",$J56))</f>
        <v>1000</v>
      </c>
      <c r="E56" s="2">
        <f ca="1">AVERAGE(INDIRECT(CONCATENATE("csv!H",$J56)):INDIRECT(CONCATENATE("csv!H",($J56)+4)))</f>
        <v>54.524100000000011</v>
      </c>
      <c r="F56" s="2">
        <f ca="1">STDEV(INDIRECT(CONCATENATE("csv!H",$J56)):INDIRECT(CONCATENATE("csv!H",($J56)+4)))</f>
        <v>4.028437556298968</v>
      </c>
      <c r="G56" s="2">
        <f ca="1">MIN(INDIRECT(CONCATENATE("csv!H",$J56)):INDIRECT(CONCATENATE("csv!H",($J56)+4)))</f>
        <v>51.9694</v>
      </c>
      <c r="H56" s="2">
        <f ca="1">MAX(INDIRECT(CONCATENATE("csv!H",$J56)):INDIRECT(CONCATENATE("csv!H",($J56)+4)))</f>
        <v>61.662700000000001</v>
      </c>
      <c r="I56" s="3">
        <f ca="1">SUM(INDIRECT(CONCATENATE("csv!J",$J56)):INDIRECT(CONCATENATE("csv!J",($J56)+4)))</f>
        <v>18231417</v>
      </c>
      <c r="J56">
        <f t="shared" si="0"/>
        <v>272</v>
      </c>
    </row>
    <row r="57" spans="1:10">
      <c r="A57" t="str" cm="1">
        <f t="array" aca="1" ref="A57" ca="1">INDIRECT(CONCATENATE("csv!A",$J57))</f>
        <v>PVA</v>
      </c>
      <c r="B57" t="str" cm="1">
        <f t="array" aca="1" ref="B57" ca="1">INDIRECT(CONCATENATE("csv!E",$J57))</f>
        <v>loopback</v>
      </c>
      <c r="C57" s="3" cm="1">
        <f t="array" aca="1" ref="C57" ca="1">INDIRECT(CONCATENATE("csv!D",$J57))</f>
        <v>100000</v>
      </c>
      <c r="D57" s="3" cm="1">
        <f t="array" aca="1" ref="D57" ca="1">INDIRECT(CONCATENATE("csv!C",$J57))</f>
        <v>1</v>
      </c>
      <c r="E57" s="2">
        <f ca="1">AVERAGE(INDIRECT(CONCATENATE("csv!H",$J57)):INDIRECT(CONCATENATE("csv!H",($J57)+4)))</f>
        <v>14339.560000000001</v>
      </c>
      <c r="F57" s="2">
        <f ca="1">STDEV(INDIRECT(CONCATENATE("csv!H",$J57)):INDIRECT(CONCATENATE("csv!H",($J57)+4)))</f>
        <v>508.47438775222469</v>
      </c>
      <c r="G57" s="2">
        <f ca="1">MIN(INDIRECT(CONCATENATE("csv!H",$J57)):INDIRECT(CONCATENATE("csv!H",($J57)+4)))</f>
        <v>13648.2</v>
      </c>
      <c r="H57" s="2">
        <f ca="1">MAX(INDIRECT(CONCATENATE("csv!H",$J57)):INDIRECT(CONCATENATE("csv!H",($J57)+4)))</f>
        <v>14840.3</v>
      </c>
      <c r="I57" s="3">
        <f ca="1">SUM(INDIRECT(CONCATENATE("csv!J",$J57)):INDIRECT(CONCATENATE("csv!J",($J57)+4)))</f>
        <v>1327242</v>
      </c>
      <c r="J57">
        <f t="shared" si="0"/>
        <v>277</v>
      </c>
    </row>
    <row r="58" spans="1:10">
      <c r="A58" t="str" cm="1">
        <f t="array" aca="1" ref="A58" ca="1">INDIRECT(CONCATENATE("csv!A",$J58))</f>
        <v>PVA</v>
      </c>
      <c r="B58" t="str" cm="1">
        <f t="array" aca="1" ref="B58" ca="1">INDIRECT(CONCATENATE("csv!E",$J58))</f>
        <v>loopback</v>
      </c>
      <c r="C58" s="3" cm="1">
        <f t="array" aca="1" ref="C58" ca="1">INDIRECT(CONCATENATE("csv!D",$J58))</f>
        <v>100000</v>
      </c>
      <c r="D58" s="3" cm="1">
        <f t="array" aca="1" ref="D58" ca="1">INDIRECT(CONCATENATE("csv!C",$J58))</f>
        <v>10</v>
      </c>
      <c r="E58" s="2">
        <f ca="1">AVERAGE(INDIRECT(CONCATENATE("csv!H",$J58)):INDIRECT(CONCATENATE("csv!H",($J58)+4)))</f>
        <v>1285.7239999999999</v>
      </c>
      <c r="F58" s="2">
        <f ca="1">STDEV(INDIRECT(CONCATENATE("csv!H",$J58)):INDIRECT(CONCATENATE("csv!H",($J58)+4)))</f>
        <v>12.837917666039111</v>
      </c>
      <c r="G58" s="2">
        <f ca="1">MIN(INDIRECT(CONCATENATE("csv!H",$J58)):INDIRECT(CONCATENATE("csv!H",($J58)+4)))</f>
        <v>1265.51</v>
      </c>
      <c r="H58" s="2">
        <f ca="1">MAX(INDIRECT(CONCATENATE("csv!H",$J58)):INDIRECT(CONCATENATE("csv!H",($J58)+4)))</f>
        <v>1299.3599999999999</v>
      </c>
      <c r="I58" s="3">
        <f ca="1">SUM(INDIRECT(CONCATENATE("csv!J",$J58)):INDIRECT(CONCATENATE("csv!J",($J58)+4)))</f>
        <v>8563675</v>
      </c>
      <c r="J58">
        <f t="shared" si="0"/>
        <v>282</v>
      </c>
    </row>
    <row r="59" spans="1:10">
      <c r="A59" t="str" cm="1">
        <f t="array" aca="1" ref="A59" ca="1">INDIRECT(CONCATENATE("csv!A",$J59))</f>
        <v>PVA</v>
      </c>
      <c r="B59" t="str" cm="1">
        <f t="array" aca="1" ref="B59" ca="1">INDIRECT(CONCATENATE("csv!E",$J59))</f>
        <v>loopback</v>
      </c>
      <c r="C59" s="3" cm="1">
        <f t="array" aca="1" ref="C59" ca="1">INDIRECT(CONCATENATE("csv!D",$J59))</f>
        <v>100000</v>
      </c>
      <c r="D59" s="3" cm="1">
        <f t="array" aca="1" ref="D59" ca="1">INDIRECT(CONCATENATE("csv!C",$J59))</f>
        <v>100</v>
      </c>
      <c r="E59" s="2">
        <f ca="1">AVERAGE(INDIRECT(CONCATENATE("csv!H",$J59)):INDIRECT(CONCATENATE("csv!H",($J59)+4)))</f>
        <v>125.3862</v>
      </c>
      <c r="F59" s="2">
        <f ca="1">STDEV(INDIRECT(CONCATENATE("csv!H",$J59)):INDIRECT(CONCATENATE("csv!H",($J59)+4)))</f>
        <v>6.4473780097028586</v>
      </c>
      <c r="G59" s="2">
        <f ca="1">MIN(INDIRECT(CONCATENATE("csv!H",$J59)):INDIRECT(CONCATENATE("csv!H",($J59)+4)))</f>
        <v>114.739</v>
      </c>
      <c r="H59" s="2">
        <f ca="1">MAX(INDIRECT(CONCATENATE("csv!H",$J59)):INDIRECT(CONCATENATE("csv!H",($J59)+4)))</f>
        <v>130.43100000000001</v>
      </c>
      <c r="I59" s="3">
        <f ca="1">SUM(INDIRECT(CONCATENATE("csv!J",$J59)):INDIRECT(CONCATENATE("csv!J",($J59)+4)))</f>
        <v>15640991</v>
      </c>
      <c r="J59">
        <f t="shared" si="0"/>
        <v>287</v>
      </c>
    </row>
    <row r="60" spans="1:10">
      <c r="A60" t="str" cm="1">
        <f t="array" aca="1" ref="A60" ca="1">INDIRECT(CONCATENATE("csv!A",$J60))</f>
        <v>PVA</v>
      </c>
      <c r="B60" t="str" cm="1">
        <f t="array" aca="1" ref="B60" ca="1">INDIRECT(CONCATENATE("csv!E",$J60))</f>
        <v>loopback</v>
      </c>
      <c r="C60" s="3" cm="1">
        <f t="array" aca="1" ref="C60" ca="1">INDIRECT(CONCATENATE("csv!D",$J60))</f>
        <v>100000</v>
      </c>
      <c r="D60" s="3" cm="1">
        <f t="array" aca="1" ref="D60" ca="1">INDIRECT(CONCATENATE("csv!C",$J60))</f>
        <v>500</v>
      </c>
      <c r="E60" s="2">
        <f ca="1">AVERAGE(INDIRECT(CONCATENATE("csv!H",$J60)):INDIRECT(CONCATENATE("csv!H",($J60)+4)))</f>
        <v>27.060660000000002</v>
      </c>
      <c r="F60" s="2">
        <f ca="1">STDEV(INDIRECT(CONCATENATE("csv!H",$J60)):INDIRECT(CONCATENATE("csv!H",($J60)+4)))</f>
        <v>0.64955167076992371</v>
      </c>
      <c r="G60" s="2">
        <f ca="1">MIN(INDIRECT(CONCATENATE("csv!H",$J60)):INDIRECT(CONCATENATE("csv!H",($J60)+4)))</f>
        <v>26.3825</v>
      </c>
      <c r="H60" s="2">
        <f ca="1">MAX(INDIRECT(CONCATENATE("csv!H",$J60)):INDIRECT(CONCATENATE("csv!H",($J60)+4)))</f>
        <v>27.778099999999998</v>
      </c>
      <c r="I60" s="3">
        <f ca="1">SUM(INDIRECT(CONCATENATE("csv!J",$J60)):INDIRECT(CONCATENATE("csv!J",($J60)+4)))</f>
        <v>17610477</v>
      </c>
      <c r="J60">
        <f t="shared" si="0"/>
        <v>292</v>
      </c>
    </row>
    <row r="61" spans="1:10">
      <c r="A61" t="str" cm="1">
        <f t="array" aca="1" ref="A61" ca="1">INDIRECT(CONCATENATE("csv!A",$J61))</f>
        <v>PVA</v>
      </c>
      <c r="B61" t="str" cm="1">
        <f t="array" aca="1" ref="B61" ca="1">INDIRECT(CONCATENATE("csv!E",$J61))</f>
        <v>loopback</v>
      </c>
      <c r="C61" s="3" cm="1">
        <f t="array" aca="1" ref="C61" ca="1">INDIRECT(CONCATENATE("csv!D",$J61))</f>
        <v>100000</v>
      </c>
      <c r="D61" s="3" cm="1">
        <f t="array" aca="1" ref="D61" ca="1">INDIRECT(CONCATENATE("csv!C",$J61))</f>
        <v>1000</v>
      </c>
      <c r="E61" s="2">
        <f ca="1">AVERAGE(INDIRECT(CONCATENATE("csv!H",$J61)):INDIRECT(CONCATENATE("csv!H",($J61)+4)))</f>
        <v>13.769439999999999</v>
      </c>
      <c r="F61" s="2">
        <f ca="1">STDEV(INDIRECT(CONCATENATE("csv!H",$J61)):INDIRECT(CONCATENATE("csv!H",($J61)+4)))</f>
        <v>0.32158710017660874</v>
      </c>
      <c r="G61" s="2">
        <f ca="1">MIN(INDIRECT(CONCATENATE("csv!H",$J61)):INDIRECT(CONCATENATE("csv!H",($J61)+4)))</f>
        <v>13.2728</v>
      </c>
      <c r="H61" s="2">
        <f ca="1">MAX(INDIRECT(CONCATENATE("csv!H",$J61)):INDIRECT(CONCATENATE("csv!H",($J61)+4)))</f>
        <v>14.044600000000001</v>
      </c>
      <c r="I61" s="3">
        <f ca="1">SUM(INDIRECT(CONCATENATE("csv!J",$J61)):INDIRECT(CONCATENATE("csv!J",($J61)+4)))</f>
        <v>17701475</v>
      </c>
      <c r="J61">
        <f t="shared" si="0"/>
        <v>297</v>
      </c>
    </row>
    <row r="62" spans="1:10">
      <c r="A62" t="str" cm="1">
        <f t="array" aca="1" ref="A62" ca="1">INDIRECT(CONCATENATE("csv!A",$J62))</f>
        <v>SPVA</v>
      </c>
      <c r="B62" t="str" cm="1">
        <f t="array" aca="1" ref="B62" ca="1">INDIRECT(CONCATENATE("csv!E",$J62))</f>
        <v>loopback</v>
      </c>
      <c r="C62" s="3" cm="1">
        <f t="array" aca="1" ref="C62" ca="1">INDIRECT(CONCATENATE("csv!D",$J62))</f>
        <v>1</v>
      </c>
      <c r="D62" s="3" cm="1">
        <f t="array" aca="1" ref="D62" ca="1">INDIRECT(CONCATENATE("csv!C",$J62))</f>
        <v>1</v>
      </c>
      <c r="E62" s="2">
        <f ca="1">AVERAGE(INDIRECT(CONCATENATE("csv!H",$J62)):INDIRECT(CONCATENATE("csv!H",($J62)+4)))</f>
        <v>75098.860000000015</v>
      </c>
      <c r="F62" s="2">
        <f ca="1">STDEV(INDIRECT(CONCATENATE("csv!H",$J62)):INDIRECT(CONCATENATE("csv!H",($J62)+4)))</f>
        <v>640.74063629521697</v>
      </c>
      <c r="G62" s="2">
        <f ca="1">MIN(INDIRECT(CONCATENATE("csv!H",$J62)):INDIRECT(CONCATENATE("csv!H",($J62)+4)))</f>
        <v>74276</v>
      </c>
      <c r="H62" s="2">
        <f ca="1">MAX(INDIRECT(CONCATENATE("csv!H",$J62)):INDIRECT(CONCATENATE("csv!H",($J62)+4)))</f>
        <v>76056.7</v>
      </c>
      <c r="I62" s="3">
        <f ca="1">SUM(INDIRECT(CONCATENATE("csv!J",$J62)):INDIRECT(CONCATENATE("csv!J",($J62)+4)))</f>
        <v>5565</v>
      </c>
      <c r="J62">
        <f t="shared" si="0"/>
        <v>302</v>
      </c>
    </row>
    <row r="63" spans="1:10">
      <c r="A63" t="str" cm="1">
        <f t="array" aca="1" ref="A63" ca="1">INDIRECT(CONCATENATE("csv!A",$J63))</f>
        <v>SPVA</v>
      </c>
      <c r="B63" t="str" cm="1">
        <f t="array" aca="1" ref="B63" ca="1">INDIRECT(CONCATENATE("csv!E",$J63))</f>
        <v>loopback</v>
      </c>
      <c r="C63" s="3" cm="1">
        <f t="array" aca="1" ref="C63" ca="1">INDIRECT(CONCATENATE("csv!D",$J63))</f>
        <v>1</v>
      </c>
      <c r="D63" s="3" cm="1">
        <f t="array" aca="1" ref="D63" ca="1">INDIRECT(CONCATENATE("csv!C",$J63))</f>
        <v>10</v>
      </c>
      <c r="E63" s="2">
        <f ca="1">AVERAGE(INDIRECT(CONCATENATE("csv!H",$J63)):INDIRECT(CONCATENATE("csv!H",($J63)+4)))</f>
        <v>4439.2199999999993</v>
      </c>
      <c r="F63" s="2">
        <f ca="1">STDEV(INDIRECT(CONCATENATE("csv!H",$J63)):INDIRECT(CONCATENATE("csv!H",($J63)+4)))</f>
        <v>1375.5348133362531</v>
      </c>
      <c r="G63" s="2">
        <f ca="1">MIN(INDIRECT(CONCATENATE("csv!H",$J63)):INDIRECT(CONCATENATE("csv!H",($J63)+4)))</f>
        <v>3255.77</v>
      </c>
      <c r="H63" s="2">
        <f ca="1">MAX(INDIRECT(CONCATENATE("csv!H",$J63)):INDIRECT(CONCATENATE("csv!H",($J63)+4)))</f>
        <v>6642.22</v>
      </c>
      <c r="I63" s="3">
        <f ca="1">SUM(INDIRECT(CONCATENATE("csv!J",$J63)):INDIRECT(CONCATENATE("csv!J",($J63)+4)))</f>
        <v>9610387</v>
      </c>
      <c r="J63">
        <f t="shared" si="0"/>
        <v>307</v>
      </c>
    </row>
    <row r="64" spans="1:10">
      <c r="A64" t="str" cm="1">
        <f t="array" aca="1" ref="A64" ca="1">INDIRECT(CONCATENATE("csv!A",$J64))</f>
        <v>SPVA</v>
      </c>
      <c r="B64" t="str" cm="1">
        <f t="array" aca="1" ref="B64" ca="1">INDIRECT(CONCATENATE("csv!E",$J64))</f>
        <v>loopback</v>
      </c>
      <c r="C64" s="3" cm="1">
        <f t="array" aca="1" ref="C64" ca="1">INDIRECT(CONCATENATE("csv!D",$J64))</f>
        <v>1</v>
      </c>
      <c r="D64" s="3" cm="1">
        <f t="array" aca="1" ref="D64" ca="1">INDIRECT(CONCATENATE("csv!C",$J64))</f>
        <v>100</v>
      </c>
      <c r="E64" s="2">
        <f ca="1">AVERAGE(INDIRECT(CONCATENATE("csv!H",$J64)):INDIRECT(CONCATENATE("csv!H",($J64)+4)))</f>
        <v>220.44620000000003</v>
      </c>
      <c r="F64" s="2">
        <f ca="1">STDEV(INDIRECT(CONCATENATE("csv!H",$J64)):INDIRECT(CONCATENATE("csv!H",($J64)+4)))</f>
        <v>6.8325820302430298</v>
      </c>
      <c r="G64" s="2">
        <f ca="1">MIN(INDIRECT(CONCATENATE("csv!H",$J64)):INDIRECT(CONCATENATE("csv!H",($J64)+4)))</f>
        <v>214.04300000000001</v>
      </c>
      <c r="H64" s="2">
        <f ca="1">MAX(INDIRECT(CONCATENATE("csv!H",$J64)):INDIRECT(CONCATENATE("csv!H",($J64)+4)))</f>
        <v>231.363</v>
      </c>
      <c r="I64" s="3">
        <f ca="1">SUM(INDIRECT(CONCATENATE("csv!J",$J64)):INDIRECT(CONCATENATE("csv!J",($J64)+4)))</f>
        <v>17651041</v>
      </c>
      <c r="J64">
        <f t="shared" si="0"/>
        <v>312</v>
      </c>
    </row>
    <row r="65" spans="1:10">
      <c r="A65" t="str" cm="1">
        <f t="array" aca="1" ref="A65" ca="1">INDIRECT(CONCATENATE("csv!A",$J65))</f>
        <v>SPVA</v>
      </c>
      <c r="B65" t="str" cm="1">
        <f t="array" aca="1" ref="B65" ca="1">INDIRECT(CONCATENATE("csv!E",$J65))</f>
        <v>loopback</v>
      </c>
      <c r="C65" s="3" cm="1">
        <f t="array" aca="1" ref="C65" ca="1">INDIRECT(CONCATENATE("csv!D",$J65))</f>
        <v>1</v>
      </c>
      <c r="D65" s="3" cm="1">
        <f t="array" aca="1" ref="D65" ca="1">INDIRECT(CONCATENATE("csv!C",$J65))</f>
        <v>500</v>
      </c>
      <c r="E65" s="2">
        <f ca="1">AVERAGE(INDIRECT(CONCATENATE("csv!H",$J65)):INDIRECT(CONCATENATE("csv!H",($J65)+4)))</f>
        <v>94.110159999999993</v>
      </c>
      <c r="F65" s="2">
        <f ca="1">STDEV(INDIRECT(CONCATENATE("csv!H",$J65)):INDIRECT(CONCATENATE("csv!H",($J65)+4)))</f>
        <v>1.995240161734924</v>
      </c>
      <c r="G65" s="2">
        <f ca="1">MIN(INDIRECT(CONCATENATE("csv!H",$J65)):INDIRECT(CONCATENATE("csv!H",($J65)+4)))</f>
        <v>91.871399999999994</v>
      </c>
      <c r="H65" s="2">
        <f ca="1">MAX(INDIRECT(CONCATENATE("csv!H",$J65)):INDIRECT(CONCATENATE("csv!H",($J65)+4)))</f>
        <v>97.216099999999997</v>
      </c>
      <c r="I65" s="3">
        <f ca="1">SUM(INDIRECT(CONCATENATE("csv!J",$J65)):INDIRECT(CONCATENATE("csv!J",($J65)+4)))</f>
        <v>15790131</v>
      </c>
      <c r="J65">
        <f t="shared" si="0"/>
        <v>317</v>
      </c>
    </row>
    <row r="66" spans="1:10">
      <c r="A66" t="str" cm="1">
        <f t="array" aca="1" ref="A66" ca="1">INDIRECT(CONCATENATE("csv!A",$J66))</f>
        <v>SPVA</v>
      </c>
      <c r="B66" t="str" cm="1">
        <f t="array" aca="1" ref="B66" ca="1">INDIRECT(CONCATENATE("csv!E",$J66))</f>
        <v>loopback</v>
      </c>
      <c r="C66" s="3" cm="1">
        <f t="array" aca="1" ref="C66" ca="1">INDIRECT(CONCATENATE("csv!D",$J66))</f>
        <v>1</v>
      </c>
      <c r="D66" s="3" cm="1">
        <f t="array" aca="1" ref="D66" ca="1">INDIRECT(CONCATENATE("csv!C",$J66))</f>
        <v>1000</v>
      </c>
      <c r="E66" s="2">
        <f ca="1">AVERAGE(INDIRECT(CONCATENATE("csv!H",$J66)):INDIRECT(CONCATENATE("csv!H",($J66)+4)))</f>
        <v>70.914880000000011</v>
      </c>
      <c r="F66" s="2">
        <f ca="1">STDEV(INDIRECT(CONCATENATE("csv!H",$J66)):INDIRECT(CONCATENATE("csv!H",($J66)+4)))</f>
        <v>1.0792627423384902</v>
      </c>
      <c r="G66" s="2">
        <f ca="1">MIN(INDIRECT(CONCATENATE("csv!H",$J66)):INDIRECT(CONCATENATE("csv!H",($J66)+4)))</f>
        <v>69.177700000000002</v>
      </c>
      <c r="H66" s="2">
        <f ca="1">MAX(INDIRECT(CONCATENATE("csv!H",$J66)):INDIRECT(CONCATENATE("csv!H",($J66)+4)))</f>
        <v>71.941299999999998</v>
      </c>
      <c r="I66" s="3">
        <f ca="1">SUM(INDIRECT(CONCATENATE("csv!J",$J66)):INDIRECT(CONCATENATE("csv!J",($J66)+4)))</f>
        <v>12657364</v>
      </c>
      <c r="J66">
        <f t="shared" si="0"/>
        <v>322</v>
      </c>
    </row>
    <row r="67" spans="1:10">
      <c r="A67" t="str" cm="1">
        <f t="array" aca="1" ref="A67" ca="1">INDIRECT(CONCATENATE("csv!A",$J67))</f>
        <v>SPVA</v>
      </c>
      <c r="B67" t="str" cm="1">
        <f t="array" aca="1" ref="B67" ca="1">INDIRECT(CONCATENATE("csv!E",$J67))</f>
        <v>loopback</v>
      </c>
      <c r="C67" s="3" cm="1">
        <f t="array" aca="1" ref="C67" ca="1">INDIRECT(CONCATENATE("csv!D",$J67))</f>
        <v>10</v>
      </c>
      <c r="D67" s="3" cm="1">
        <f t="array" aca="1" ref="D67" ca="1">INDIRECT(CONCATENATE("csv!C",$J67))</f>
        <v>1</v>
      </c>
      <c r="E67" s="2">
        <f ca="1">AVERAGE(INDIRECT(CONCATENATE("csv!H",$J67)):INDIRECT(CONCATENATE("csv!H",($J67)+4)))</f>
        <v>75308.74000000002</v>
      </c>
      <c r="F67" s="2">
        <f ca="1">STDEV(INDIRECT(CONCATENATE("csv!H",$J67)):INDIRECT(CONCATENATE("csv!H",($J67)+4)))</f>
        <v>1564.7993059814455</v>
      </c>
      <c r="G67" s="2">
        <f ca="1">MIN(INDIRECT(CONCATENATE("csv!H",$J67)):INDIRECT(CONCATENATE("csv!H",($J67)+4)))</f>
        <v>73188.399999999994</v>
      </c>
      <c r="H67" s="2">
        <f ca="1">MAX(INDIRECT(CONCATENATE("csv!H",$J67)):INDIRECT(CONCATENATE("csv!H",($J67)+4)))</f>
        <v>77395.100000000006</v>
      </c>
      <c r="I67" s="3">
        <f ca="1">SUM(INDIRECT(CONCATENATE("csv!J",$J67)):INDIRECT(CONCATENATE("csv!J",($J67)+4)))</f>
        <v>10270</v>
      </c>
      <c r="J67">
        <f t="shared" si="0"/>
        <v>327</v>
      </c>
    </row>
    <row r="68" spans="1:10">
      <c r="A68" t="str" cm="1">
        <f t="array" aca="1" ref="A68" ca="1">INDIRECT(CONCATENATE("csv!A",$J68))</f>
        <v>SPVA</v>
      </c>
      <c r="B68" t="str" cm="1">
        <f t="array" aca="1" ref="B68" ca="1">INDIRECT(CONCATENATE("csv!E",$J68))</f>
        <v>loopback</v>
      </c>
      <c r="C68" s="3" cm="1">
        <f t="array" aca="1" ref="C68" ca="1">INDIRECT(CONCATENATE("csv!D",$J68))</f>
        <v>10</v>
      </c>
      <c r="D68" s="3" cm="1">
        <f t="array" aca="1" ref="D68" ca="1">INDIRECT(CONCATENATE("csv!C",$J68))</f>
        <v>10</v>
      </c>
      <c r="E68" s="2">
        <f ca="1">AVERAGE(INDIRECT(CONCATENATE("csv!H",$J68)):INDIRECT(CONCATENATE("csv!H",($J68)+4)))</f>
        <v>3955.2760000000003</v>
      </c>
      <c r="F68" s="2">
        <f ca="1">STDEV(INDIRECT(CONCATENATE("csv!H",$J68)):INDIRECT(CONCATENATE("csv!H",($J68)+4)))</f>
        <v>570.25719305414691</v>
      </c>
      <c r="G68" s="2">
        <f ca="1">MIN(INDIRECT(CONCATENATE("csv!H",$J68)):INDIRECT(CONCATENATE("csv!H",($J68)+4)))</f>
        <v>3385.39</v>
      </c>
      <c r="H68" s="2">
        <f ca="1">MAX(INDIRECT(CONCATENATE("csv!H",$J68)):INDIRECT(CONCATENATE("csv!H",($J68)+4)))</f>
        <v>4848.1899999999996</v>
      </c>
      <c r="I68" s="3">
        <f ca="1">SUM(INDIRECT(CONCATENATE("csv!J",$J68)):INDIRECT(CONCATENATE("csv!J",($J68)+4)))</f>
        <v>10056540</v>
      </c>
      <c r="J68">
        <f t="shared" ref="J68:J71" si="1">J67+5</f>
        <v>332</v>
      </c>
    </row>
    <row r="69" spans="1:10">
      <c r="A69" t="str" cm="1">
        <f t="array" aca="1" ref="A69" ca="1">INDIRECT(CONCATENATE("csv!A",$J69))</f>
        <v>SPVA</v>
      </c>
      <c r="B69" t="str" cm="1">
        <f t="array" aca="1" ref="B69" ca="1">INDIRECT(CONCATENATE("csv!E",$J69))</f>
        <v>loopback</v>
      </c>
      <c r="C69" s="3" cm="1">
        <f t="array" aca="1" ref="C69" ca="1">INDIRECT(CONCATENATE("csv!D",$J69))</f>
        <v>10</v>
      </c>
      <c r="D69" s="3" cm="1">
        <f t="array" aca="1" ref="D69" ca="1">INDIRECT(CONCATENATE("csv!C",$J69))</f>
        <v>100</v>
      </c>
      <c r="E69" s="2">
        <f ca="1">AVERAGE(INDIRECT(CONCATENATE("csv!H",$J69)):INDIRECT(CONCATENATE("csv!H",($J69)+4)))</f>
        <v>238.10659999999999</v>
      </c>
      <c r="F69" s="2">
        <f ca="1">STDEV(INDIRECT(CONCATENATE("csv!H",$J69)):INDIRECT(CONCATENATE("csv!H",($J69)+4)))</f>
        <v>4.8901495171415688</v>
      </c>
      <c r="G69" s="2">
        <f ca="1">MIN(INDIRECT(CONCATENATE("csv!H",$J69)):INDIRECT(CONCATENATE("csv!H",($J69)+4)))</f>
        <v>233.322</v>
      </c>
      <c r="H69" s="2">
        <f ca="1">MAX(INDIRECT(CONCATENATE("csv!H",$J69)):INDIRECT(CONCATENATE("csv!H",($J69)+4)))</f>
        <v>244.76499999999999</v>
      </c>
      <c r="I69" s="3">
        <f ca="1">SUM(INDIRECT(CONCATENATE("csv!J",$J69)):INDIRECT(CONCATENATE("csv!J",($J69)+4)))</f>
        <v>17845508</v>
      </c>
      <c r="J69">
        <f t="shared" si="1"/>
        <v>337</v>
      </c>
    </row>
    <row r="70" spans="1:10">
      <c r="A70" t="str" cm="1">
        <f t="array" aca="1" ref="A70" ca="1">INDIRECT(CONCATENATE("csv!A",$J70))</f>
        <v>SPVA</v>
      </c>
      <c r="B70" t="str" cm="1">
        <f t="array" aca="1" ref="B70" ca="1">INDIRECT(CONCATENATE("csv!E",$J70))</f>
        <v>loopback</v>
      </c>
      <c r="C70" s="3" cm="1">
        <f t="array" aca="1" ref="C70" ca="1">INDIRECT(CONCATENATE("csv!D",$J70))</f>
        <v>10</v>
      </c>
      <c r="D70" s="3" cm="1">
        <f t="array" aca="1" ref="D70" ca="1">INDIRECT(CONCATENATE("csv!C",$J70))</f>
        <v>500</v>
      </c>
      <c r="E70" s="2">
        <f ca="1">AVERAGE(INDIRECT(CONCATENATE("csv!H",$J70)):INDIRECT(CONCATENATE("csv!H",($J70)+4)))</f>
        <v>78.01697999999999</v>
      </c>
      <c r="F70" s="2">
        <f ca="1">STDEV(INDIRECT(CONCATENATE("csv!H",$J70)):INDIRECT(CONCATENATE("csv!H",($J70)+4)))</f>
        <v>1.9404766945263725</v>
      </c>
      <c r="G70" s="2">
        <f ca="1">MIN(INDIRECT(CONCATENATE("csv!H",$J70)):INDIRECT(CONCATENATE("csv!H",($J70)+4)))</f>
        <v>75.322100000000006</v>
      </c>
      <c r="H70" s="2">
        <f ca="1">MAX(INDIRECT(CONCATENATE("csv!H",$J70)):INDIRECT(CONCATENATE("csv!H",($J70)+4)))</f>
        <v>80.607600000000005</v>
      </c>
      <c r="I70" s="3">
        <f ca="1">SUM(INDIRECT(CONCATENATE("csv!J",$J70)):INDIRECT(CONCATENATE("csv!J",($J70)+4)))</f>
        <v>18792627</v>
      </c>
      <c r="J70">
        <f t="shared" si="1"/>
        <v>342</v>
      </c>
    </row>
    <row r="71" spans="1:10">
      <c r="A71" t="str" cm="1">
        <f t="array" aca="1" ref="A71" ca="1">INDIRECT(CONCATENATE("csv!A",$J71))</f>
        <v>SPVA</v>
      </c>
      <c r="B71" t="str" cm="1">
        <f t="array" aca="1" ref="B71" ca="1">INDIRECT(CONCATENATE("csv!E",$J71))</f>
        <v>loopback</v>
      </c>
      <c r="C71" s="3" cm="1">
        <f t="array" aca="1" ref="C71" ca="1">INDIRECT(CONCATENATE("csv!D",$J71))</f>
        <v>10</v>
      </c>
      <c r="D71" s="3" cm="1">
        <f t="array" aca="1" ref="D71" ca="1">INDIRECT(CONCATENATE("csv!C",$J71))</f>
        <v>1000</v>
      </c>
      <c r="E71" s="2">
        <f ca="1">AVERAGE(INDIRECT(CONCATENATE("csv!H",$J71)):INDIRECT(CONCATENATE("csv!H",($J71)+4)))</f>
        <v>43.413579999999996</v>
      </c>
      <c r="F71" s="2">
        <f ca="1">STDEV(INDIRECT(CONCATENATE("csv!H",$J71)):INDIRECT(CONCATENATE("csv!H",($J71)+4)))</f>
        <v>1.3341890147201794</v>
      </c>
      <c r="G71" s="2">
        <f ca="1">MIN(INDIRECT(CONCATENATE("csv!H",$J71)):INDIRECT(CONCATENATE("csv!H",($J71)+4)))</f>
        <v>41.466299999999997</v>
      </c>
      <c r="H71" s="2">
        <f ca="1">MAX(INDIRECT(CONCATENATE("csv!H",$J71)):INDIRECT(CONCATENATE("csv!H",($J71)+4)))</f>
        <v>44.7714</v>
      </c>
      <c r="I71" s="3">
        <f ca="1">SUM(INDIRECT(CONCATENATE("csv!J",$J71)):INDIRECT(CONCATENATE("csv!J",($J71)+4)))</f>
        <v>18047210</v>
      </c>
      <c r="J71">
        <f t="shared" si="1"/>
        <v>347</v>
      </c>
    </row>
    <row r="72" spans="1:10">
      <c r="A72" t="str" cm="1">
        <f t="array" aca="1" ref="A72" ca="1">INDIRECT(CONCATENATE("csv!A",$J72))</f>
        <v>SPVA</v>
      </c>
      <c r="B72" t="str" cm="1">
        <f t="array" aca="1" ref="B72" ca="1">INDIRECT(CONCATENATE("csv!E",$J72))</f>
        <v>loopback</v>
      </c>
      <c r="C72" s="3" cm="1">
        <f t="array" aca="1" ref="C72" ca="1">INDIRECT(CONCATENATE("csv!D",$J72))</f>
        <v>100</v>
      </c>
      <c r="D72" s="3" cm="1">
        <f t="array" aca="1" ref="D72" ca="1">INDIRECT(CONCATENATE("csv!C",$J72))</f>
        <v>1</v>
      </c>
      <c r="E72" s="2">
        <f ca="1">AVERAGE(INDIRECT(CONCATENATE("csv!H",$J72)):INDIRECT(CONCATENATE("csv!H",($J72)+4)))</f>
        <v>74584.539999999994</v>
      </c>
      <c r="F72" s="2">
        <f ca="1">STDEV(INDIRECT(CONCATENATE("csv!H",$J72)):INDIRECT(CONCATENATE("csv!H",($J72)+4)))</f>
        <v>1896.6787980572781</v>
      </c>
      <c r="G72" s="2">
        <f ca="1">MIN(INDIRECT(CONCATENATE("csv!H",$J72)):INDIRECT(CONCATENATE("csv!H",($J72)+4)))</f>
        <v>71982.899999999994</v>
      </c>
      <c r="H72" s="2">
        <f ca="1">MAX(INDIRECT(CONCATENATE("csv!H",$J72)):INDIRECT(CONCATENATE("csv!H",($J72)+4)))</f>
        <v>76883.899999999994</v>
      </c>
      <c r="I72" s="3">
        <f ca="1">SUM(INDIRECT(CONCATENATE("csv!J",$J72)):INDIRECT(CONCATENATE("csv!J",($J72)+4)))</f>
        <v>22575</v>
      </c>
      <c r="J72">
        <f t="shared" ref="J72:J93" si="2">J71+5</f>
        <v>352</v>
      </c>
    </row>
    <row r="73" spans="1:10">
      <c r="A73" t="str" cm="1">
        <f t="array" aca="1" ref="A73" ca="1">INDIRECT(CONCATENATE("csv!A",$J73))</f>
        <v>SPVA</v>
      </c>
      <c r="B73" t="str" cm="1">
        <f t="array" aca="1" ref="B73" ca="1">INDIRECT(CONCATENATE("csv!E",$J73))</f>
        <v>loopback</v>
      </c>
      <c r="C73" s="3" cm="1">
        <f t="array" aca="1" ref="C73" ca="1">INDIRECT(CONCATENATE("csv!D",$J73))</f>
        <v>100</v>
      </c>
      <c r="D73" s="3" cm="1">
        <f t="array" aca="1" ref="D73" ca="1">INDIRECT(CONCATENATE("csv!C",$J73))</f>
        <v>10</v>
      </c>
      <c r="E73" s="2">
        <f ca="1">AVERAGE(INDIRECT(CONCATENATE("csv!H",$J73)):INDIRECT(CONCATENATE("csv!H",($J73)+4)))</f>
        <v>4588.5059999999994</v>
      </c>
      <c r="F73" s="2">
        <f ca="1">STDEV(INDIRECT(CONCATENATE("csv!H",$J73)):INDIRECT(CONCATENATE("csv!H",($J73)+4)))</f>
        <v>325.14622507419637</v>
      </c>
      <c r="G73" s="2">
        <f ca="1">MIN(INDIRECT(CONCATENATE("csv!H",$J73)):INDIRECT(CONCATENATE("csv!H",($J73)+4)))</f>
        <v>4095.46</v>
      </c>
      <c r="H73" s="2">
        <f ca="1">MAX(INDIRECT(CONCATENATE("csv!H",$J73)):INDIRECT(CONCATENATE("csv!H",($J73)+4)))</f>
        <v>4850.83</v>
      </c>
      <c r="I73" s="3">
        <f ca="1">SUM(INDIRECT(CONCATENATE("csv!J",$J73)):INDIRECT(CONCATENATE("csv!J",($J73)+4)))</f>
        <v>9404343</v>
      </c>
      <c r="J73">
        <f t="shared" si="2"/>
        <v>357</v>
      </c>
    </row>
    <row r="74" spans="1:10">
      <c r="A74" t="str" cm="1">
        <f t="array" aca="1" ref="A74" ca="1">INDIRECT(CONCATENATE("csv!A",$J74))</f>
        <v>SPVA</v>
      </c>
      <c r="B74" t="str" cm="1">
        <f t="array" aca="1" ref="B74" ca="1">INDIRECT(CONCATENATE("csv!E",$J74))</f>
        <v>loopback</v>
      </c>
      <c r="C74" s="3" cm="1">
        <f t="array" aca="1" ref="C74" ca="1">INDIRECT(CONCATENATE("csv!D",$J74))</f>
        <v>100</v>
      </c>
      <c r="D74" s="3" cm="1">
        <f t="array" aca="1" ref="D74" ca="1">INDIRECT(CONCATENATE("csv!C",$J74))</f>
        <v>100</v>
      </c>
      <c r="E74" s="2">
        <f ca="1">AVERAGE(INDIRECT(CONCATENATE("csv!H",$J74)):INDIRECT(CONCATENATE("csv!H",($J74)+4)))</f>
        <v>365.02180000000004</v>
      </c>
      <c r="F74" s="2">
        <f ca="1">STDEV(INDIRECT(CONCATENATE("csv!H",$J74)):INDIRECT(CONCATENATE("csv!H",($J74)+4)))</f>
        <v>38.191876049756978</v>
      </c>
      <c r="G74" s="2">
        <f ca="1">MIN(INDIRECT(CONCATENATE("csv!H",$J74)):INDIRECT(CONCATENATE("csv!H",($J74)+4)))</f>
        <v>307.35199999999998</v>
      </c>
      <c r="H74" s="2">
        <f ca="1">MAX(INDIRECT(CONCATENATE("csv!H",$J74)):INDIRECT(CONCATENATE("csv!H",($J74)+4)))</f>
        <v>401.51</v>
      </c>
      <c r="I74" s="3">
        <f ca="1">SUM(INDIRECT(CONCATENATE("csv!J",$J74)):INDIRECT(CONCATENATE("csv!J",($J74)+4)))</f>
        <v>16321911</v>
      </c>
      <c r="J74">
        <f t="shared" si="2"/>
        <v>362</v>
      </c>
    </row>
    <row r="75" spans="1:10">
      <c r="A75" t="str" cm="1">
        <f t="array" aca="1" ref="A75" ca="1">INDIRECT(CONCATENATE("csv!A",$J75))</f>
        <v>SPVA</v>
      </c>
      <c r="B75" t="str" cm="1">
        <f t="array" aca="1" ref="B75" ca="1">INDIRECT(CONCATENATE("csv!E",$J75))</f>
        <v>loopback</v>
      </c>
      <c r="C75" s="3" cm="1">
        <f t="array" aca="1" ref="C75" ca="1">INDIRECT(CONCATENATE("csv!D",$J75))</f>
        <v>100</v>
      </c>
      <c r="D75" s="3" cm="1">
        <f t="array" aca="1" ref="D75" ca="1">INDIRECT(CONCATENATE("csv!C",$J75))</f>
        <v>500</v>
      </c>
      <c r="E75" s="2">
        <f ca="1">AVERAGE(INDIRECT(CONCATENATE("csv!H",$J75)):INDIRECT(CONCATENATE("csv!H",($J75)+4)))</f>
        <v>108.55260000000001</v>
      </c>
      <c r="F75" s="2">
        <f ca="1">STDEV(INDIRECT(CONCATENATE("csv!H",$J75)):INDIRECT(CONCATENATE("csv!H",($J75)+4)))</f>
        <v>1.1953858372927155</v>
      </c>
      <c r="G75" s="2">
        <f ca="1">MIN(INDIRECT(CONCATENATE("csv!H",$J75)):INDIRECT(CONCATENATE("csv!H",($J75)+4)))</f>
        <v>106.996</v>
      </c>
      <c r="H75" s="2">
        <f ca="1">MAX(INDIRECT(CONCATENATE("csv!H",$J75)):INDIRECT(CONCATENATE("csv!H",($J75)+4)))</f>
        <v>110.322</v>
      </c>
      <c r="I75" s="3">
        <f ca="1">SUM(INDIRECT(CONCATENATE("csv!J",$J75)):INDIRECT(CONCATENATE("csv!J",($J75)+4)))</f>
        <v>18634333</v>
      </c>
      <c r="J75">
        <f t="shared" si="2"/>
        <v>367</v>
      </c>
    </row>
    <row r="76" spans="1:10">
      <c r="A76" t="str" cm="1">
        <f t="array" aca="1" ref="A76" ca="1">INDIRECT(CONCATENATE("csv!A",$J76))</f>
        <v>SPVA</v>
      </c>
      <c r="B76" t="str" cm="1">
        <f t="array" aca="1" ref="B76" ca="1">INDIRECT(CONCATENATE("csv!E",$J76))</f>
        <v>loopback</v>
      </c>
      <c r="C76" s="3" cm="1">
        <f t="array" aca="1" ref="C76" ca="1">INDIRECT(CONCATENATE("csv!D",$J76))</f>
        <v>100</v>
      </c>
      <c r="D76" s="3" cm="1">
        <f t="array" aca="1" ref="D76" ca="1">INDIRECT(CONCATENATE("csv!C",$J76))</f>
        <v>1000</v>
      </c>
      <c r="E76" s="2">
        <f ca="1">AVERAGE(INDIRECT(CONCATENATE("csv!H",$J76)):INDIRECT(CONCATENATE("csv!H",($J76)+4)))</f>
        <v>52.606179999999995</v>
      </c>
      <c r="F76" s="2">
        <f ca="1">STDEV(INDIRECT(CONCATENATE("csv!H",$J76)):INDIRECT(CONCATENATE("csv!H",($J76)+4)))</f>
        <v>0.83319878000390835</v>
      </c>
      <c r="G76" s="2">
        <f ca="1">MIN(INDIRECT(CONCATENATE("csv!H",$J76)):INDIRECT(CONCATENATE("csv!H",($J76)+4)))</f>
        <v>51.7883</v>
      </c>
      <c r="H76" s="2">
        <f ca="1">MAX(INDIRECT(CONCATENATE("csv!H",$J76)):INDIRECT(CONCATENATE("csv!H",($J76)+4)))</f>
        <v>53.820300000000003</v>
      </c>
      <c r="I76" s="3">
        <f ca="1">SUM(INDIRECT(CONCATENATE("csv!J",$J76)):INDIRECT(CONCATENATE("csv!J",($J76)+4)))</f>
        <v>18735946</v>
      </c>
      <c r="J76">
        <f t="shared" si="2"/>
        <v>372</v>
      </c>
    </row>
    <row r="77" spans="1:10">
      <c r="A77" t="str" cm="1">
        <f t="array" aca="1" ref="A77" ca="1">INDIRECT(CONCATENATE("csv!A",$J77))</f>
        <v>SPVA</v>
      </c>
      <c r="B77" t="str" cm="1">
        <f t="array" aca="1" ref="B77" ca="1">INDIRECT(CONCATENATE("csv!E",$J77))</f>
        <v>loopback</v>
      </c>
      <c r="C77" s="3" cm="1">
        <f t="array" aca="1" ref="C77" ca="1">INDIRECT(CONCATENATE("csv!D",$J77))</f>
        <v>1000</v>
      </c>
      <c r="D77" s="3" cm="1">
        <f t="array" aca="1" ref="D77" ca="1">INDIRECT(CONCATENATE("csv!C",$J77))</f>
        <v>1</v>
      </c>
      <c r="E77" s="2">
        <f ca="1">AVERAGE(INDIRECT(CONCATENATE("csv!H",$J77)):INDIRECT(CONCATENATE("csv!H",($J77)+4)))</f>
        <v>57063.42</v>
      </c>
      <c r="F77" s="2">
        <f ca="1">STDEV(INDIRECT(CONCATENATE("csv!H",$J77)):INDIRECT(CONCATENATE("csv!H",($J77)+4)))</f>
        <v>1590.4360713338967</v>
      </c>
      <c r="G77" s="2">
        <f ca="1">MIN(INDIRECT(CONCATENATE("csv!H",$J77)):INDIRECT(CONCATENATE("csv!H",($J77)+4)))</f>
        <v>55425.9</v>
      </c>
      <c r="H77" s="2">
        <f ca="1">MAX(INDIRECT(CONCATENATE("csv!H",$J77)):INDIRECT(CONCATENATE("csv!H",($J77)+4)))</f>
        <v>59545.5</v>
      </c>
      <c r="I77" s="3">
        <f ca="1">SUM(INDIRECT(CONCATENATE("csv!J",$J77)):INDIRECT(CONCATENATE("csv!J",($J77)+4)))</f>
        <v>169064</v>
      </c>
      <c r="J77">
        <f t="shared" si="2"/>
        <v>377</v>
      </c>
    </row>
    <row r="78" spans="1:10">
      <c r="A78" t="str" cm="1">
        <f t="array" aca="1" ref="A78" ca="1">INDIRECT(CONCATENATE("csv!A",$J78))</f>
        <v>SPVA</v>
      </c>
      <c r="B78" t="str" cm="1">
        <f t="array" aca="1" ref="B78" ca="1">INDIRECT(CONCATENATE("csv!E",$J78))</f>
        <v>loopback</v>
      </c>
      <c r="C78" s="3" cm="1">
        <f t="array" aca="1" ref="C78" ca="1">INDIRECT(CONCATENATE("csv!D",$J78))</f>
        <v>1000</v>
      </c>
      <c r="D78" s="3" cm="1">
        <f t="array" aca="1" ref="D78" ca="1">INDIRECT(CONCATENATE("csv!C",$J78))</f>
        <v>10</v>
      </c>
      <c r="E78" s="2">
        <f ca="1">AVERAGE(INDIRECT(CONCATENATE("csv!H",$J78)):INDIRECT(CONCATENATE("csv!H",($J78)+4)))</f>
        <v>3874.0080000000003</v>
      </c>
      <c r="F78" s="2">
        <f ca="1">STDEV(INDIRECT(CONCATENATE("csv!H",$J78)):INDIRECT(CONCATENATE("csv!H",($J78)+4)))</f>
        <v>152.10356264729654</v>
      </c>
      <c r="G78" s="2">
        <f ca="1">MIN(INDIRECT(CONCATENATE("csv!H",$J78)):INDIRECT(CONCATENATE("csv!H",($J78)+4)))</f>
        <v>3733.68</v>
      </c>
      <c r="H78" s="2">
        <f ca="1">MAX(INDIRECT(CONCATENATE("csv!H",$J78)):INDIRECT(CONCATENATE("csv!H",($J78)+4)))</f>
        <v>4131.6000000000004</v>
      </c>
      <c r="I78" s="3">
        <f ca="1">SUM(INDIRECT(CONCATENATE("csv!J",$J78)):INDIRECT(CONCATENATE("csv!J",($J78)+4)))</f>
        <v>9060626</v>
      </c>
      <c r="J78">
        <f t="shared" si="2"/>
        <v>382</v>
      </c>
    </row>
    <row r="79" spans="1:10">
      <c r="A79" t="str" cm="1">
        <f t="array" aca="1" ref="A79" ca="1">INDIRECT(CONCATENATE("csv!A",$J79))</f>
        <v>SPVA</v>
      </c>
      <c r="B79" t="str" cm="1">
        <f t="array" aca="1" ref="B79" ca="1">INDIRECT(CONCATENATE("csv!E",$J79))</f>
        <v>loopback</v>
      </c>
      <c r="C79" s="3" cm="1">
        <f t="array" aca="1" ref="C79" ca="1">INDIRECT(CONCATENATE("csv!D",$J79))</f>
        <v>1000</v>
      </c>
      <c r="D79" s="3" cm="1">
        <f t="array" aca="1" ref="D79" ca="1">INDIRECT(CONCATENATE("csv!C",$J79))</f>
        <v>100</v>
      </c>
      <c r="E79" s="2">
        <f ca="1">AVERAGE(INDIRECT(CONCATENATE("csv!H",$J79)):INDIRECT(CONCATENATE("csv!H",($J79)+4)))</f>
        <v>451.53099999999995</v>
      </c>
      <c r="F79" s="2">
        <f ca="1">STDEV(INDIRECT(CONCATENATE("csv!H",$J79)):INDIRECT(CONCATENATE("csv!H",($J79)+4)))</f>
        <v>6.1768404139980788</v>
      </c>
      <c r="G79" s="2">
        <f ca="1">MIN(INDIRECT(CONCATENATE("csv!H",$J79)):INDIRECT(CONCATENATE("csv!H",($J79)+4)))</f>
        <v>444.13499999999999</v>
      </c>
      <c r="H79" s="2">
        <f ca="1">MAX(INDIRECT(CONCATENATE("csv!H",$J79)):INDIRECT(CONCATENATE("csv!H",($J79)+4)))</f>
        <v>458.70299999999997</v>
      </c>
      <c r="I79" s="3">
        <f ca="1">SUM(INDIRECT(CONCATENATE("csv!J",$J79)):INDIRECT(CONCATENATE("csv!J",($J79)+4)))</f>
        <v>17272134</v>
      </c>
      <c r="J79">
        <f t="shared" si="2"/>
        <v>387</v>
      </c>
    </row>
    <row r="80" spans="1:10">
      <c r="A80" t="str" cm="1">
        <f t="array" aca="1" ref="A80" ca="1">INDIRECT(CONCATENATE("csv!A",$J80))</f>
        <v>SPVA</v>
      </c>
      <c r="B80" t="str" cm="1">
        <f t="array" aca="1" ref="B80" ca="1">INDIRECT(CONCATENATE("csv!E",$J80))</f>
        <v>loopback</v>
      </c>
      <c r="C80" s="3" cm="1">
        <f t="array" aca="1" ref="C80" ca="1">INDIRECT(CONCATENATE("csv!D",$J80))</f>
        <v>1000</v>
      </c>
      <c r="D80" s="3" cm="1">
        <f t="array" aca="1" ref="D80" ca="1">INDIRECT(CONCATENATE("csv!C",$J80))</f>
        <v>500</v>
      </c>
      <c r="E80" s="2">
        <f ca="1">AVERAGE(INDIRECT(CONCATENATE("csv!H",$J80)):INDIRECT(CONCATENATE("csv!H",($J80)+4)))</f>
        <v>105.04819999999999</v>
      </c>
      <c r="F80" s="2">
        <f ca="1">STDEV(INDIRECT(CONCATENATE("csv!H",$J80)):INDIRECT(CONCATENATE("csv!H",($J80)+4)))</f>
        <v>3.4538144420336221</v>
      </c>
      <c r="G80" s="2">
        <f ca="1">MIN(INDIRECT(CONCATENATE("csv!H",$J80)):INDIRECT(CONCATENATE("csv!H",($J80)+4)))</f>
        <v>100.994</v>
      </c>
      <c r="H80" s="2">
        <f ca="1">MAX(INDIRECT(CONCATENATE("csv!H",$J80)):INDIRECT(CONCATENATE("csv!H",($J80)+4)))</f>
        <v>109.79300000000001</v>
      </c>
      <c r="I80" s="3">
        <f ca="1">SUM(INDIRECT(CONCATENATE("csv!J",$J80)):INDIRECT(CONCATENATE("csv!J",($J80)+4)))</f>
        <v>18613883</v>
      </c>
      <c r="J80">
        <f t="shared" si="2"/>
        <v>392</v>
      </c>
    </row>
    <row r="81" spans="1:10">
      <c r="A81" t="str" cm="1">
        <f t="array" aca="1" ref="A81" ca="1">INDIRECT(CONCATENATE("csv!A",$J81))</f>
        <v>SPVA</v>
      </c>
      <c r="B81" t="str" cm="1">
        <f t="array" aca="1" ref="B81" ca="1">INDIRECT(CONCATENATE("csv!E",$J81))</f>
        <v>loopback</v>
      </c>
      <c r="C81" s="3" cm="1">
        <f t="array" aca="1" ref="C81" ca="1">INDIRECT(CONCATENATE("csv!D",$J81))</f>
        <v>1000</v>
      </c>
      <c r="D81" s="3" cm="1">
        <f t="array" aca="1" ref="D81" ca="1">INDIRECT(CONCATENATE("csv!C",$J81))</f>
        <v>1000</v>
      </c>
      <c r="E81" s="2">
        <f ca="1">AVERAGE(INDIRECT(CONCATENATE("csv!H",$J81)):INDIRECT(CONCATENATE("csv!H",($J81)+4)))</f>
        <v>52.841740000000001</v>
      </c>
      <c r="F81" s="2">
        <f ca="1">STDEV(INDIRECT(CONCATENATE("csv!H",$J81)):INDIRECT(CONCATENATE("csv!H",($J81)+4)))</f>
        <v>3.3898904625371018</v>
      </c>
      <c r="G81" s="2">
        <f ca="1">MIN(INDIRECT(CONCATENATE("csv!H",$J81)):INDIRECT(CONCATENATE("csv!H",($J81)+4)))</f>
        <v>46.825499999999998</v>
      </c>
      <c r="H81" s="2">
        <f ca="1">MAX(INDIRECT(CONCATENATE("csv!H",$J81)):INDIRECT(CONCATENATE("csv!H",($J81)+4)))</f>
        <v>54.914299999999997</v>
      </c>
      <c r="I81" s="3">
        <f ca="1">SUM(INDIRECT(CONCATENATE("csv!J",$J81)):INDIRECT(CONCATENATE("csv!J",($J81)+4)))</f>
        <v>18128606</v>
      </c>
      <c r="J81">
        <f t="shared" si="2"/>
        <v>397</v>
      </c>
    </row>
    <row r="82" spans="1:10">
      <c r="A82" t="str" cm="1">
        <f t="array" aca="1" ref="A82" ca="1">INDIRECT(CONCATENATE("csv!A",$J82))</f>
        <v>SPVA</v>
      </c>
      <c r="B82" t="str" cm="1">
        <f t="array" aca="1" ref="B82" ca="1">INDIRECT(CONCATENATE("csv!E",$J82))</f>
        <v>loopback</v>
      </c>
      <c r="C82" s="3" cm="1">
        <f t="array" aca="1" ref="C82" ca="1">INDIRECT(CONCATENATE("csv!D",$J82))</f>
        <v>10000</v>
      </c>
      <c r="D82" s="3" cm="1">
        <f t="array" aca="1" ref="D82" ca="1">INDIRECT(CONCATENATE("csv!C",$J82))</f>
        <v>1</v>
      </c>
      <c r="E82" s="2">
        <f ca="1">AVERAGE(INDIRECT(CONCATENATE("csv!H",$J82)):INDIRECT(CONCATENATE("csv!H",($J82)+4)))</f>
        <v>26414.359999999997</v>
      </c>
      <c r="F82" s="2">
        <f ca="1">STDEV(INDIRECT(CONCATENATE("csv!H",$J82)):INDIRECT(CONCATENATE("csv!H",($J82)+4)))</f>
        <v>263.19855242763106</v>
      </c>
      <c r="G82" s="2">
        <f ca="1">MIN(INDIRECT(CONCATENATE("csv!H",$J82)):INDIRECT(CONCATENATE("csv!H",($J82)+4)))</f>
        <v>25958.1</v>
      </c>
      <c r="H82" s="2">
        <f ca="1">MAX(INDIRECT(CONCATENATE("csv!H",$J82)):INDIRECT(CONCATENATE("csv!H",($J82)+4)))</f>
        <v>26619.4</v>
      </c>
      <c r="I82" s="3">
        <f ca="1">SUM(INDIRECT(CONCATENATE("csv!J",$J82)):INDIRECT(CONCATENATE("csv!J",($J82)+4)))</f>
        <v>746412</v>
      </c>
      <c r="J82">
        <f t="shared" si="2"/>
        <v>402</v>
      </c>
    </row>
    <row r="83" spans="1:10">
      <c r="A83" t="str" cm="1">
        <f t="array" aca="1" ref="A83" ca="1">INDIRECT(CONCATENATE("csv!A",$J83))</f>
        <v>SPVA</v>
      </c>
      <c r="B83" t="str" cm="1">
        <f t="array" aca="1" ref="B83" ca="1">INDIRECT(CONCATENATE("csv!E",$J83))</f>
        <v>loopback</v>
      </c>
      <c r="C83" s="3" cm="1">
        <f t="array" aca="1" ref="C83" ca="1">INDIRECT(CONCATENATE("csv!D",$J83))</f>
        <v>10000</v>
      </c>
      <c r="D83" s="3" cm="1">
        <f t="array" aca="1" ref="D83" ca="1">INDIRECT(CONCATENATE("csv!C",$J83))</f>
        <v>10</v>
      </c>
      <c r="E83" s="2">
        <f ca="1">AVERAGE(INDIRECT(CONCATENATE("csv!H",$J83)):INDIRECT(CONCATENATE("csv!H",($J83)+4)))</f>
        <v>2257.076</v>
      </c>
      <c r="F83" s="2">
        <f ca="1">STDEV(INDIRECT(CONCATENATE("csv!H",$J83)):INDIRECT(CONCATENATE("csv!H",($J83)+4)))</f>
        <v>57.389380812132742</v>
      </c>
      <c r="G83" s="2">
        <f ca="1">MIN(INDIRECT(CONCATENATE("csv!H",$J83)):INDIRECT(CONCATENATE("csv!H",($J83)+4)))</f>
        <v>2179.42</v>
      </c>
      <c r="H83" s="2">
        <f ca="1">MAX(INDIRECT(CONCATENATE("csv!H",$J83)):INDIRECT(CONCATENATE("csv!H",($J83)+4)))</f>
        <v>2333.7399999999998</v>
      </c>
      <c r="I83" s="3">
        <f ca="1">SUM(INDIRECT(CONCATENATE("csv!J",$J83)):INDIRECT(CONCATENATE("csv!J",($J83)+4)))</f>
        <v>6975897</v>
      </c>
      <c r="J83">
        <f t="shared" si="2"/>
        <v>407</v>
      </c>
    </row>
    <row r="84" spans="1:10">
      <c r="A84" t="str" cm="1">
        <f t="array" aca="1" ref="A84" ca="1">INDIRECT(CONCATENATE("csv!A",$J84))</f>
        <v>SPVA</v>
      </c>
      <c r="B84" t="str" cm="1">
        <f t="array" aca="1" ref="B84" ca="1">INDIRECT(CONCATENATE("csv!E",$J84))</f>
        <v>loopback</v>
      </c>
      <c r="C84" s="3" cm="1">
        <f t="array" aca="1" ref="C84" ca="1">INDIRECT(CONCATENATE("csv!D",$J84))</f>
        <v>10000</v>
      </c>
      <c r="D84" s="3" cm="1">
        <f t="array" aca="1" ref="D84" ca="1">INDIRECT(CONCATENATE("csv!C",$J84))</f>
        <v>100</v>
      </c>
      <c r="E84" s="2">
        <f ca="1">AVERAGE(INDIRECT(CONCATENATE("csv!H",$J84)):INDIRECT(CONCATENATE("csv!H",($J84)+4)))</f>
        <v>213.30900000000003</v>
      </c>
      <c r="F84" s="2">
        <f ca="1">STDEV(INDIRECT(CONCATENATE("csv!H",$J84)):INDIRECT(CONCATENATE("csv!H",($J84)+4)))</f>
        <v>5.0595392576795009</v>
      </c>
      <c r="G84" s="2">
        <f ca="1">MIN(INDIRECT(CONCATENATE("csv!H",$J84)):INDIRECT(CONCATENATE("csv!H",($J84)+4)))</f>
        <v>208.017</v>
      </c>
      <c r="H84" s="2">
        <f ca="1">MAX(INDIRECT(CONCATENATE("csv!H",$J84)):INDIRECT(CONCATENATE("csv!H",($J84)+4)))</f>
        <v>220.399</v>
      </c>
      <c r="I84" s="3">
        <f ca="1">SUM(INDIRECT(CONCATENATE("csv!J",$J84)):INDIRECT(CONCATENATE("csv!J",($J84)+4)))</f>
        <v>15613911</v>
      </c>
      <c r="J84">
        <f t="shared" si="2"/>
        <v>412</v>
      </c>
    </row>
    <row r="85" spans="1:10">
      <c r="A85" t="str" cm="1">
        <f t="array" aca="1" ref="A85" ca="1">INDIRECT(CONCATENATE("csv!A",$J85))</f>
        <v>SPVA</v>
      </c>
      <c r="B85" t="str" cm="1">
        <f t="array" aca="1" ref="B85" ca="1">INDIRECT(CONCATENATE("csv!E",$J85))</f>
        <v>loopback</v>
      </c>
      <c r="C85" s="3" cm="1">
        <f t="array" aca="1" ref="C85" ca="1">INDIRECT(CONCATENATE("csv!D",$J85))</f>
        <v>10000</v>
      </c>
      <c r="D85" s="3" cm="1">
        <f t="array" aca="1" ref="D85" ca="1">INDIRECT(CONCATENATE("csv!C",$J85))</f>
        <v>500</v>
      </c>
      <c r="E85" s="2">
        <f ca="1">AVERAGE(INDIRECT(CONCATENATE("csv!H",$J85)):INDIRECT(CONCATENATE("csv!H",($J85)+4)))</f>
        <v>45.429999999999993</v>
      </c>
      <c r="F85" s="2">
        <f ca="1">STDEV(INDIRECT(CONCATENATE("csv!H",$J85)):INDIRECT(CONCATENATE("csv!H",($J85)+4)))</f>
        <v>2.5117413551160088</v>
      </c>
      <c r="G85" s="2">
        <f ca="1">MIN(INDIRECT(CONCATENATE("csv!H",$J85)):INDIRECT(CONCATENATE("csv!H",($J85)+4)))</f>
        <v>41.302799999999998</v>
      </c>
      <c r="H85" s="2">
        <f ca="1">MAX(INDIRECT(CONCATENATE("csv!H",$J85)):INDIRECT(CONCATENATE("csv!H",($J85)+4)))</f>
        <v>47.447000000000003</v>
      </c>
      <c r="I85" s="3">
        <f ca="1">SUM(INDIRECT(CONCATENATE("csv!J",$J85)):INDIRECT(CONCATENATE("csv!J",($J85)+4)))</f>
        <v>17985743</v>
      </c>
      <c r="J85">
        <f t="shared" si="2"/>
        <v>417</v>
      </c>
    </row>
    <row r="86" spans="1:10">
      <c r="A86" t="str" cm="1">
        <f t="array" aca="1" ref="A86" ca="1">INDIRECT(CONCATENATE("csv!A",$J86))</f>
        <v>SPVA</v>
      </c>
      <c r="B86" t="str" cm="1">
        <f t="array" aca="1" ref="B86" ca="1">INDIRECT(CONCATENATE("csv!E",$J86))</f>
        <v>loopback</v>
      </c>
      <c r="C86" s="3" cm="1">
        <f t="array" aca="1" ref="C86" ca="1">INDIRECT(CONCATENATE("csv!D",$J86))</f>
        <v>10000</v>
      </c>
      <c r="D86" s="3" cm="1">
        <f t="array" aca="1" ref="D86" ca="1">INDIRECT(CONCATENATE("csv!C",$J86))</f>
        <v>1000</v>
      </c>
      <c r="E86" s="2">
        <f ca="1">AVERAGE(INDIRECT(CONCATENATE("csv!H",$J86)):INDIRECT(CONCATENATE("csv!H",($J86)+4)))</f>
        <v>24.17876</v>
      </c>
      <c r="F86" s="2">
        <f ca="1">STDEV(INDIRECT(CONCATENATE("csv!H",$J86)):INDIRECT(CONCATENATE("csv!H",($J86)+4)))</f>
        <v>0.25540393105823633</v>
      </c>
      <c r="G86" s="2">
        <f ca="1">MIN(INDIRECT(CONCATENATE("csv!H",$J86)):INDIRECT(CONCATENATE("csv!H",($J86)+4)))</f>
        <v>23.886099999999999</v>
      </c>
      <c r="H86" s="2">
        <f ca="1">MAX(INDIRECT(CONCATENATE("csv!H",$J86)):INDIRECT(CONCATENATE("csv!H",($J86)+4)))</f>
        <v>24.584800000000001</v>
      </c>
      <c r="I86" s="3">
        <f ca="1">SUM(INDIRECT(CONCATENATE("csv!J",$J86)):INDIRECT(CONCATENATE("csv!J",($J86)+4)))</f>
        <v>18269020</v>
      </c>
      <c r="J86">
        <f t="shared" si="2"/>
        <v>422</v>
      </c>
    </row>
    <row r="87" spans="1:10">
      <c r="A87" t="str" cm="1">
        <f t="array" aca="1" ref="A87" ca="1">INDIRECT(CONCATENATE("csv!A",$J87))</f>
        <v>SPVA</v>
      </c>
      <c r="B87" t="str" cm="1">
        <f t="array" aca="1" ref="B87" ca="1">INDIRECT(CONCATENATE("csv!E",$J87))</f>
        <v>loopback</v>
      </c>
      <c r="C87" s="3" cm="1">
        <f t="array" aca="1" ref="C87" ca="1">INDIRECT(CONCATENATE("csv!D",$J87))</f>
        <v>100000</v>
      </c>
      <c r="D87" s="3" cm="1">
        <f t="array" aca="1" ref="D87" ca="1">INDIRECT(CONCATENATE("csv!C",$J87))</f>
        <v>1</v>
      </c>
      <c r="E87" s="2">
        <f ca="1">AVERAGE(INDIRECT(CONCATENATE("csv!H",$J87)):INDIRECT(CONCATENATE("csv!H",($J87)+4)))</f>
        <v>4232.674</v>
      </c>
      <c r="F87" s="2">
        <f ca="1">STDEV(INDIRECT(CONCATENATE("csv!H",$J87)):INDIRECT(CONCATENATE("csv!H",($J87)+4)))</f>
        <v>44.73367333452498</v>
      </c>
      <c r="G87" s="2">
        <f ca="1">MIN(INDIRECT(CONCATENATE("csv!H",$J87)):INDIRECT(CONCATENATE("csv!H",($J87)+4)))</f>
        <v>4182.28</v>
      </c>
      <c r="H87" s="2">
        <f ca="1">MAX(INDIRECT(CONCATENATE("csv!H",$J87)):INDIRECT(CONCATENATE("csv!H",($J87)+4)))</f>
        <v>4280.1499999999996</v>
      </c>
      <c r="I87" s="3">
        <f ca="1">SUM(INDIRECT(CONCATENATE("csv!J",$J87)):INDIRECT(CONCATENATE("csv!J",($J87)+4)))</f>
        <v>1326131</v>
      </c>
      <c r="J87">
        <f t="shared" si="2"/>
        <v>427</v>
      </c>
    </row>
    <row r="88" spans="1:10">
      <c r="A88" t="str" cm="1">
        <f t="array" aca="1" ref="A88" ca="1">INDIRECT(CONCATENATE("csv!A",$J88))</f>
        <v>SPVA</v>
      </c>
      <c r="B88" t="str" cm="1">
        <f t="array" aca="1" ref="B88" ca="1">INDIRECT(CONCATENATE("csv!E",$J88))</f>
        <v>loopback</v>
      </c>
      <c r="C88" s="3" cm="1">
        <f t="array" aca="1" ref="C88" ca="1">INDIRECT(CONCATENATE("csv!D",$J88))</f>
        <v>100000</v>
      </c>
      <c r="D88" s="3" cm="1">
        <f t="array" aca="1" ref="D88" ca="1">INDIRECT(CONCATENATE("csv!C",$J88))</f>
        <v>10</v>
      </c>
      <c r="E88" s="2">
        <f ca="1">AVERAGE(INDIRECT(CONCATENATE("csv!H",$J88)):INDIRECT(CONCATENATE("csv!H",($J88)+4)))</f>
        <v>388.07560000000001</v>
      </c>
      <c r="F88" s="2">
        <f ca="1">STDEV(INDIRECT(CONCATENATE("csv!H",$J88)):INDIRECT(CONCATENATE("csv!H",($J88)+4)))</f>
        <v>18.020077588623181</v>
      </c>
      <c r="G88" s="2">
        <f ca="1">MIN(INDIRECT(CONCATENATE("csv!H",$J88)):INDIRECT(CONCATENATE("csv!H",($J88)+4)))</f>
        <v>356.32100000000003</v>
      </c>
      <c r="H88" s="2">
        <f ca="1">MAX(INDIRECT(CONCATENATE("csv!H",$J88)):INDIRECT(CONCATENATE("csv!H",($J88)+4)))</f>
        <v>400.85399999999998</v>
      </c>
      <c r="I88" s="3">
        <f ca="1">SUM(INDIRECT(CONCATENATE("csv!J",$J88)):INDIRECT(CONCATENATE("csv!J",($J88)+4)))</f>
        <v>6860841</v>
      </c>
      <c r="J88">
        <f t="shared" si="2"/>
        <v>432</v>
      </c>
    </row>
    <row r="89" spans="1:10">
      <c r="A89" t="str" cm="1">
        <f t="array" aca="1" ref="A89" ca="1">INDIRECT(CONCATENATE("csv!A",$J89))</f>
        <v>SPVA</v>
      </c>
      <c r="B89" t="str" cm="1">
        <f t="array" aca="1" ref="B89" ca="1">INDIRECT(CONCATENATE("csv!E",$J89))</f>
        <v>loopback</v>
      </c>
      <c r="C89" s="3" cm="1">
        <f t="array" aca="1" ref="C89" ca="1">INDIRECT(CONCATENATE("csv!D",$J89))</f>
        <v>100000</v>
      </c>
      <c r="D89" s="3" cm="1">
        <f t="array" aca="1" ref="D89" ca="1">INDIRECT(CONCATENATE("csv!C",$J89))</f>
        <v>100</v>
      </c>
      <c r="E89" s="2">
        <f ca="1">AVERAGE(INDIRECT(CONCATENATE("csv!H",$J89)):INDIRECT(CONCATENATE("csv!H",($J89)+4)))</f>
        <v>39.421979999999998</v>
      </c>
      <c r="F89" s="2">
        <f ca="1">STDEV(INDIRECT(CONCATENATE("csv!H",$J89)):INDIRECT(CONCATENATE("csv!H",($J89)+4)))</f>
        <v>0.34029476487304433</v>
      </c>
      <c r="G89" s="2">
        <f ca="1">MIN(INDIRECT(CONCATENATE("csv!H",$J89)):INDIRECT(CONCATENATE("csv!H",($J89)+4)))</f>
        <v>39.013199999999998</v>
      </c>
      <c r="H89" s="2">
        <f ca="1">MAX(INDIRECT(CONCATENATE("csv!H",$J89)):INDIRECT(CONCATENATE("csv!H",($J89)+4)))</f>
        <v>39.772399999999998</v>
      </c>
      <c r="I89" s="3">
        <f ca="1">SUM(INDIRECT(CONCATENATE("csv!J",$J89)):INDIRECT(CONCATENATE("csv!J",($J89)+4)))</f>
        <v>15294407</v>
      </c>
      <c r="J89">
        <f t="shared" si="2"/>
        <v>437</v>
      </c>
    </row>
    <row r="90" spans="1:10">
      <c r="A90" t="str" cm="1">
        <f t="array" aca="1" ref="A90" ca="1">INDIRECT(CONCATENATE("csv!A",$J90))</f>
        <v>SPVA</v>
      </c>
      <c r="B90" t="str" cm="1">
        <f t="array" aca="1" ref="B90" ca="1">INDIRECT(CONCATENATE("csv!E",$J90))</f>
        <v>loopback</v>
      </c>
      <c r="C90" s="3" cm="1">
        <f t="array" aca="1" ref="C90" ca="1">INDIRECT(CONCATENATE("csv!D",$J90))</f>
        <v>100000</v>
      </c>
      <c r="D90" s="3" cm="1">
        <f t="array" aca="1" ref="D90" ca="1">INDIRECT(CONCATENATE("csv!C",$J90))</f>
        <v>500</v>
      </c>
      <c r="E90" s="2">
        <f ca="1">AVERAGE(INDIRECT(CONCATENATE("csv!H",$J90)):INDIRECT(CONCATENATE("csv!H",($J90)+4)))</f>
        <v>7.4510160000000001</v>
      </c>
      <c r="F90" s="2">
        <f ca="1">STDEV(INDIRECT(CONCATENATE("csv!H",$J90)):INDIRECT(CONCATENATE("csv!H",($J90)+4)))</f>
        <v>4.5699284239471442E-2</v>
      </c>
      <c r="G90" s="2">
        <f ca="1">MIN(INDIRECT(CONCATENATE("csv!H",$J90)):INDIRECT(CONCATENATE("csv!H",($J90)+4)))</f>
        <v>7.4066700000000001</v>
      </c>
      <c r="H90" s="2">
        <f ca="1">MAX(INDIRECT(CONCATENATE("csv!H",$J90)):INDIRECT(CONCATENATE("csv!H",($J90)+4)))</f>
        <v>7.5120500000000003</v>
      </c>
      <c r="I90" s="3">
        <f ca="1">SUM(INDIRECT(CONCATENATE("csv!J",$J90)):INDIRECT(CONCATENATE("csv!J",($J90)+4)))</f>
        <v>18331657</v>
      </c>
      <c r="J90">
        <f t="shared" si="2"/>
        <v>442</v>
      </c>
    </row>
    <row r="91" spans="1:10">
      <c r="A91" t="str" cm="1">
        <f t="array" aca="1" ref="A91" ca="1">INDIRECT(CONCATENATE("csv!A",$J91))</f>
        <v>SPVA</v>
      </c>
      <c r="B91" t="str" cm="1">
        <f t="array" aca="1" ref="B91" ca="1">INDIRECT(CONCATENATE("csv!E",$J91))</f>
        <v>loopback</v>
      </c>
      <c r="C91" s="3" cm="1">
        <f t="array" aca="1" ref="C91" ca="1">INDIRECT(CONCATENATE("csv!D",$J91))</f>
        <v>100000</v>
      </c>
      <c r="D91" s="3" cm="1">
        <f t="array" aca="1" ref="D91" ca="1">INDIRECT(CONCATENATE("csv!C",$J91))</f>
        <v>1000</v>
      </c>
      <c r="E91" s="2">
        <f ca="1">AVERAGE(INDIRECT(CONCATENATE("csv!H",$J91)):INDIRECT(CONCATENATE("csv!H",($J91)+4)))</f>
        <v>3.732224</v>
      </c>
      <c r="F91" s="2">
        <f ca="1">STDEV(INDIRECT(CONCATENATE("csv!H",$J91)):INDIRECT(CONCATENATE("csv!H",($J91)+4)))</f>
        <v>2.0550123600601537E-2</v>
      </c>
      <c r="G91" s="2">
        <f ca="1">MIN(INDIRECT(CONCATENATE("csv!H",$J91)):INDIRECT(CONCATENATE("csv!H",($J91)+4)))</f>
        <v>3.71401</v>
      </c>
      <c r="H91" s="2">
        <f ca="1">MAX(INDIRECT(CONCATENATE("csv!H",$J91)):INDIRECT(CONCATENATE("csv!H",($J91)+4)))</f>
        <v>3.7632300000000001</v>
      </c>
      <c r="I91" s="3">
        <f ca="1">SUM(INDIRECT(CONCATENATE("csv!J",$J91)):INDIRECT(CONCATENATE("csv!J",($J91)+4)))</f>
        <v>18180314</v>
      </c>
      <c r="J91">
        <f t="shared" si="2"/>
        <v>447</v>
      </c>
    </row>
    <row r="92" spans="1:10">
      <c r="A92" t="str" cm="1">
        <f t="array" aca="1" ref="A92" ca="1">INDIRECT(CONCATENATE("csv!A",$J92))</f>
        <v>SPVA_CERTMON</v>
      </c>
      <c r="B92" t="str" cm="1">
        <f t="array" aca="1" ref="B92" ca="1">INDIRECT(CONCATENATE("csv!E",$J92))</f>
        <v>loopback</v>
      </c>
      <c r="C92" s="3" cm="1">
        <f t="array" aca="1" ref="C92" ca="1">INDIRECT(CONCATENATE("csv!D",$J92))</f>
        <v>1</v>
      </c>
      <c r="D92" s="3" cm="1">
        <f t="array" aca="1" ref="D92" ca="1">INDIRECT(CONCATENATE("csv!C",$J92))</f>
        <v>1</v>
      </c>
      <c r="E92" s="2">
        <f ca="1">AVERAGE(INDIRECT(CONCATENATE("csv!H",$J92)):INDIRECT(CONCATENATE("csv!H",($J92)+4)))</f>
        <v>73196.680000000008</v>
      </c>
      <c r="F92" s="2">
        <f ca="1">STDEV(INDIRECT(CONCATENATE("csv!H",$J92)):INDIRECT(CONCATENATE("csv!H",($J92)+4)))</f>
        <v>1631.7843000838041</v>
      </c>
      <c r="G92" s="2">
        <f ca="1">MIN(INDIRECT(CONCATENATE("csv!H",$J92)):INDIRECT(CONCATENATE("csv!H",($J92)+4)))</f>
        <v>70731.3</v>
      </c>
      <c r="H92" s="2">
        <f ca="1">MAX(INDIRECT(CONCATENATE("csv!H",$J92)):INDIRECT(CONCATENATE("csv!H",($J92)+4)))</f>
        <v>74826.7</v>
      </c>
      <c r="I92" s="3">
        <f ca="1">SUM(INDIRECT(CONCATENATE("csv!J",$J92)):INDIRECT(CONCATENATE("csv!J",($J92)+4)))</f>
        <v>6200</v>
      </c>
      <c r="J92">
        <f t="shared" si="2"/>
        <v>452</v>
      </c>
    </row>
    <row r="93" spans="1:10">
      <c r="A93" t="str" cm="1">
        <f t="array" aca="1" ref="A93" ca="1">INDIRECT(CONCATENATE("csv!A",$J93))</f>
        <v>SPVA_CERTMON</v>
      </c>
      <c r="B93" t="str" cm="1">
        <f t="array" aca="1" ref="B93" ca="1">INDIRECT(CONCATENATE("csv!E",$J93))</f>
        <v>loopback</v>
      </c>
      <c r="C93" s="3" cm="1">
        <f t="array" aca="1" ref="C93" ca="1">INDIRECT(CONCATENATE("csv!D",$J93))</f>
        <v>1</v>
      </c>
      <c r="D93" s="3" cm="1">
        <f t="array" aca="1" ref="D93" ca="1">INDIRECT(CONCATENATE("csv!C",$J93))</f>
        <v>10</v>
      </c>
      <c r="E93" s="2">
        <f ca="1">AVERAGE(INDIRECT(CONCATENATE("csv!H",$J93)):INDIRECT(CONCATENATE("csv!H",($J93)+4)))</f>
        <v>4286.7420000000002</v>
      </c>
      <c r="F93" s="2">
        <f ca="1">STDEV(INDIRECT(CONCATENATE("csv!H",$J93)):INDIRECT(CONCATENATE("csv!H",($J93)+4)))</f>
        <v>399.4871205308126</v>
      </c>
      <c r="G93" s="2">
        <f ca="1">MIN(INDIRECT(CONCATENATE("csv!H",$J93)):INDIRECT(CONCATENATE("csv!H",($J93)+4)))</f>
        <v>3659.9</v>
      </c>
      <c r="H93" s="2">
        <f ca="1">MAX(INDIRECT(CONCATENATE("csv!H",$J93)):INDIRECT(CONCATENATE("csv!H",($J93)+4)))</f>
        <v>4650.45</v>
      </c>
      <c r="I93" s="3">
        <f ca="1">SUM(INDIRECT(CONCATENATE("csv!J",$J93)):INDIRECT(CONCATENATE("csv!J",($J93)+4)))</f>
        <v>9870410</v>
      </c>
      <c r="J93">
        <f t="shared" si="2"/>
        <v>457</v>
      </c>
    </row>
    <row r="94" spans="1:10">
      <c r="A94" t="str" cm="1">
        <f t="array" aca="1" ref="A94" ca="1">INDIRECT(CONCATENATE("csv!A",$J94))</f>
        <v>SPVA_CERTMON</v>
      </c>
      <c r="B94" t="str" cm="1">
        <f t="array" aca="1" ref="B94" ca="1">INDIRECT(CONCATENATE("csv!E",$J94))</f>
        <v>loopback</v>
      </c>
      <c r="C94" s="3" cm="1">
        <f t="array" aca="1" ref="C94" ca="1">INDIRECT(CONCATENATE("csv!D",$J94))</f>
        <v>1</v>
      </c>
      <c r="D94" s="3" cm="1">
        <f t="array" aca="1" ref="D94" ca="1">INDIRECT(CONCATENATE("csv!C",$J94))</f>
        <v>100</v>
      </c>
      <c r="E94" s="2">
        <f ca="1">AVERAGE(INDIRECT(CONCATENATE("csv!H",$J94)):INDIRECT(CONCATENATE("csv!H",($J94)+4)))</f>
        <v>216.64060000000001</v>
      </c>
      <c r="F94" s="2">
        <f ca="1">STDEV(INDIRECT(CONCATENATE("csv!H",$J94)):INDIRECT(CONCATENATE("csv!H",($J94)+4)))</f>
        <v>8.0605142081631502</v>
      </c>
      <c r="G94" s="2">
        <f ca="1">MIN(INDIRECT(CONCATENATE("csv!H",$J94)):INDIRECT(CONCATENATE("csv!H",($J94)+4)))</f>
        <v>205.84899999999999</v>
      </c>
      <c r="H94" s="2">
        <f ca="1">MAX(INDIRECT(CONCATENATE("csv!H",$J94)):INDIRECT(CONCATENATE("csv!H",($J94)+4)))</f>
        <v>227.559</v>
      </c>
      <c r="I94" s="3">
        <f ca="1">SUM(INDIRECT(CONCATENATE("csv!J",$J94)):INDIRECT(CONCATENATE("csv!J",($J94)+4)))</f>
        <v>17588688</v>
      </c>
      <c r="J94">
        <f t="shared" ref="J94:J118" si="3">J93+5</f>
        <v>462</v>
      </c>
    </row>
    <row r="95" spans="1:10">
      <c r="A95" t="str" cm="1">
        <f t="array" aca="1" ref="A95" ca="1">INDIRECT(CONCATENATE("csv!A",$J95))</f>
        <v>SPVA_CERTMON</v>
      </c>
      <c r="B95" t="str" cm="1">
        <f t="array" aca="1" ref="B95" ca="1">INDIRECT(CONCATENATE("csv!E",$J95))</f>
        <v>loopback</v>
      </c>
      <c r="C95" s="3" cm="1">
        <f t="array" aca="1" ref="C95" ca="1">INDIRECT(CONCATENATE("csv!D",$J95))</f>
        <v>1</v>
      </c>
      <c r="D95" s="3" cm="1">
        <f t="array" aca="1" ref="D95" ca="1">INDIRECT(CONCATENATE("csv!C",$J95))</f>
        <v>500</v>
      </c>
      <c r="E95" s="2">
        <f ca="1">AVERAGE(INDIRECT(CONCATENATE("csv!H",$J95)):INDIRECT(CONCATENATE("csv!H",($J95)+4)))</f>
        <v>93.893760000000015</v>
      </c>
      <c r="F95" s="2">
        <f ca="1">STDEV(INDIRECT(CONCATENATE("csv!H",$J95)):INDIRECT(CONCATENATE("csv!H",($J95)+4)))</f>
        <v>2.2455027762173883</v>
      </c>
      <c r="G95" s="2">
        <f ca="1">MIN(INDIRECT(CONCATENATE("csv!H",$J95)):INDIRECT(CONCATENATE("csv!H",($J95)+4)))</f>
        <v>91.3095</v>
      </c>
      <c r="H95" s="2">
        <f ca="1">MAX(INDIRECT(CONCATENATE("csv!H",$J95)):INDIRECT(CONCATENATE("csv!H",($J95)+4)))</f>
        <v>97.0291</v>
      </c>
      <c r="I95" s="3">
        <f ca="1">SUM(INDIRECT(CONCATENATE("csv!J",$J95)):INDIRECT(CONCATENATE("csv!J",($J95)+4)))</f>
        <v>16123061</v>
      </c>
      <c r="J95">
        <f t="shared" si="3"/>
        <v>467</v>
      </c>
    </row>
    <row r="96" spans="1:10">
      <c r="A96" t="str" cm="1">
        <f t="array" aca="1" ref="A96" ca="1">INDIRECT(CONCATENATE("csv!A",$J96))</f>
        <v>SPVA_CERTMON</v>
      </c>
      <c r="B96" t="str" cm="1">
        <f t="array" aca="1" ref="B96" ca="1">INDIRECT(CONCATENATE("csv!E",$J96))</f>
        <v>loopback</v>
      </c>
      <c r="C96" s="3" cm="1">
        <f t="array" aca="1" ref="C96" ca="1">INDIRECT(CONCATENATE("csv!D",$J96))</f>
        <v>1</v>
      </c>
      <c r="D96" s="3" cm="1">
        <f t="array" aca="1" ref="D96" ca="1">INDIRECT(CONCATENATE("csv!C",$J96))</f>
        <v>1000</v>
      </c>
      <c r="E96" s="2">
        <f ca="1">AVERAGE(INDIRECT(CONCATENATE("csv!H",$J96)):INDIRECT(CONCATENATE("csv!H",($J96)+4)))</f>
        <v>70.928899999999999</v>
      </c>
      <c r="F96" s="2">
        <f ca="1">STDEV(INDIRECT(CONCATENATE("csv!H",$J96)):INDIRECT(CONCATENATE("csv!H",($J96)+4)))</f>
        <v>1.6281513704198427</v>
      </c>
      <c r="G96" s="2">
        <f ca="1">MIN(INDIRECT(CONCATENATE("csv!H",$J96)):INDIRECT(CONCATENATE("csv!H",($J96)+4)))</f>
        <v>68.351699999999994</v>
      </c>
      <c r="H96" s="2">
        <f ca="1">MAX(INDIRECT(CONCATENATE("csv!H",$J96)):INDIRECT(CONCATENATE("csv!H",($J96)+4)))</f>
        <v>72.822500000000005</v>
      </c>
      <c r="I96" s="3">
        <f ca="1">SUM(INDIRECT(CONCATENATE("csv!J",$J96)):INDIRECT(CONCATENATE("csv!J",($J96)+4)))</f>
        <v>12964783</v>
      </c>
      <c r="J96">
        <f t="shared" si="3"/>
        <v>472</v>
      </c>
    </row>
    <row r="97" spans="1:10">
      <c r="A97" t="str" cm="1">
        <f t="array" aca="1" ref="A97" ca="1">INDIRECT(CONCATENATE("csv!A",$J97))</f>
        <v>SPVA_CERTMON</v>
      </c>
      <c r="B97" t="str" cm="1">
        <f t="array" aca="1" ref="B97" ca="1">INDIRECT(CONCATENATE("csv!E",$J97))</f>
        <v>loopback</v>
      </c>
      <c r="C97" s="3" cm="1">
        <f t="array" aca="1" ref="C97" ca="1">INDIRECT(CONCATENATE("csv!D",$J97))</f>
        <v>10</v>
      </c>
      <c r="D97" s="3" cm="1">
        <f t="array" aca="1" ref="D97" ca="1">INDIRECT(CONCATENATE("csv!C",$J97))</f>
        <v>1</v>
      </c>
      <c r="E97" s="2">
        <f ca="1">AVERAGE(INDIRECT(CONCATENATE("csv!H",$J97)):INDIRECT(CONCATENATE("csv!H",($J97)+4)))</f>
        <v>75403.38</v>
      </c>
      <c r="F97" s="2">
        <f ca="1">STDEV(INDIRECT(CONCATENATE("csv!H",$J97)):INDIRECT(CONCATENATE("csv!H",($J97)+4)))</f>
        <v>1824.7506657075091</v>
      </c>
      <c r="G97" s="2">
        <f ca="1">MIN(INDIRECT(CONCATENATE("csv!H",$J97)):INDIRECT(CONCATENATE("csv!H",($J97)+4)))</f>
        <v>72590.7</v>
      </c>
      <c r="H97" s="2">
        <f ca="1">MAX(INDIRECT(CONCATENATE("csv!H",$J97)):INDIRECT(CONCATENATE("csv!H",($J97)+4)))</f>
        <v>77699.899999999994</v>
      </c>
      <c r="I97" s="3">
        <f ca="1">SUM(INDIRECT(CONCATENATE("csv!J",$J97)):INDIRECT(CONCATENATE("csv!J",($J97)+4)))</f>
        <v>10236</v>
      </c>
      <c r="J97">
        <f t="shared" si="3"/>
        <v>477</v>
      </c>
    </row>
    <row r="98" spans="1:10">
      <c r="A98" t="str" cm="1">
        <f t="array" aca="1" ref="A98" ca="1">INDIRECT(CONCATENATE("csv!A",$J98))</f>
        <v>SPVA_CERTMON</v>
      </c>
      <c r="B98" t="str" cm="1">
        <f t="array" aca="1" ref="B98" ca="1">INDIRECT(CONCATENATE("csv!E",$J98))</f>
        <v>loopback</v>
      </c>
      <c r="C98" s="3" cm="1">
        <f t="array" aca="1" ref="C98" ca="1">INDIRECT(CONCATENATE("csv!D",$J98))</f>
        <v>10</v>
      </c>
      <c r="D98" s="3" cm="1">
        <f t="array" aca="1" ref="D98" ca="1">INDIRECT(CONCATENATE("csv!C",$J98))</f>
        <v>10</v>
      </c>
      <c r="E98" s="2">
        <f ca="1">AVERAGE(INDIRECT(CONCATENATE("csv!H",$J98)):INDIRECT(CONCATENATE("csv!H",($J98)+4)))</f>
        <v>4179.6239999999998</v>
      </c>
      <c r="F98" s="2">
        <f ca="1">STDEV(INDIRECT(CONCATENATE("csv!H",$J98)):INDIRECT(CONCATENATE("csv!H",($J98)+4)))</f>
        <v>194.77703850813612</v>
      </c>
      <c r="G98" s="2">
        <f ca="1">MIN(INDIRECT(CONCATENATE("csv!H",$J98)):INDIRECT(CONCATENATE("csv!H",($J98)+4)))</f>
        <v>3976.34</v>
      </c>
      <c r="H98" s="2">
        <f ca="1">MAX(INDIRECT(CONCATENATE("csv!H",$J98)):INDIRECT(CONCATENATE("csv!H",($J98)+4)))</f>
        <v>4424.45</v>
      </c>
      <c r="I98" s="3">
        <f ca="1">SUM(INDIRECT(CONCATENATE("csv!J",$J98)):INDIRECT(CONCATENATE("csv!J",($J98)+4)))</f>
        <v>9548055</v>
      </c>
      <c r="J98">
        <f t="shared" si="3"/>
        <v>482</v>
      </c>
    </row>
    <row r="99" spans="1:10">
      <c r="A99" t="str" cm="1">
        <f t="array" aca="1" ref="A99" ca="1">INDIRECT(CONCATENATE("csv!A",$J99))</f>
        <v>SPVA_CERTMON</v>
      </c>
      <c r="B99" t="str" cm="1">
        <f t="array" aca="1" ref="B99" ca="1">INDIRECT(CONCATENATE("csv!E",$J99))</f>
        <v>loopback</v>
      </c>
      <c r="C99" s="3" cm="1">
        <f t="array" aca="1" ref="C99" ca="1">INDIRECT(CONCATENATE("csv!D",$J99))</f>
        <v>10</v>
      </c>
      <c r="D99" s="3" cm="1">
        <f t="array" aca="1" ref="D99" ca="1">INDIRECT(CONCATENATE("csv!C",$J99))</f>
        <v>100</v>
      </c>
      <c r="E99" s="2">
        <f ca="1">AVERAGE(INDIRECT(CONCATENATE("csv!H",$J99)):INDIRECT(CONCATENATE("csv!H",($J99)+4)))</f>
        <v>245.84719999999999</v>
      </c>
      <c r="F99" s="2">
        <f ca="1">STDEV(INDIRECT(CONCATENATE("csv!H",$J99)):INDIRECT(CONCATENATE("csv!H",($J99)+4)))</f>
        <v>5.3217489324469165</v>
      </c>
      <c r="G99" s="2">
        <f ca="1">MIN(INDIRECT(CONCATENATE("csv!H",$J99)):INDIRECT(CONCATENATE("csv!H",($J99)+4)))</f>
        <v>239.59800000000001</v>
      </c>
      <c r="H99" s="2">
        <f ca="1">MAX(INDIRECT(CONCATENATE("csv!H",$J99)):INDIRECT(CONCATENATE("csv!H",($J99)+4)))</f>
        <v>251.13499999999999</v>
      </c>
      <c r="I99" s="3">
        <f ca="1">SUM(INDIRECT(CONCATENATE("csv!J",$J99)):INDIRECT(CONCATENATE("csv!J",($J99)+4)))</f>
        <v>18088491</v>
      </c>
      <c r="J99">
        <f t="shared" si="3"/>
        <v>487</v>
      </c>
    </row>
    <row r="100" spans="1:10">
      <c r="A100" t="str" cm="1">
        <f t="array" aca="1" ref="A100" ca="1">INDIRECT(CONCATENATE("csv!A",$J100))</f>
        <v>SPVA_CERTMON</v>
      </c>
      <c r="B100" t="str" cm="1">
        <f t="array" aca="1" ref="B100" ca="1">INDIRECT(CONCATENATE("csv!E",$J100))</f>
        <v>loopback</v>
      </c>
      <c r="C100" s="3" cm="1">
        <f t="array" aca="1" ref="C100" ca="1">INDIRECT(CONCATENATE("csv!D",$J100))</f>
        <v>10</v>
      </c>
      <c r="D100" s="3" cm="1">
        <f t="array" aca="1" ref="D100" ca="1">INDIRECT(CONCATENATE("csv!C",$J100))</f>
        <v>500</v>
      </c>
      <c r="E100" s="2">
        <f ca="1">AVERAGE(INDIRECT(CONCATENATE("csv!H",$J100)):INDIRECT(CONCATENATE("csv!H",($J100)+4)))</f>
        <v>75.744800000000012</v>
      </c>
      <c r="F100" s="2">
        <f ca="1">STDEV(INDIRECT(CONCATENATE("csv!H",$J100)):INDIRECT(CONCATENATE("csv!H",($J100)+4)))</f>
        <v>2.079788370243473</v>
      </c>
      <c r="G100" s="2">
        <f ca="1">MIN(INDIRECT(CONCATENATE("csv!H",$J100)):INDIRECT(CONCATENATE("csv!H",($J100)+4)))</f>
        <v>73.632000000000005</v>
      </c>
      <c r="H100" s="2">
        <f ca="1">MAX(INDIRECT(CONCATENATE("csv!H",$J100)):INDIRECT(CONCATENATE("csv!H",($J100)+4)))</f>
        <v>78.278700000000001</v>
      </c>
      <c r="I100" s="3">
        <f ca="1">SUM(INDIRECT(CONCATENATE("csv!J",$J100)):INDIRECT(CONCATENATE("csv!J",($J100)+4)))</f>
        <v>18490617</v>
      </c>
      <c r="J100">
        <f t="shared" si="3"/>
        <v>492</v>
      </c>
    </row>
    <row r="101" spans="1:10">
      <c r="A101" t="str" cm="1">
        <f t="array" aca="1" ref="A101" ca="1">INDIRECT(CONCATENATE("csv!A",$J101))</f>
        <v>SPVA_CERTMON</v>
      </c>
      <c r="B101" t="str" cm="1">
        <f t="array" aca="1" ref="B101" ca="1">INDIRECT(CONCATENATE("csv!E",$J101))</f>
        <v>loopback</v>
      </c>
      <c r="C101" s="3" cm="1">
        <f t="array" aca="1" ref="C101" ca="1">INDIRECT(CONCATENATE("csv!D",$J101))</f>
        <v>10</v>
      </c>
      <c r="D101" s="3" cm="1">
        <f t="array" aca="1" ref="D101" ca="1">INDIRECT(CONCATENATE("csv!C",$J101))</f>
        <v>1000</v>
      </c>
      <c r="E101" s="2">
        <f ca="1">AVERAGE(INDIRECT(CONCATENATE("csv!H",$J101)):INDIRECT(CONCATENATE("csv!H",($J101)+4)))</f>
        <v>43.83746</v>
      </c>
      <c r="F101" s="2">
        <f ca="1">STDEV(INDIRECT(CONCATENATE("csv!H",$J101)):INDIRECT(CONCATENATE("csv!H",($J101)+4)))</f>
        <v>0.49622460942601371</v>
      </c>
      <c r="G101" s="2">
        <f ca="1">MIN(INDIRECT(CONCATENATE("csv!H",$J101)):INDIRECT(CONCATENATE("csv!H",($J101)+4)))</f>
        <v>43.134300000000003</v>
      </c>
      <c r="H101" s="2">
        <f ca="1">MAX(INDIRECT(CONCATENATE("csv!H",$J101)):INDIRECT(CONCATENATE("csv!H",($J101)+4)))</f>
        <v>44.512500000000003</v>
      </c>
      <c r="I101" s="3">
        <f ca="1">SUM(INDIRECT(CONCATENATE("csv!J",$J101)):INDIRECT(CONCATENATE("csv!J",($J101)+4)))</f>
        <v>18007002</v>
      </c>
      <c r="J101">
        <f t="shared" si="3"/>
        <v>497</v>
      </c>
    </row>
    <row r="102" spans="1:10">
      <c r="A102" t="str" cm="1">
        <f t="array" aca="1" ref="A102" ca="1">INDIRECT(CONCATENATE("csv!A",$J102))</f>
        <v>SPVA_CERTMON</v>
      </c>
      <c r="B102" t="str" cm="1">
        <f t="array" aca="1" ref="B102" ca="1">INDIRECT(CONCATENATE("csv!E",$J102))</f>
        <v>loopback</v>
      </c>
      <c r="C102" s="3" cm="1">
        <f t="array" aca="1" ref="C102" ca="1">INDIRECT(CONCATENATE("csv!D",$J102))</f>
        <v>100</v>
      </c>
      <c r="D102" s="3" cm="1">
        <f t="array" aca="1" ref="D102" ca="1">INDIRECT(CONCATENATE("csv!C",$J102))</f>
        <v>1</v>
      </c>
      <c r="E102" s="2">
        <f ca="1">AVERAGE(INDIRECT(CONCATENATE("csv!H",$J102)):INDIRECT(CONCATENATE("csv!H",($J102)+4)))</f>
        <v>73217.38</v>
      </c>
      <c r="F102" s="2">
        <f ca="1">STDEV(INDIRECT(CONCATENATE("csv!H",$J102)):INDIRECT(CONCATENATE("csv!H",($J102)+4)))</f>
        <v>3513.4782405758574</v>
      </c>
      <c r="G102" s="2">
        <f ca="1">MIN(INDIRECT(CONCATENATE("csv!H",$J102)):INDIRECT(CONCATENATE("csv!H",($J102)+4)))</f>
        <v>67367.399999999994</v>
      </c>
      <c r="H102" s="2">
        <f ca="1">MAX(INDIRECT(CONCATENATE("csv!H",$J102)):INDIRECT(CONCATENATE("csv!H",($J102)+4)))</f>
        <v>75973.100000000006</v>
      </c>
      <c r="I102" s="3">
        <f ca="1">SUM(INDIRECT(CONCATENATE("csv!J",$J102)):INDIRECT(CONCATENATE("csv!J",($J102)+4)))</f>
        <v>36491</v>
      </c>
      <c r="J102">
        <f t="shared" si="3"/>
        <v>502</v>
      </c>
    </row>
    <row r="103" spans="1:10">
      <c r="A103" t="str" cm="1">
        <f t="array" aca="1" ref="A103" ca="1">INDIRECT(CONCATENATE("csv!A",$J103))</f>
        <v>SPVA_CERTMON</v>
      </c>
      <c r="B103" t="str" cm="1">
        <f t="array" aca="1" ref="B103" ca="1">INDIRECT(CONCATENATE("csv!E",$J103))</f>
        <v>loopback</v>
      </c>
      <c r="C103" s="3" cm="1">
        <f t="array" aca="1" ref="C103" ca="1">INDIRECT(CONCATENATE("csv!D",$J103))</f>
        <v>100</v>
      </c>
      <c r="D103" s="3" cm="1">
        <f t="array" aca="1" ref="D103" ca="1">INDIRECT(CONCATENATE("csv!C",$J103))</f>
        <v>10</v>
      </c>
      <c r="E103" s="2">
        <f ca="1">AVERAGE(INDIRECT(CONCATENATE("csv!H",$J103)):INDIRECT(CONCATENATE("csv!H",($J103)+4)))</f>
        <v>4587.7259999999997</v>
      </c>
      <c r="F103" s="2">
        <f ca="1">STDEV(INDIRECT(CONCATENATE("csv!H",$J103)):INDIRECT(CONCATENATE("csv!H",($J103)+4)))</f>
        <v>152.25622197467015</v>
      </c>
      <c r="G103" s="2">
        <f ca="1">MIN(INDIRECT(CONCATENATE("csv!H",$J103)):INDIRECT(CONCATENATE("csv!H",($J103)+4)))</f>
        <v>4337.32</v>
      </c>
      <c r="H103" s="2">
        <f ca="1">MAX(INDIRECT(CONCATENATE("csv!H",$J103)):INDIRECT(CONCATENATE("csv!H",($J103)+4)))</f>
        <v>4731.83</v>
      </c>
      <c r="I103" s="3">
        <f ca="1">SUM(INDIRECT(CONCATENATE("csv!J",$J103)):INDIRECT(CONCATENATE("csv!J",($J103)+4)))</f>
        <v>9647301</v>
      </c>
      <c r="J103">
        <f t="shared" si="3"/>
        <v>507</v>
      </c>
    </row>
    <row r="104" spans="1:10">
      <c r="A104" t="str" cm="1">
        <f t="array" aca="1" ref="A104" ca="1">INDIRECT(CONCATENATE("csv!A",$J104))</f>
        <v>SPVA_CERTMON</v>
      </c>
      <c r="B104" t="str" cm="1">
        <f t="array" aca="1" ref="B104" ca="1">INDIRECT(CONCATENATE("csv!E",$J104))</f>
        <v>loopback</v>
      </c>
      <c r="C104" s="3" cm="1">
        <f t="array" aca="1" ref="C104" ca="1">INDIRECT(CONCATENATE("csv!D",$J104))</f>
        <v>100</v>
      </c>
      <c r="D104" s="3" cm="1">
        <f t="array" aca="1" ref="D104" ca="1">INDIRECT(CONCATENATE("csv!C",$J104))</f>
        <v>100</v>
      </c>
      <c r="E104" s="2">
        <f ca="1">AVERAGE(INDIRECT(CONCATENATE("csv!H",$J104)):INDIRECT(CONCATENATE("csv!H",($J104)+4)))</f>
        <v>376.08000000000004</v>
      </c>
      <c r="F104" s="2">
        <f ca="1">STDEV(INDIRECT(CONCATENATE("csv!H",$J104)):INDIRECT(CONCATENATE("csv!H",($J104)+4)))</f>
        <v>12.390243944329738</v>
      </c>
      <c r="G104" s="2">
        <f ca="1">MIN(INDIRECT(CONCATENATE("csv!H",$J104)):INDIRECT(CONCATENATE("csv!H",($J104)+4)))</f>
        <v>365.45100000000002</v>
      </c>
      <c r="H104" s="2">
        <f ca="1">MAX(INDIRECT(CONCATENATE("csv!H",$J104)):INDIRECT(CONCATENATE("csv!H",($J104)+4)))</f>
        <v>396.98899999999998</v>
      </c>
      <c r="I104" s="3">
        <f ca="1">SUM(INDIRECT(CONCATENATE("csv!J",$J104)):INDIRECT(CONCATENATE("csv!J",($J104)+4)))</f>
        <v>17153378</v>
      </c>
      <c r="J104">
        <f t="shared" si="3"/>
        <v>512</v>
      </c>
    </row>
    <row r="105" spans="1:10">
      <c r="A105" t="str" cm="1">
        <f t="array" aca="1" ref="A105" ca="1">INDIRECT(CONCATENATE("csv!A",$J105))</f>
        <v>SPVA_CERTMON</v>
      </c>
      <c r="B105" t="str" cm="1">
        <f t="array" aca="1" ref="B105" ca="1">INDIRECT(CONCATENATE("csv!E",$J105))</f>
        <v>loopback</v>
      </c>
      <c r="C105" s="3" cm="1">
        <f t="array" aca="1" ref="C105" ca="1">INDIRECT(CONCATENATE("csv!D",$J105))</f>
        <v>100</v>
      </c>
      <c r="D105" s="3" cm="1">
        <f t="array" aca="1" ref="D105" ca="1">INDIRECT(CONCATENATE("csv!C",$J105))</f>
        <v>500</v>
      </c>
      <c r="E105" s="2">
        <f ca="1">AVERAGE(INDIRECT(CONCATENATE("csv!H",$J105)):INDIRECT(CONCATENATE("csv!H",($J105)+4)))</f>
        <v>111.14000000000001</v>
      </c>
      <c r="F105" s="2">
        <f ca="1">STDEV(INDIRECT(CONCATENATE("csv!H",$J105)):INDIRECT(CONCATENATE("csv!H",($J105)+4)))</f>
        <v>1.8284626055787943</v>
      </c>
      <c r="G105" s="2">
        <f ca="1">MIN(INDIRECT(CONCATENATE("csv!H",$J105)):INDIRECT(CONCATENATE("csv!H",($J105)+4)))</f>
        <v>108.977</v>
      </c>
      <c r="H105" s="2">
        <f ca="1">MAX(INDIRECT(CONCATENATE("csv!H",$J105)):INDIRECT(CONCATENATE("csv!H",($J105)+4)))</f>
        <v>113.982</v>
      </c>
      <c r="I105" s="3">
        <f ca="1">SUM(INDIRECT(CONCATENATE("csv!J",$J105)):INDIRECT(CONCATENATE("csv!J",($J105)+4)))</f>
        <v>18696685</v>
      </c>
      <c r="J105">
        <f t="shared" si="3"/>
        <v>517</v>
      </c>
    </row>
    <row r="106" spans="1:10">
      <c r="A106" t="str" cm="1">
        <f t="array" aca="1" ref="A106" ca="1">INDIRECT(CONCATENATE("csv!A",$J106))</f>
        <v>SPVA_CERTMON</v>
      </c>
      <c r="B106" t="str" cm="1">
        <f t="array" aca="1" ref="B106" ca="1">INDIRECT(CONCATENATE("csv!E",$J106))</f>
        <v>loopback</v>
      </c>
      <c r="C106" s="3" cm="1">
        <f t="array" aca="1" ref="C106" ca="1">INDIRECT(CONCATENATE("csv!D",$J106))</f>
        <v>100</v>
      </c>
      <c r="D106" s="3" cm="1">
        <f t="array" aca="1" ref="D106" ca="1">INDIRECT(CONCATENATE("csv!C",$J106))</f>
        <v>1000</v>
      </c>
      <c r="E106" s="2">
        <f ca="1">AVERAGE(INDIRECT(CONCATENATE("csv!H",$J106)):INDIRECT(CONCATENATE("csv!H",($J106)+4)))</f>
        <v>54.729880000000001</v>
      </c>
      <c r="F106" s="2">
        <f ca="1">STDEV(INDIRECT(CONCATENATE("csv!H",$J106)):INDIRECT(CONCATENATE("csv!H",($J106)+4)))</f>
        <v>1.6338945917653296</v>
      </c>
      <c r="G106" s="2">
        <f ca="1">MIN(INDIRECT(CONCATENATE("csv!H",$J106)):INDIRECT(CONCATENATE("csv!H",($J106)+4)))</f>
        <v>52.617800000000003</v>
      </c>
      <c r="H106" s="2">
        <f ca="1">MAX(INDIRECT(CONCATENATE("csv!H",$J106)):INDIRECT(CONCATENATE("csv!H",($J106)+4)))</f>
        <v>56.465699999999998</v>
      </c>
      <c r="I106" s="3">
        <f ca="1">SUM(INDIRECT(CONCATENATE("csv!J",$J106)):INDIRECT(CONCATENATE("csv!J",($J106)+4)))</f>
        <v>18866538</v>
      </c>
      <c r="J106">
        <f t="shared" si="3"/>
        <v>522</v>
      </c>
    </row>
    <row r="107" spans="1:10">
      <c r="A107" t="str" cm="1">
        <f t="array" aca="1" ref="A107" ca="1">INDIRECT(CONCATENATE("csv!A",$J107))</f>
        <v>SPVA_CERTMON</v>
      </c>
      <c r="B107" t="str" cm="1">
        <f t="array" aca="1" ref="B107" ca="1">INDIRECT(CONCATENATE("csv!E",$J107))</f>
        <v>loopback</v>
      </c>
      <c r="C107" s="3" cm="1">
        <f t="array" aca="1" ref="C107" ca="1">INDIRECT(CONCATENATE("csv!D",$J107))</f>
        <v>1000</v>
      </c>
      <c r="D107" s="3" cm="1">
        <f t="array" aca="1" ref="D107" ca="1">INDIRECT(CONCATENATE("csv!C",$J107))</f>
        <v>1</v>
      </c>
      <c r="E107" s="2">
        <f ca="1">AVERAGE(INDIRECT(CONCATENATE("csv!H",$J107)):INDIRECT(CONCATENATE("csv!H",($J107)+4)))</f>
        <v>59068.800000000003</v>
      </c>
      <c r="F107" s="2">
        <f ca="1">STDEV(INDIRECT(CONCATENATE("csv!H",$J107)):INDIRECT(CONCATENATE("csv!H",($J107)+4)))</f>
        <v>1025.773837159049</v>
      </c>
      <c r="G107" s="2">
        <f ca="1">MIN(INDIRECT(CONCATENATE("csv!H",$J107)):INDIRECT(CONCATENATE("csv!H",($J107)+4)))</f>
        <v>57844.800000000003</v>
      </c>
      <c r="H107" s="2">
        <f ca="1">MAX(INDIRECT(CONCATENATE("csv!H",$J107)):INDIRECT(CONCATENATE("csv!H",($J107)+4)))</f>
        <v>60246.3</v>
      </c>
      <c r="I107" s="3">
        <f ca="1">SUM(INDIRECT(CONCATENATE("csv!J",$J107)):INDIRECT(CONCATENATE("csv!J",($J107)+4)))</f>
        <v>162720</v>
      </c>
      <c r="J107">
        <f t="shared" si="3"/>
        <v>527</v>
      </c>
    </row>
    <row r="108" spans="1:10">
      <c r="A108" t="str" cm="1">
        <f t="array" aca="1" ref="A108" ca="1">INDIRECT(CONCATENATE("csv!A",$J108))</f>
        <v>SPVA_CERTMON</v>
      </c>
      <c r="B108" t="str" cm="1">
        <f t="array" aca="1" ref="B108" ca="1">INDIRECT(CONCATENATE("csv!E",$J108))</f>
        <v>loopback</v>
      </c>
      <c r="C108" s="3" cm="1">
        <f t="array" aca="1" ref="C108" ca="1">INDIRECT(CONCATENATE("csv!D",$J108))</f>
        <v>1000</v>
      </c>
      <c r="D108" s="3" cm="1">
        <f t="array" aca="1" ref="D108" ca="1">INDIRECT(CONCATENATE("csv!C",$J108))</f>
        <v>10</v>
      </c>
      <c r="E108" s="2">
        <f ca="1">AVERAGE(INDIRECT(CONCATENATE("csv!H",$J108)):INDIRECT(CONCATENATE("csv!H",($J108)+4)))</f>
        <v>3973.19</v>
      </c>
      <c r="F108" s="2">
        <f ca="1">STDEV(INDIRECT(CONCATENATE("csv!H",$J108)):INDIRECT(CONCATENATE("csv!H",($J108)+4)))</f>
        <v>93.500032085555944</v>
      </c>
      <c r="G108" s="2">
        <f ca="1">MIN(INDIRECT(CONCATENATE("csv!H",$J108)):INDIRECT(CONCATENATE("csv!H",($J108)+4)))</f>
        <v>3887.82</v>
      </c>
      <c r="H108" s="2">
        <f ca="1">MAX(INDIRECT(CONCATENATE("csv!H",$J108)):INDIRECT(CONCATENATE("csv!H",($J108)+4)))</f>
        <v>4093.84</v>
      </c>
      <c r="I108" s="3">
        <f ca="1">SUM(INDIRECT(CONCATENATE("csv!J",$J108)):INDIRECT(CONCATENATE("csv!J",($J108)+4)))</f>
        <v>8750661</v>
      </c>
      <c r="J108">
        <f t="shared" si="3"/>
        <v>532</v>
      </c>
    </row>
    <row r="109" spans="1:10">
      <c r="A109" t="str" cm="1">
        <f t="array" aca="1" ref="A109" ca="1">INDIRECT(CONCATENATE("csv!A",$J109))</f>
        <v>SPVA_CERTMON</v>
      </c>
      <c r="B109" t="str" cm="1">
        <f t="array" aca="1" ref="B109" ca="1">INDIRECT(CONCATENATE("csv!E",$J109))</f>
        <v>loopback</v>
      </c>
      <c r="C109" s="3" cm="1">
        <f t="array" aca="1" ref="C109" ca="1">INDIRECT(CONCATENATE("csv!D",$J109))</f>
        <v>1000</v>
      </c>
      <c r="D109" s="3" cm="1">
        <f t="array" aca="1" ref="D109" ca="1">INDIRECT(CONCATENATE("csv!C",$J109))</f>
        <v>100</v>
      </c>
      <c r="E109" s="2">
        <f ca="1">AVERAGE(INDIRECT(CONCATENATE("csv!H",$J109)):INDIRECT(CONCATENATE("csv!H",($J109)+4)))</f>
        <v>432.30379999999997</v>
      </c>
      <c r="F109" s="2">
        <f ca="1">STDEV(INDIRECT(CONCATENATE("csv!H",$J109)):INDIRECT(CONCATENATE("csv!H",($J109)+4)))</f>
        <v>8.5140540108693123</v>
      </c>
      <c r="G109" s="2">
        <f ca="1">MIN(INDIRECT(CONCATENATE("csv!H",$J109)):INDIRECT(CONCATENATE("csv!H",($J109)+4)))</f>
        <v>417.71800000000002</v>
      </c>
      <c r="H109" s="2">
        <f ca="1">MAX(INDIRECT(CONCATENATE("csv!H",$J109)):INDIRECT(CONCATENATE("csv!H",($J109)+4)))</f>
        <v>438.65499999999997</v>
      </c>
      <c r="I109" s="3">
        <f ca="1">SUM(INDIRECT(CONCATENATE("csv!J",$J109)):INDIRECT(CONCATENATE("csv!J",($J109)+4)))</f>
        <v>16829998</v>
      </c>
      <c r="J109">
        <f t="shared" si="3"/>
        <v>537</v>
      </c>
    </row>
    <row r="110" spans="1:10">
      <c r="A110" t="str" cm="1">
        <f t="array" aca="1" ref="A110" ca="1">INDIRECT(CONCATENATE("csv!A",$J110))</f>
        <v>SPVA_CERTMON</v>
      </c>
      <c r="B110" t="str" cm="1">
        <f t="array" aca="1" ref="B110" ca="1">INDIRECT(CONCATENATE("csv!E",$J110))</f>
        <v>loopback</v>
      </c>
      <c r="C110" s="3" cm="1">
        <f t="array" aca="1" ref="C110" ca="1">INDIRECT(CONCATENATE("csv!D",$J110))</f>
        <v>1000</v>
      </c>
      <c r="D110" s="3" cm="1">
        <f t="array" aca="1" ref="D110" ca="1">INDIRECT(CONCATENATE("csv!C",$J110))</f>
        <v>500</v>
      </c>
      <c r="E110" s="2">
        <f ca="1">AVERAGE(INDIRECT(CONCATENATE("csv!H",$J110)):INDIRECT(CONCATENATE("csv!H",($J110)+4)))</f>
        <v>101.12231999999999</v>
      </c>
      <c r="F110" s="2">
        <f ca="1">STDEV(INDIRECT(CONCATENATE("csv!H",$J110)):INDIRECT(CONCATENATE("csv!H",($J110)+4)))</f>
        <v>4.0571515638437754</v>
      </c>
      <c r="G110" s="2">
        <f ca="1">MIN(INDIRECT(CONCATENATE("csv!H",$J110)):INDIRECT(CONCATENATE("csv!H",($J110)+4)))</f>
        <v>93.9846</v>
      </c>
      <c r="H110" s="2">
        <f ca="1">MAX(INDIRECT(CONCATENATE("csv!H",$J110)):INDIRECT(CONCATENATE("csv!H",($J110)+4)))</f>
        <v>103.44199999999999</v>
      </c>
      <c r="I110" s="3">
        <f ca="1">SUM(INDIRECT(CONCATENATE("csv!J",$J110)):INDIRECT(CONCATENATE("csv!J",($J110)+4)))</f>
        <v>18203513</v>
      </c>
      <c r="J110">
        <f t="shared" si="3"/>
        <v>542</v>
      </c>
    </row>
    <row r="111" spans="1:10">
      <c r="A111" t="str" cm="1">
        <f t="array" aca="1" ref="A111" ca="1">INDIRECT(CONCATENATE("csv!A",$J111))</f>
        <v>SPVA_CERTMON</v>
      </c>
      <c r="B111" t="str" cm="1">
        <f t="array" aca="1" ref="B111" ca="1">INDIRECT(CONCATENATE("csv!E",$J111))</f>
        <v>loopback</v>
      </c>
      <c r="C111" s="3" cm="1">
        <f t="array" aca="1" ref="C111" ca="1">INDIRECT(CONCATENATE("csv!D",$J111))</f>
        <v>1000</v>
      </c>
      <c r="D111" s="3" cm="1">
        <f t="array" aca="1" ref="D111" ca="1">INDIRECT(CONCATENATE("csv!C",$J111))</f>
        <v>1000</v>
      </c>
      <c r="E111" s="2">
        <f ca="1">AVERAGE(INDIRECT(CONCATENATE("csv!H",$J111)):INDIRECT(CONCATENATE("csv!H",($J111)+4)))</f>
        <v>54.274999999999999</v>
      </c>
      <c r="F111" s="2">
        <f ca="1">STDEV(INDIRECT(CONCATENATE("csv!H",$J111)):INDIRECT(CONCATENATE("csv!H",($J111)+4)))</f>
        <v>1.0446742482707227</v>
      </c>
      <c r="G111" s="2">
        <f ca="1">MIN(INDIRECT(CONCATENATE("csv!H",$J111)):INDIRECT(CONCATENATE("csv!H",($J111)+4)))</f>
        <v>52.6569</v>
      </c>
      <c r="H111" s="2">
        <f ca="1">MAX(INDIRECT(CONCATENATE("csv!H",$J111)):INDIRECT(CONCATENATE("csv!H",($J111)+4)))</f>
        <v>55.116599999999998</v>
      </c>
      <c r="I111" s="3">
        <f ca="1">SUM(INDIRECT(CONCATENATE("csv!J",$J111)):INDIRECT(CONCATENATE("csv!J",($J111)+4)))</f>
        <v>18558545</v>
      </c>
      <c r="J111">
        <f t="shared" si="3"/>
        <v>547</v>
      </c>
    </row>
    <row r="112" spans="1:10">
      <c r="A112" t="str" cm="1">
        <f t="array" aca="1" ref="A112" ca="1">INDIRECT(CONCATENATE("csv!A",$J112))</f>
        <v>SPVA_CERTMON</v>
      </c>
      <c r="B112" t="str" cm="1">
        <f t="array" aca="1" ref="B112" ca="1">INDIRECT(CONCATENATE("csv!E",$J112))</f>
        <v>loopback</v>
      </c>
      <c r="C112" s="3" cm="1">
        <f t="array" aca="1" ref="C112" ca="1">INDIRECT(CONCATENATE("csv!D",$J112))</f>
        <v>10000</v>
      </c>
      <c r="D112" s="3" cm="1">
        <f t="array" aca="1" ref="D112" ca="1">INDIRECT(CONCATENATE("csv!C",$J112))</f>
        <v>1</v>
      </c>
      <c r="E112" s="2">
        <f ca="1">AVERAGE(INDIRECT(CONCATENATE("csv!H",$J112)):INDIRECT(CONCATENATE("csv!H",($J112)+4)))</f>
        <v>26397.26</v>
      </c>
      <c r="F112" s="2">
        <f ca="1">STDEV(INDIRECT(CONCATENATE("csv!H",$J112)):INDIRECT(CONCATENATE("csv!H",($J112)+4)))</f>
        <v>382.34050661681135</v>
      </c>
      <c r="G112" s="2">
        <f ca="1">MIN(INDIRECT(CONCATENATE("csv!H",$J112)):INDIRECT(CONCATENATE("csv!H",($J112)+4)))</f>
        <v>25820.3</v>
      </c>
      <c r="H112" s="2">
        <f ca="1">MAX(INDIRECT(CONCATENATE("csv!H",$J112)):INDIRECT(CONCATENATE("csv!H",($J112)+4)))</f>
        <v>26725.8</v>
      </c>
      <c r="I112" s="3">
        <f ca="1">SUM(INDIRECT(CONCATENATE("csv!J",$J112)):INDIRECT(CONCATENATE("csv!J",($J112)+4)))</f>
        <v>758201</v>
      </c>
      <c r="J112">
        <f t="shared" si="3"/>
        <v>552</v>
      </c>
    </row>
    <row r="113" spans="1:10">
      <c r="A113" t="str" cm="1">
        <f t="array" aca="1" ref="A113" ca="1">INDIRECT(CONCATENATE("csv!A",$J113))</f>
        <v>SPVA_CERTMON</v>
      </c>
      <c r="B113" t="str" cm="1">
        <f t="array" aca="1" ref="B113" ca="1">INDIRECT(CONCATENATE("csv!E",$J113))</f>
        <v>loopback</v>
      </c>
      <c r="C113" s="3" cm="1">
        <f t="array" aca="1" ref="C113" ca="1">INDIRECT(CONCATENATE("csv!D",$J113))</f>
        <v>10000</v>
      </c>
      <c r="D113" s="3" cm="1">
        <f t="array" aca="1" ref="D113" ca="1">INDIRECT(CONCATENATE("csv!C",$J113))</f>
        <v>10</v>
      </c>
      <c r="E113" s="2">
        <f ca="1">AVERAGE(INDIRECT(CONCATENATE("csv!H",$J113)):INDIRECT(CONCATENATE("csv!H",($J113)+4)))</f>
        <v>2304.09</v>
      </c>
      <c r="F113" s="2">
        <f ca="1">STDEV(INDIRECT(CONCATENATE("csv!H",$J113)):INDIRECT(CONCATENATE("csv!H",($J113)+4)))</f>
        <v>55.292161288920532</v>
      </c>
      <c r="G113" s="2">
        <f ca="1">MIN(INDIRECT(CONCATENATE("csv!H",$J113)):INDIRECT(CONCATENATE("csv!H",($J113)+4)))</f>
        <v>2256.96</v>
      </c>
      <c r="H113" s="2">
        <f ca="1">MAX(INDIRECT(CONCATENATE("csv!H",$J113)):INDIRECT(CONCATENATE("csv!H",($J113)+4)))</f>
        <v>2390.88</v>
      </c>
      <c r="I113" s="3">
        <f ca="1">SUM(INDIRECT(CONCATENATE("csv!J",$J113)):INDIRECT(CONCATENATE("csv!J",($J113)+4)))</f>
        <v>7092108</v>
      </c>
      <c r="J113">
        <f t="shared" si="3"/>
        <v>557</v>
      </c>
    </row>
    <row r="114" spans="1:10">
      <c r="A114" t="str" cm="1">
        <f t="array" aca="1" ref="A114" ca="1">INDIRECT(CONCATENATE("csv!A",$J114))</f>
        <v>SPVA_CERTMON</v>
      </c>
      <c r="B114" t="str" cm="1">
        <f t="array" aca="1" ref="B114" ca="1">INDIRECT(CONCATENATE("csv!E",$J114))</f>
        <v>loopback</v>
      </c>
      <c r="C114" s="3" cm="1">
        <f t="array" aca="1" ref="C114" ca="1">INDIRECT(CONCATENATE("csv!D",$J114))</f>
        <v>10000</v>
      </c>
      <c r="D114" s="3" cm="1">
        <f t="array" aca="1" ref="D114" ca="1">INDIRECT(CONCATENATE("csv!C",$J114))</f>
        <v>100</v>
      </c>
      <c r="E114" s="2">
        <f ca="1">AVERAGE(INDIRECT(CONCATENATE("csv!H",$J114)):INDIRECT(CONCATENATE("csv!H",($J114)+4)))</f>
        <v>217.37880000000001</v>
      </c>
      <c r="F114" s="2">
        <f ca="1">STDEV(INDIRECT(CONCATENATE("csv!H",$J114)):INDIRECT(CONCATENATE("csv!H",($J114)+4)))</f>
        <v>6.3256009754014624</v>
      </c>
      <c r="G114" s="2">
        <f ca="1">MIN(INDIRECT(CONCATENATE("csv!H",$J114)):INDIRECT(CONCATENATE("csv!H",($J114)+4)))</f>
        <v>210.381</v>
      </c>
      <c r="H114" s="2">
        <f ca="1">MAX(INDIRECT(CONCATENATE("csv!H",$J114)):INDIRECT(CONCATENATE("csv!H",($J114)+4)))</f>
        <v>223.923</v>
      </c>
      <c r="I114" s="3">
        <f ca="1">SUM(INDIRECT(CONCATENATE("csv!J",$J114)):INDIRECT(CONCATENATE("csv!J",($J114)+4)))</f>
        <v>15793471</v>
      </c>
      <c r="J114">
        <f t="shared" si="3"/>
        <v>562</v>
      </c>
    </row>
    <row r="115" spans="1:10">
      <c r="A115" t="str" cm="1">
        <f t="array" aca="1" ref="A115" ca="1">INDIRECT(CONCATENATE("csv!A",$J115))</f>
        <v>SPVA_CERTMON</v>
      </c>
      <c r="B115" t="str" cm="1">
        <f t="array" aca="1" ref="B115" ca="1">INDIRECT(CONCATENATE("csv!E",$J115))</f>
        <v>loopback</v>
      </c>
      <c r="C115" s="3" cm="1">
        <f t="array" aca="1" ref="C115" ca="1">INDIRECT(CONCATENATE("csv!D",$J115))</f>
        <v>10000</v>
      </c>
      <c r="D115" s="3" cm="1">
        <f t="array" aca="1" ref="D115" ca="1">INDIRECT(CONCATENATE("csv!C",$J115))</f>
        <v>500</v>
      </c>
      <c r="E115" s="2">
        <f ca="1">AVERAGE(INDIRECT(CONCATENATE("csv!H",$J115)):INDIRECT(CONCATENATE("csv!H",($J115)+4)))</f>
        <v>46.408619999999999</v>
      </c>
      <c r="F115" s="2">
        <f ca="1">STDEV(INDIRECT(CONCATENATE("csv!H",$J115)):INDIRECT(CONCATENATE("csv!H",($J115)+4)))</f>
        <v>0.70601685319827834</v>
      </c>
      <c r="G115" s="2">
        <f ca="1">MIN(INDIRECT(CONCATENATE("csv!H",$J115)):INDIRECT(CONCATENATE("csv!H",($J115)+4)))</f>
        <v>45.661900000000003</v>
      </c>
      <c r="H115" s="2">
        <f ca="1">MAX(INDIRECT(CONCATENATE("csv!H",$J115)):INDIRECT(CONCATENATE("csv!H",($J115)+4)))</f>
        <v>47.092199999999998</v>
      </c>
      <c r="I115" s="3">
        <f ca="1">SUM(INDIRECT(CONCATENATE("csv!J",$J115)):INDIRECT(CONCATENATE("csv!J",($J115)+4)))</f>
        <v>18333694</v>
      </c>
      <c r="J115">
        <f t="shared" si="3"/>
        <v>567</v>
      </c>
    </row>
    <row r="116" spans="1:10">
      <c r="A116" t="str" cm="1">
        <f t="array" aca="1" ref="A116" ca="1">INDIRECT(CONCATENATE("csv!A",$J116))</f>
        <v>SPVA_CERTMON</v>
      </c>
      <c r="B116" t="str" cm="1">
        <f t="array" aca="1" ref="B116" ca="1">INDIRECT(CONCATENATE("csv!E",$J116))</f>
        <v>loopback</v>
      </c>
      <c r="C116" s="3" cm="1">
        <f t="array" aca="1" ref="C116" ca="1">INDIRECT(CONCATENATE("csv!D",$J116))</f>
        <v>10000</v>
      </c>
      <c r="D116" s="3" cm="1">
        <f t="array" aca="1" ref="D116" ca="1">INDIRECT(CONCATENATE("csv!C",$J116))</f>
        <v>1000</v>
      </c>
      <c r="E116" s="2">
        <f ca="1">AVERAGE(INDIRECT(CONCATENATE("csv!H",$J116)):INDIRECT(CONCATENATE("csv!H",($J116)+4)))</f>
        <v>23.893419999999999</v>
      </c>
      <c r="F116" s="2">
        <f ca="1">STDEV(INDIRECT(CONCATENATE("csv!H",$J116)):INDIRECT(CONCATENATE("csv!H",($J116)+4)))</f>
        <v>0.35251547767438546</v>
      </c>
      <c r="G116" s="2">
        <f ca="1">MIN(INDIRECT(CONCATENATE("csv!H",$J116)):INDIRECT(CONCATENATE("csv!H",($J116)+4)))</f>
        <v>23.279</v>
      </c>
      <c r="H116" s="2">
        <f ca="1">MAX(INDIRECT(CONCATENATE("csv!H",$J116)):INDIRECT(CONCATENATE("csv!H",($J116)+4)))</f>
        <v>24.1416</v>
      </c>
      <c r="I116" s="3">
        <f ca="1">SUM(INDIRECT(CONCATENATE("csv!J",$J116)):INDIRECT(CONCATENATE("csv!J",($J116)+4)))</f>
        <v>18139164</v>
      </c>
      <c r="J116">
        <f t="shared" si="3"/>
        <v>572</v>
      </c>
    </row>
    <row r="117" spans="1:10">
      <c r="A117" t="str" cm="1">
        <f t="array" aca="1" ref="A117" ca="1">INDIRECT(CONCATENATE("csv!A",$J117))</f>
        <v>SPVA_CERTMON</v>
      </c>
      <c r="B117" t="str" cm="1">
        <f t="array" aca="1" ref="B117" ca="1">INDIRECT(CONCATENATE("csv!E",$J117))</f>
        <v>loopback</v>
      </c>
      <c r="C117" s="3" cm="1">
        <f t="array" aca="1" ref="C117" ca="1">INDIRECT(CONCATENATE("csv!D",$J117))</f>
        <v>100000</v>
      </c>
      <c r="D117" s="3" cm="1">
        <f t="array" aca="1" ref="D117" ca="1">INDIRECT(CONCATENATE("csv!C",$J117))</f>
        <v>1</v>
      </c>
      <c r="E117" s="2">
        <f ca="1">AVERAGE(INDIRECT(CONCATENATE("csv!H",$J117)):INDIRECT(CONCATENATE("csv!H",($J117)+4)))</f>
        <v>4197.098</v>
      </c>
      <c r="F117" s="2">
        <f ca="1">STDEV(INDIRECT(CONCATENATE("csv!H",$J117)):INDIRECT(CONCATENATE("csv!H",($J117)+4)))</f>
        <v>189.27337073661468</v>
      </c>
      <c r="G117" s="2">
        <f ca="1">MIN(INDIRECT(CONCATENATE("csv!H",$J117)):INDIRECT(CONCATENATE("csv!H",($J117)+4)))</f>
        <v>3875.29</v>
      </c>
      <c r="H117" s="2">
        <f ca="1">MAX(INDIRECT(CONCATENATE("csv!H",$J117)):INDIRECT(CONCATENATE("csv!H",($J117)+4)))</f>
        <v>4357.8</v>
      </c>
      <c r="I117" s="3">
        <f ca="1">SUM(INDIRECT(CONCATENATE("csv!J",$J117)):INDIRECT(CONCATENATE("csv!J",($J117)+4)))</f>
        <v>1324494</v>
      </c>
      <c r="J117">
        <f t="shared" si="3"/>
        <v>577</v>
      </c>
    </row>
    <row r="118" spans="1:10">
      <c r="A118" t="str" cm="1">
        <f t="array" aca="1" ref="A118" ca="1">INDIRECT(CONCATENATE("csv!A",$J118))</f>
        <v>SPVA_CERTMON</v>
      </c>
      <c r="B118" t="str" cm="1">
        <f t="array" aca="1" ref="B118" ca="1">INDIRECT(CONCATENATE("csv!E",$J118))</f>
        <v>loopback</v>
      </c>
      <c r="C118" s="3" cm="1">
        <f t="array" aca="1" ref="C118" ca="1">INDIRECT(CONCATENATE("csv!D",$J118))</f>
        <v>100000</v>
      </c>
      <c r="D118" s="3" cm="1">
        <f t="array" aca="1" ref="D118" ca="1">INDIRECT(CONCATENATE("csv!C",$J118))</f>
        <v>10</v>
      </c>
      <c r="E118" s="2">
        <f ca="1">AVERAGE(INDIRECT(CONCATENATE("csv!H",$J118)):INDIRECT(CONCATENATE("csv!H",($J118)+4)))</f>
        <v>401.05540000000008</v>
      </c>
      <c r="F118" s="2">
        <f ca="1">STDEV(INDIRECT(CONCATENATE("csv!H",$J118)):INDIRECT(CONCATENATE("csv!H",($J118)+4)))</f>
        <v>6.4458237099691065</v>
      </c>
      <c r="G118" s="2">
        <f ca="1">MIN(INDIRECT(CONCATENATE("csv!H",$J118)):INDIRECT(CONCATENATE("csv!H",($J118)+4)))</f>
        <v>396.81200000000001</v>
      </c>
      <c r="H118" s="2">
        <f ca="1">MAX(INDIRECT(CONCATENATE("csv!H",$J118)):INDIRECT(CONCATENATE("csv!H",($J118)+4)))</f>
        <v>412.46699999999998</v>
      </c>
      <c r="I118" s="3">
        <f ca="1">SUM(INDIRECT(CONCATENATE("csv!J",$J118)):INDIRECT(CONCATENATE("csv!J",($J118)+4)))</f>
        <v>6792520</v>
      </c>
      <c r="J118">
        <f t="shared" si="3"/>
        <v>582</v>
      </c>
    </row>
    <row r="119" spans="1:10">
      <c r="A119" t="str" cm="1">
        <f t="array" aca="1" ref="A119" ca="1">INDIRECT(CONCATENATE("csv!A",$J119))</f>
        <v>SPVA_CERTMON</v>
      </c>
      <c r="B119" t="str" cm="1">
        <f t="array" aca="1" ref="B119" ca="1">INDIRECT(CONCATENATE("csv!E",$J119))</f>
        <v>loopback</v>
      </c>
      <c r="C119" s="3" cm="1">
        <f t="array" aca="1" ref="C119" ca="1">INDIRECT(CONCATENATE("csv!D",$J119))</f>
        <v>100000</v>
      </c>
      <c r="D119" s="3" cm="1">
        <f t="array" aca="1" ref="D119" ca="1">INDIRECT(CONCATENATE("csv!C",$J119))</f>
        <v>100</v>
      </c>
      <c r="E119" s="2">
        <f ca="1">AVERAGE(INDIRECT(CONCATENATE("csv!H",$J119)):INDIRECT(CONCATENATE("csv!H",($J119)+4)))</f>
        <v>39.965000000000003</v>
      </c>
      <c r="F119" s="2">
        <f ca="1">STDEV(INDIRECT(CONCATENATE("csv!H",$J119)):INDIRECT(CONCATENATE("csv!H",($J119)+4)))</f>
        <v>0.21607065973889084</v>
      </c>
      <c r="G119" s="2">
        <f ca="1">MIN(INDIRECT(CONCATENATE("csv!H",$J119)):INDIRECT(CONCATENATE("csv!H",($J119)+4)))</f>
        <v>39.625900000000001</v>
      </c>
      <c r="H119" s="2">
        <f ca="1">MAX(INDIRECT(CONCATENATE("csv!H",$J119)):INDIRECT(CONCATENATE("csv!H",($J119)+4)))</f>
        <v>40.159399999999998</v>
      </c>
      <c r="I119" s="3">
        <f ca="1">SUM(INDIRECT(CONCATENATE("csv!J",$J119)):INDIRECT(CONCATENATE("csv!J",($J119)+4)))</f>
        <v>15292329</v>
      </c>
      <c r="J119">
        <f t="shared" ref="J119:J121" si="4">J118+5</f>
        <v>587</v>
      </c>
    </row>
    <row r="120" spans="1:10">
      <c r="A120" t="str" cm="1">
        <f t="array" aca="1" ref="A120" ca="1">INDIRECT(CONCATENATE("csv!A",$J120))</f>
        <v>SPVA_CERTMON</v>
      </c>
      <c r="B120" t="str" cm="1">
        <f t="array" aca="1" ref="B120" ca="1">INDIRECT(CONCATENATE("csv!E",$J120))</f>
        <v>loopback</v>
      </c>
      <c r="C120" s="3" cm="1">
        <f t="array" aca="1" ref="C120" ca="1">INDIRECT(CONCATENATE("csv!D",$J120))</f>
        <v>100000</v>
      </c>
      <c r="D120" s="3" cm="1">
        <f t="array" aca="1" ref="D120" ca="1">INDIRECT(CONCATENATE("csv!C",$J120))</f>
        <v>500</v>
      </c>
      <c r="E120" s="2">
        <f ca="1">AVERAGE(INDIRECT(CONCATENATE("csv!H",$J120)):INDIRECT(CONCATENATE("csv!H",($J120)+4)))</f>
        <v>7.474105999999999</v>
      </c>
      <c r="F120" s="2">
        <f ca="1">STDEV(INDIRECT(CONCATENATE("csv!H",$J120)):INDIRECT(CONCATENATE("csv!H",($J120)+4)))</f>
        <v>8.852191271092133E-2</v>
      </c>
      <c r="G120" s="2">
        <f ca="1">MIN(INDIRECT(CONCATENATE("csv!H",$J120)):INDIRECT(CONCATENATE("csv!H",($J120)+4)))</f>
        <v>7.37582</v>
      </c>
      <c r="H120" s="2">
        <f ca="1">MAX(INDIRECT(CONCATENATE("csv!H",$J120)):INDIRECT(CONCATENATE("csv!H",($J120)+4)))</f>
        <v>7.5709099999999996</v>
      </c>
      <c r="I120" s="3">
        <f ca="1">SUM(INDIRECT(CONCATENATE("csv!J",$J120)):INDIRECT(CONCATENATE("csv!J",($J120)+4)))</f>
        <v>18313014</v>
      </c>
      <c r="J120">
        <f t="shared" si="4"/>
        <v>592</v>
      </c>
    </row>
    <row r="121" spans="1:10">
      <c r="A121" t="str" cm="1">
        <f t="array" aca="1" ref="A121" ca="1">INDIRECT(CONCATENATE("csv!A",$J121))</f>
        <v>SPVA_CERTMON</v>
      </c>
      <c r="B121" t="str" cm="1">
        <f t="array" aca="1" ref="B121" ca="1">INDIRECT(CONCATENATE("csv!E",$J121))</f>
        <v>loopback</v>
      </c>
      <c r="C121" s="3" cm="1">
        <f t="array" aca="1" ref="C121" ca="1">INDIRECT(CONCATENATE("csv!D",$J121))</f>
        <v>100000</v>
      </c>
      <c r="D121" s="3" cm="1">
        <f t="array" aca="1" ref="D121" ca="1">INDIRECT(CONCATENATE("csv!C",$J121))</f>
        <v>1000</v>
      </c>
      <c r="E121" s="2">
        <f ca="1">AVERAGE(INDIRECT(CONCATENATE("csv!H",$J121)):INDIRECT(CONCATENATE("csv!H",($J121)+4)))</f>
        <v>3.7920499999999997</v>
      </c>
      <c r="F121" s="2">
        <f ca="1">STDEV(INDIRECT(CONCATENATE("csv!H",$J121)):INDIRECT(CONCATENATE("csv!H",($J121)+4)))</f>
        <v>1.8066322259940031E-2</v>
      </c>
      <c r="G121" s="2">
        <f ca="1">MIN(INDIRECT(CONCATENATE("csv!H",$J121)):INDIRECT(CONCATENATE("csv!H",($J121)+4)))</f>
        <v>3.7684799999999998</v>
      </c>
      <c r="H121" s="2">
        <f ca="1">MAX(INDIRECT(CONCATENATE("csv!H",$J121)):INDIRECT(CONCATENATE("csv!H",($J121)+4)))</f>
        <v>3.8184200000000001</v>
      </c>
      <c r="I121" s="3">
        <f ca="1">SUM(INDIRECT(CONCATENATE("csv!J",$J121)):INDIRECT(CONCATENATE("csv!J",($J121)+4)))</f>
        <v>18254482</v>
      </c>
      <c r="J121">
        <f t="shared" si="4"/>
        <v>597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B3D0-15AD-EE4A-A72E-4B8855E3A394}">
  <dimension ref="A1:O601"/>
  <sheetViews>
    <sheetView workbookViewId="0">
      <pane ySplit="1" topLeftCell="A2" activePane="bottomLeft" state="frozen"/>
      <selection pane="bottomLeft" activeCell="O7" sqref="O7"/>
    </sheetView>
  </sheetViews>
  <sheetFormatPr baseColWidth="10" defaultRowHeight="16"/>
  <cols>
    <col min="14" max="14" width="6.6640625" customWidth="1"/>
    <col min="15" max="15" width="25.83203125" customWidth="1"/>
  </cols>
  <sheetData>
    <row r="1" spans="1:15" ht="21" thickBot="1">
      <c r="A1" t="s">
        <v>0</v>
      </c>
      <c r="B1" t="s">
        <v>23</v>
      </c>
      <c r="C1" t="s">
        <v>24</v>
      </c>
      <c r="D1" t="s">
        <v>1</v>
      </c>
      <c r="E1" t="s">
        <v>71</v>
      </c>
      <c r="F1" t="s">
        <v>72</v>
      </c>
      <c r="G1" t="s">
        <v>2</v>
      </c>
      <c r="H1" t="s">
        <v>26</v>
      </c>
      <c r="I1" t="s">
        <v>3</v>
      </c>
      <c r="J1" t="s">
        <v>4</v>
      </c>
      <c r="K1" t="s">
        <v>5</v>
      </c>
      <c r="L1" t="s">
        <v>6</v>
      </c>
      <c r="M1" t="s">
        <v>78</v>
      </c>
      <c r="N1" s="28" t="s">
        <v>76</v>
      </c>
      <c r="O1" s="7" t="s">
        <v>77</v>
      </c>
    </row>
    <row r="2" spans="1:15" ht="17" thickTop="1">
      <c r="A2" t="s">
        <v>7</v>
      </c>
      <c r="B2" t="s">
        <v>25</v>
      </c>
      <c r="C2">
        <v>1</v>
      </c>
      <c r="D2">
        <v>1</v>
      </c>
      <c r="E2" t="s">
        <v>73</v>
      </c>
      <c r="F2">
        <v>1</v>
      </c>
      <c r="G2">
        <v>32589.9</v>
      </c>
      <c r="H2">
        <v>32589.9</v>
      </c>
      <c r="I2">
        <v>163088</v>
      </c>
      <c r="J2">
        <v>12677315</v>
      </c>
      <c r="K2">
        <v>0</v>
      </c>
      <c r="L2">
        <v>5.0042499999999999</v>
      </c>
      <c r="M2">
        <v>0</v>
      </c>
    </row>
    <row r="3" spans="1:15">
      <c r="A3" t="s">
        <v>7</v>
      </c>
      <c r="B3" t="s">
        <v>25</v>
      </c>
      <c r="C3">
        <v>1</v>
      </c>
      <c r="D3">
        <v>1</v>
      </c>
      <c r="E3" t="s">
        <v>73</v>
      </c>
      <c r="F3">
        <v>2</v>
      </c>
      <c r="G3">
        <v>42766.400000000001</v>
      </c>
      <c r="H3">
        <v>42766.400000000001</v>
      </c>
      <c r="I3">
        <v>214046</v>
      </c>
      <c r="J3">
        <v>12063966</v>
      </c>
      <c r="K3">
        <v>0</v>
      </c>
      <c r="L3">
        <v>5.0049999999999999</v>
      </c>
      <c r="M3">
        <v>0</v>
      </c>
    </row>
    <row r="4" spans="1:15">
      <c r="A4" t="s">
        <v>7</v>
      </c>
      <c r="B4" t="s">
        <v>25</v>
      </c>
      <c r="C4">
        <v>1</v>
      </c>
      <c r="D4">
        <v>1</v>
      </c>
      <c r="E4" t="s">
        <v>73</v>
      </c>
      <c r="F4">
        <v>3</v>
      </c>
      <c r="G4">
        <v>37786.6</v>
      </c>
      <c r="H4">
        <v>37786.6</v>
      </c>
      <c r="I4">
        <v>189102</v>
      </c>
      <c r="J4">
        <v>11578923</v>
      </c>
      <c r="K4">
        <v>0</v>
      </c>
      <c r="L4">
        <v>5.00448</v>
      </c>
      <c r="M4">
        <v>0</v>
      </c>
    </row>
    <row r="5" spans="1:15">
      <c r="A5" t="s">
        <v>7</v>
      </c>
      <c r="B5" t="s">
        <v>25</v>
      </c>
      <c r="C5">
        <v>1</v>
      </c>
      <c r="D5">
        <v>1</v>
      </c>
      <c r="E5" t="s">
        <v>73</v>
      </c>
      <c r="F5">
        <v>4</v>
      </c>
      <c r="G5">
        <v>42231.6</v>
      </c>
      <c r="H5">
        <v>42231.6</v>
      </c>
      <c r="I5">
        <v>211171</v>
      </c>
      <c r="J5">
        <v>11611192</v>
      </c>
      <c r="K5">
        <v>0</v>
      </c>
      <c r="L5">
        <v>5.0003000000000002</v>
      </c>
      <c r="M5">
        <v>0</v>
      </c>
    </row>
    <row r="6" spans="1:15">
      <c r="A6" t="s">
        <v>7</v>
      </c>
      <c r="B6" t="s">
        <v>25</v>
      </c>
      <c r="C6">
        <v>1</v>
      </c>
      <c r="D6">
        <v>1</v>
      </c>
      <c r="E6" t="s">
        <v>73</v>
      </c>
      <c r="F6">
        <v>5</v>
      </c>
      <c r="G6">
        <v>31468.6</v>
      </c>
      <c r="H6">
        <v>31468.6</v>
      </c>
      <c r="I6">
        <v>157626</v>
      </c>
      <c r="J6">
        <v>11710756</v>
      </c>
      <c r="K6">
        <v>0</v>
      </c>
      <c r="L6">
        <v>5.0089899999999998</v>
      </c>
      <c r="M6">
        <v>0</v>
      </c>
    </row>
    <row r="7" spans="1:15">
      <c r="A7" t="s">
        <v>7</v>
      </c>
      <c r="B7" t="s">
        <v>25</v>
      </c>
      <c r="C7">
        <v>10</v>
      </c>
      <c r="D7">
        <v>1</v>
      </c>
      <c r="E7" t="s">
        <v>73</v>
      </c>
      <c r="F7">
        <v>1</v>
      </c>
      <c r="G7">
        <v>108742</v>
      </c>
      <c r="H7">
        <v>10874.2</v>
      </c>
      <c r="I7">
        <v>544256</v>
      </c>
      <c r="J7">
        <v>39206994</v>
      </c>
      <c r="K7">
        <v>0</v>
      </c>
      <c r="L7">
        <v>5.0050100000000004</v>
      </c>
      <c r="M7">
        <v>0</v>
      </c>
    </row>
    <row r="8" spans="1:15">
      <c r="A8" t="s">
        <v>7</v>
      </c>
      <c r="B8" t="s">
        <v>25</v>
      </c>
      <c r="C8">
        <v>10</v>
      </c>
      <c r="D8">
        <v>1</v>
      </c>
      <c r="E8" t="s">
        <v>73</v>
      </c>
      <c r="F8">
        <v>2</v>
      </c>
      <c r="G8">
        <v>92492.1</v>
      </c>
      <c r="H8">
        <v>9249.2099999999991</v>
      </c>
      <c r="I8">
        <v>462470</v>
      </c>
      <c r="J8">
        <v>39230940</v>
      </c>
      <c r="K8">
        <v>0</v>
      </c>
      <c r="L8">
        <v>5.0000999999999998</v>
      </c>
      <c r="M8">
        <v>0</v>
      </c>
    </row>
    <row r="9" spans="1:15">
      <c r="A9" t="s">
        <v>7</v>
      </c>
      <c r="B9" t="s">
        <v>25</v>
      </c>
      <c r="C9">
        <v>10</v>
      </c>
      <c r="D9">
        <v>1</v>
      </c>
      <c r="E9" t="s">
        <v>73</v>
      </c>
      <c r="F9">
        <v>3</v>
      </c>
      <c r="G9">
        <v>115673</v>
      </c>
      <c r="H9">
        <v>11567.3</v>
      </c>
      <c r="I9">
        <v>578706</v>
      </c>
      <c r="J9">
        <v>39179211</v>
      </c>
      <c r="K9">
        <v>0</v>
      </c>
      <c r="L9">
        <v>5.0029599999999999</v>
      </c>
      <c r="M9">
        <v>0</v>
      </c>
    </row>
    <row r="10" spans="1:15">
      <c r="A10" t="s">
        <v>7</v>
      </c>
      <c r="B10" t="s">
        <v>25</v>
      </c>
      <c r="C10">
        <v>10</v>
      </c>
      <c r="D10">
        <v>1</v>
      </c>
      <c r="E10" t="s">
        <v>73</v>
      </c>
      <c r="F10">
        <v>4</v>
      </c>
      <c r="G10">
        <v>116828</v>
      </c>
      <c r="H10">
        <v>11682.8</v>
      </c>
      <c r="I10">
        <v>584624</v>
      </c>
      <c r="J10">
        <v>38744356</v>
      </c>
      <c r="K10">
        <v>0</v>
      </c>
      <c r="L10">
        <v>5.0041399999999996</v>
      </c>
      <c r="M10">
        <v>0</v>
      </c>
    </row>
    <row r="11" spans="1:15">
      <c r="A11" t="s">
        <v>7</v>
      </c>
      <c r="B11" t="s">
        <v>25</v>
      </c>
      <c r="C11">
        <v>10</v>
      </c>
      <c r="D11">
        <v>1</v>
      </c>
      <c r="E11" t="s">
        <v>73</v>
      </c>
      <c r="F11">
        <v>5</v>
      </c>
      <c r="G11">
        <v>115526</v>
      </c>
      <c r="H11">
        <v>11552.6</v>
      </c>
      <c r="I11">
        <v>577707</v>
      </c>
      <c r="J11">
        <v>39361873</v>
      </c>
      <c r="K11">
        <v>0</v>
      </c>
      <c r="L11">
        <v>5.0006700000000004</v>
      </c>
      <c r="M11">
        <v>0</v>
      </c>
    </row>
    <row r="12" spans="1:15">
      <c r="A12" t="s">
        <v>7</v>
      </c>
      <c r="B12" t="s">
        <v>25</v>
      </c>
      <c r="C12">
        <v>100</v>
      </c>
      <c r="D12">
        <v>1</v>
      </c>
      <c r="E12" t="s">
        <v>73</v>
      </c>
      <c r="F12">
        <v>1</v>
      </c>
      <c r="G12">
        <v>21556.3</v>
      </c>
      <c r="H12">
        <v>215.56299999999999</v>
      </c>
      <c r="I12">
        <v>107852</v>
      </c>
      <c r="J12">
        <v>72328914</v>
      </c>
      <c r="K12">
        <v>0</v>
      </c>
      <c r="L12">
        <v>5.0032800000000002</v>
      </c>
      <c r="M12">
        <v>0</v>
      </c>
    </row>
    <row r="13" spans="1:15">
      <c r="A13" t="s">
        <v>7</v>
      </c>
      <c r="B13" t="s">
        <v>25</v>
      </c>
      <c r="C13">
        <v>100</v>
      </c>
      <c r="D13">
        <v>1</v>
      </c>
      <c r="E13" t="s">
        <v>73</v>
      </c>
      <c r="F13">
        <v>2</v>
      </c>
      <c r="G13">
        <v>22519.7</v>
      </c>
      <c r="H13">
        <v>225.197</v>
      </c>
      <c r="I13">
        <v>112712</v>
      </c>
      <c r="J13">
        <v>72340588</v>
      </c>
      <c r="K13">
        <v>0</v>
      </c>
      <c r="L13">
        <v>5.0050299999999996</v>
      </c>
      <c r="M13">
        <v>0</v>
      </c>
    </row>
    <row r="14" spans="1:15">
      <c r="A14" t="s">
        <v>7</v>
      </c>
      <c r="B14" t="s">
        <v>25</v>
      </c>
      <c r="C14">
        <v>100</v>
      </c>
      <c r="D14">
        <v>1</v>
      </c>
      <c r="E14" t="s">
        <v>73</v>
      </c>
      <c r="F14">
        <v>3</v>
      </c>
      <c r="G14">
        <v>24195.599999999999</v>
      </c>
      <c r="H14">
        <v>241.95599999999999</v>
      </c>
      <c r="I14">
        <v>121058</v>
      </c>
      <c r="J14">
        <v>72371175</v>
      </c>
      <c r="K14">
        <v>0</v>
      </c>
      <c r="L14">
        <v>5.0033000000000003</v>
      </c>
      <c r="M14">
        <v>0</v>
      </c>
    </row>
    <row r="15" spans="1:15">
      <c r="A15" t="s">
        <v>7</v>
      </c>
      <c r="B15" t="s">
        <v>25</v>
      </c>
      <c r="C15">
        <v>100</v>
      </c>
      <c r="D15">
        <v>1</v>
      </c>
      <c r="E15" t="s">
        <v>73</v>
      </c>
      <c r="F15">
        <v>4</v>
      </c>
      <c r="G15">
        <v>20102</v>
      </c>
      <c r="H15">
        <v>201.02</v>
      </c>
      <c r="I15">
        <v>100536</v>
      </c>
      <c r="J15">
        <v>73215364</v>
      </c>
      <c r="K15">
        <v>0</v>
      </c>
      <c r="L15">
        <v>5.0012999999999996</v>
      </c>
      <c r="M15">
        <v>0</v>
      </c>
    </row>
    <row r="16" spans="1:15">
      <c r="A16" t="s">
        <v>7</v>
      </c>
      <c r="B16" t="s">
        <v>25</v>
      </c>
      <c r="C16">
        <v>100</v>
      </c>
      <c r="D16">
        <v>1</v>
      </c>
      <c r="E16" t="s">
        <v>73</v>
      </c>
      <c r="F16">
        <v>5</v>
      </c>
      <c r="G16">
        <v>20471.2</v>
      </c>
      <c r="H16">
        <v>204.71199999999999</v>
      </c>
      <c r="I16">
        <v>102459</v>
      </c>
      <c r="J16">
        <v>73090746</v>
      </c>
      <c r="K16">
        <v>0</v>
      </c>
      <c r="L16">
        <v>5.00502</v>
      </c>
      <c r="M16">
        <v>0</v>
      </c>
    </row>
    <row r="17" spans="1:13">
      <c r="A17" t="s">
        <v>7</v>
      </c>
      <c r="B17" t="s">
        <v>25</v>
      </c>
      <c r="C17">
        <v>500</v>
      </c>
      <c r="D17">
        <v>1</v>
      </c>
      <c r="E17" t="s">
        <v>73</v>
      </c>
      <c r="F17">
        <v>1</v>
      </c>
      <c r="G17">
        <v>66455.600000000006</v>
      </c>
      <c r="H17">
        <v>132.911</v>
      </c>
      <c r="I17">
        <v>332532</v>
      </c>
      <c r="J17">
        <v>78392874</v>
      </c>
      <c r="K17">
        <v>0</v>
      </c>
      <c r="L17">
        <v>5.0038200000000002</v>
      </c>
      <c r="M17">
        <v>0</v>
      </c>
    </row>
    <row r="18" spans="1:13">
      <c r="A18" t="s">
        <v>7</v>
      </c>
      <c r="B18" t="s">
        <v>25</v>
      </c>
      <c r="C18">
        <v>500</v>
      </c>
      <c r="D18">
        <v>1</v>
      </c>
      <c r="E18" t="s">
        <v>73</v>
      </c>
      <c r="F18">
        <v>2</v>
      </c>
      <c r="G18">
        <v>66193.100000000006</v>
      </c>
      <c r="H18">
        <v>132.386</v>
      </c>
      <c r="I18">
        <v>331283</v>
      </c>
      <c r="J18">
        <v>79067229</v>
      </c>
      <c r="K18">
        <v>0</v>
      </c>
      <c r="L18">
        <v>5.0047899999999998</v>
      </c>
      <c r="M18">
        <v>0</v>
      </c>
    </row>
    <row r="19" spans="1:13">
      <c r="A19" t="s">
        <v>7</v>
      </c>
      <c r="B19" t="s">
        <v>25</v>
      </c>
      <c r="C19">
        <v>500</v>
      </c>
      <c r="D19">
        <v>1</v>
      </c>
      <c r="E19" t="s">
        <v>73</v>
      </c>
      <c r="F19">
        <v>3</v>
      </c>
      <c r="G19">
        <v>65845.100000000006</v>
      </c>
      <c r="H19">
        <v>131.69</v>
      </c>
      <c r="I19">
        <v>329556</v>
      </c>
      <c r="J19">
        <v>77755483</v>
      </c>
      <c r="K19">
        <v>0</v>
      </c>
      <c r="L19">
        <v>5.00502</v>
      </c>
      <c r="M19">
        <v>0</v>
      </c>
    </row>
    <row r="20" spans="1:13">
      <c r="A20" t="s">
        <v>7</v>
      </c>
      <c r="B20" t="s">
        <v>25</v>
      </c>
      <c r="C20">
        <v>500</v>
      </c>
      <c r="D20">
        <v>1</v>
      </c>
      <c r="E20" t="s">
        <v>73</v>
      </c>
      <c r="F20">
        <v>4</v>
      </c>
      <c r="G20">
        <v>62432.4</v>
      </c>
      <c r="H20">
        <v>124.86499999999999</v>
      </c>
      <c r="I20">
        <v>312441</v>
      </c>
      <c r="J20">
        <v>73932518</v>
      </c>
      <c r="K20">
        <v>0</v>
      </c>
      <c r="L20">
        <v>5.0044700000000004</v>
      </c>
      <c r="M20">
        <v>0</v>
      </c>
    </row>
    <row r="21" spans="1:13">
      <c r="A21" t="s">
        <v>7</v>
      </c>
      <c r="B21" t="s">
        <v>25</v>
      </c>
      <c r="C21">
        <v>500</v>
      </c>
      <c r="D21">
        <v>1</v>
      </c>
      <c r="E21" t="s">
        <v>73</v>
      </c>
      <c r="F21">
        <v>5</v>
      </c>
      <c r="G21">
        <v>65515.9</v>
      </c>
      <c r="H21">
        <v>131.03200000000001</v>
      </c>
      <c r="I21">
        <v>327744</v>
      </c>
      <c r="J21">
        <v>78137733</v>
      </c>
      <c r="K21">
        <v>0</v>
      </c>
      <c r="L21">
        <v>5.00251</v>
      </c>
      <c r="M21">
        <v>0</v>
      </c>
    </row>
    <row r="22" spans="1:13">
      <c r="A22" t="s">
        <v>7</v>
      </c>
      <c r="B22" t="s">
        <v>25</v>
      </c>
      <c r="C22">
        <v>1000</v>
      </c>
      <c r="D22">
        <v>1</v>
      </c>
      <c r="E22" t="s">
        <v>73</v>
      </c>
      <c r="F22">
        <v>1</v>
      </c>
      <c r="G22">
        <v>61250.2</v>
      </c>
      <c r="H22">
        <v>61.2502</v>
      </c>
      <c r="I22">
        <v>306376</v>
      </c>
      <c r="J22">
        <v>80600768</v>
      </c>
      <c r="K22">
        <v>0</v>
      </c>
      <c r="L22">
        <v>5.00204</v>
      </c>
      <c r="M22">
        <v>0</v>
      </c>
    </row>
    <row r="23" spans="1:13">
      <c r="A23" t="s">
        <v>7</v>
      </c>
      <c r="B23" t="s">
        <v>25</v>
      </c>
      <c r="C23">
        <v>1000</v>
      </c>
      <c r="D23">
        <v>1</v>
      </c>
      <c r="E23" t="s">
        <v>73</v>
      </c>
      <c r="F23">
        <v>2</v>
      </c>
      <c r="G23">
        <v>57848.5</v>
      </c>
      <c r="H23">
        <v>57.848500000000001</v>
      </c>
      <c r="I23">
        <v>289347</v>
      </c>
      <c r="J23">
        <v>77329118</v>
      </c>
      <c r="K23">
        <v>0</v>
      </c>
      <c r="L23">
        <v>5.0018000000000002</v>
      </c>
      <c r="M23">
        <v>0</v>
      </c>
    </row>
    <row r="24" spans="1:13">
      <c r="A24" t="s">
        <v>7</v>
      </c>
      <c r="B24" t="s">
        <v>25</v>
      </c>
      <c r="C24">
        <v>1000</v>
      </c>
      <c r="D24">
        <v>1</v>
      </c>
      <c r="E24" t="s">
        <v>73</v>
      </c>
      <c r="F24">
        <v>3</v>
      </c>
      <c r="G24">
        <v>56388.7</v>
      </c>
      <c r="H24">
        <v>56.3887</v>
      </c>
      <c r="I24">
        <v>282137</v>
      </c>
      <c r="J24">
        <v>78829253</v>
      </c>
      <c r="K24">
        <v>0</v>
      </c>
      <c r="L24">
        <v>5.0034299999999998</v>
      </c>
      <c r="M24">
        <v>0</v>
      </c>
    </row>
    <row r="25" spans="1:13">
      <c r="A25" t="s">
        <v>7</v>
      </c>
      <c r="B25" t="s">
        <v>25</v>
      </c>
      <c r="C25">
        <v>1000</v>
      </c>
      <c r="D25">
        <v>1</v>
      </c>
      <c r="E25" t="s">
        <v>73</v>
      </c>
      <c r="F25">
        <v>4</v>
      </c>
      <c r="G25">
        <v>55500.2</v>
      </c>
      <c r="H25">
        <v>55.5002</v>
      </c>
      <c r="I25">
        <v>277722</v>
      </c>
      <c r="J25">
        <v>77819584</v>
      </c>
      <c r="K25">
        <v>0</v>
      </c>
      <c r="L25">
        <v>5.0039800000000003</v>
      </c>
      <c r="M25">
        <v>0</v>
      </c>
    </row>
    <row r="26" spans="1:13">
      <c r="A26" t="s">
        <v>7</v>
      </c>
      <c r="B26" t="s">
        <v>25</v>
      </c>
      <c r="C26">
        <v>1000</v>
      </c>
      <c r="D26">
        <v>1</v>
      </c>
      <c r="E26" t="s">
        <v>73</v>
      </c>
      <c r="F26">
        <v>5</v>
      </c>
      <c r="G26">
        <v>59367.8</v>
      </c>
      <c r="H26">
        <v>59.367800000000003</v>
      </c>
      <c r="I26">
        <v>297125</v>
      </c>
      <c r="J26">
        <v>80597875</v>
      </c>
      <c r="K26">
        <v>0</v>
      </c>
      <c r="L26">
        <v>5.0048199999999996</v>
      </c>
      <c r="M26">
        <v>0</v>
      </c>
    </row>
    <row r="27" spans="1:13">
      <c r="A27" t="s">
        <v>7</v>
      </c>
      <c r="B27" t="s">
        <v>25</v>
      </c>
      <c r="C27">
        <v>1</v>
      </c>
      <c r="D27">
        <v>10</v>
      </c>
      <c r="E27" t="s">
        <v>73</v>
      </c>
      <c r="F27">
        <v>1</v>
      </c>
      <c r="G27">
        <v>32685.9</v>
      </c>
      <c r="H27">
        <v>32685.9</v>
      </c>
      <c r="I27">
        <v>163538</v>
      </c>
      <c r="J27">
        <v>11514694</v>
      </c>
      <c r="K27">
        <v>0</v>
      </c>
      <c r="L27">
        <v>5.0033099999999999</v>
      </c>
      <c r="M27">
        <v>0</v>
      </c>
    </row>
    <row r="28" spans="1:13">
      <c r="A28" t="s">
        <v>7</v>
      </c>
      <c r="B28" t="s">
        <v>25</v>
      </c>
      <c r="C28">
        <v>1</v>
      </c>
      <c r="D28">
        <v>10</v>
      </c>
      <c r="E28" t="s">
        <v>73</v>
      </c>
      <c r="F28">
        <v>2</v>
      </c>
      <c r="G28">
        <v>30018</v>
      </c>
      <c r="H28">
        <v>30018</v>
      </c>
      <c r="I28">
        <v>150142</v>
      </c>
      <c r="J28">
        <v>11390822</v>
      </c>
      <c r="K28">
        <v>0</v>
      </c>
      <c r="L28">
        <v>5.0017300000000002</v>
      </c>
      <c r="M28">
        <v>0</v>
      </c>
    </row>
    <row r="29" spans="1:13">
      <c r="A29" t="s">
        <v>7</v>
      </c>
      <c r="B29" t="s">
        <v>25</v>
      </c>
      <c r="C29">
        <v>1</v>
      </c>
      <c r="D29">
        <v>10</v>
      </c>
      <c r="E29" t="s">
        <v>73</v>
      </c>
      <c r="F29">
        <v>3</v>
      </c>
      <c r="G29">
        <v>37459.4</v>
      </c>
      <c r="H29">
        <v>37459.4</v>
      </c>
      <c r="I29">
        <v>187485</v>
      </c>
      <c r="J29">
        <v>12160217</v>
      </c>
      <c r="K29">
        <v>0</v>
      </c>
      <c r="L29">
        <v>5.00502</v>
      </c>
      <c r="M29">
        <v>0</v>
      </c>
    </row>
    <row r="30" spans="1:13">
      <c r="A30" t="s">
        <v>7</v>
      </c>
      <c r="B30" t="s">
        <v>25</v>
      </c>
      <c r="C30">
        <v>1</v>
      </c>
      <c r="D30">
        <v>10</v>
      </c>
      <c r="E30" t="s">
        <v>73</v>
      </c>
      <c r="F30">
        <v>4</v>
      </c>
      <c r="G30">
        <v>31030.5</v>
      </c>
      <c r="H30">
        <v>31030.5</v>
      </c>
      <c r="I30">
        <v>155289</v>
      </c>
      <c r="J30">
        <v>11441057</v>
      </c>
      <c r="K30">
        <v>0</v>
      </c>
      <c r="L30">
        <v>5.0044000000000004</v>
      </c>
      <c r="M30">
        <v>0</v>
      </c>
    </row>
    <row r="31" spans="1:13">
      <c r="A31" t="s">
        <v>7</v>
      </c>
      <c r="B31" t="s">
        <v>25</v>
      </c>
      <c r="C31">
        <v>1</v>
      </c>
      <c r="D31">
        <v>10</v>
      </c>
      <c r="E31" t="s">
        <v>73</v>
      </c>
      <c r="F31">
        <v>5</v>
      </c>
      <c r="G31">
        <v>36932.1</v>
      </c>
      <c r="H31">
        <v>36932.1</v>
      </c>
      <c r="I31">
        <v>184696</v>
      </c>
      <c r="J31">
        <v>12093229</v>
      </c>
      <c r="K31">
        <v>0</v>
      </c>
      <c r="L31">
        <v>5.0009699999999997</v>
      </c>
      <c r="M31">
        <v>0</v>
      </c>
    </row>
    <row r="32" spans="1:13">
      <c r="A32" t="s">
        <v>7</v>
      </c>
      <c r="B32" t="s">
        <v>25</v>
      </c>
      <c r="C32">
        <v>10</v>
      </c>
      <c r="D32">
        <v>10</v>
      </c>
      <c r="E32" t="s">
        <v>73</v>
      </c>
      <c r="F32">
        <v>1</v>
      </c>
      <c r="G32">
        <v>116130</v>
      </c>
      <c r="H32">
        <v>11613</v>
      </c>
      <c r="I32">
        <v>581162</v>
      </c>
      <c r="J32">
        <v>37870588</v>
      </c>
      <c r="K32">
        <v>0</v>
      </c>
      <c r="L32">
        <v>5.00441</v>
      </c>
      <c r="M32">
        <v>0</v>
      </c>
    </row>
    <row r="33" spans="1:13">
      <c r="A33" t="s">
        <v>7</v>
      </c>
      <c r="B33" t="s">
        <v>25</v>
      </c>
      <c r="C33">
        <v>10</v>
      </c>
      <c r="D33">
        <v>10</v>
      </c>
      <c r="E33" t="s">
        <v>73</v>
      </c>
      <c r="F33">
        <v>2</v>
      </c>
      <c r="G33">
        <v>149633</v>
      </c>
      <c r="H33">
        <v>14963.3</v>
      </c>
      <c r="I33">
        <v>748423</v>
      </c>
      <c r="J33">
        <v>37783487</v>
      </c>
      <c r="K33">
        <v>0</v>
      </c>
      <c r="L33">
        <v>5.0017300000000002</v>
      </c>
      <c r="M33">
        <v>0</v>
      </c>
    </row>
    <row r="34" spans="1:13">
      <c r="A34" t="s">
        <v>7</v>
      </c>
      <c r="B34" t="s">
        <v>25</v>
      </c>
      <c r="C34">
        <v>10</v>
      </c>
      <c r="D34">
        <v>10</v>
      </c>
      <c r="E34" t="s">
        <v>73</v>
      </c>
      <c r="F34">
        <v>3</v>
      </c>
      <c r="G34">
        <v>148243</v>
      </c>
      <c r="H34">
        <v>14824.3</v>
      </c>
      <c r="I34">
        <v>741679</v>
      </c>
      <c r="J34">
        <v>38806351</v>
      </c>
      <c r="K34">
        <v>0</v>
      </c>
      <c r="L34">
        <v>5.0031400000000001</v>
      </c>
      <c r="M34">
        <v>0</v>
      </c>
    </row>
    <row r="35" spans="1:13">
      <c r="A35" t="s">
        <v>7</v>
      </c>
      <c r="B35" t="s">
        <v>25</v>
      </c>
      <c r="C35">
        <v>10</v>
      </c>
      <c r="D35">
        <v>10</v>
      </c>
      <c r="E35" t="s">
        <v>73</v>
      </c>
      <c r="F35">
        <v>4</v>
      </c>
      <c r="G35">
        <v>125013</v>
      </c>
      <c r="H35">
        <v>12501.3</v>
      </c>
      <c r="I35">
        <v>625178</v>
      </c>
      <c r="J35">
        <v>38568942</v>
      </c>
      <c r="K35">
        <v>0</v>
      </c>
      <c r="L35">
        <v>5.0009199999999998</v>
      </c>
      <c r="M35">
        <v>0</v>
      </c>
    </row>
    <row r="36" spans="1:13">
      <c r="A36" t="s">
        <v>7</v>
      </c>
      <c r="B36" t="s">
        <v>25</v>
      </c>
      <c r="C36">
        <v>10</v>
      </c>
      <c r="D36">
        <v>10</v>
      </c>
      <c r="E36" t="s">
        <v>73</v>
      </c>
      <c r="F36">
        <v>5</v>
      </c>
      <c r="G36">
        <v>113306</v>
      </c>
      <c r="H36">
        <v>11330.6</v>
      </c>
      <c r="I36">
        <v>567059</v>
      </c>
      <c r="J36">
        <v>38833880</v>
      </c>
      <c r="K36">
        <v>0</v>
      </c>
      <c r="L36">
        <v>5.0046499999999998</v>
      </c>
      <c r="M36">
        <v>0</v>
      </c>
    </row>
    <row r="37" spans="1:13">
      <c r="A37" t="s">
        <v>7</v>
      </c>
      <c r="B37" t="s">
        <v>25</v>
      </c>
      <c r="C37">
        <v>100</v>
      </c>
      <c r="D37">
        <v>10</v>
      </c>
      <c r="E37" t="s">
        <v>73</v>
      </c>
      <c r="F37">
        <v>1</v>
      </c>
      <c r="G37">
        <v>19672.7</v>
      </c>
      <c r="H37">
        <v>196.727</v>
      </c>
      <c r="I37">
        <v>98432</v>
      </c>
      <c r="J37">
        <v>72741081</v>
      </c>
      <c r="K37">
        <v>0</v>
      </c>
      <c r="L37">
        <v>5.0034700000000001</v>
      </c>
      <c r="M37">
        <v>0</v>
      </c>
    </row>
    <row r="38" spans="1:13">
      <c r="A38" t="s">
        <v>7</v>
      </c>
      <c r="B38" t="s">
        <v>25</v>
      </c>
      <c r="C38">
        <v>100</v>
      </c>
      <c r="D38">
        <v>10</v>
      </c>
      <c r="E38" t="s">
        <v>73</v>
      </c>
      <c r="F38">
        <v>2</v>
      </c>
      <c r="G38">
        <v>19079.099999999999</v>
      </c>
      <c r="H38">
        <v>190.791</v>
      </c>
      <c r="I38">
        <v>95492</v>
      </c>
      <c r="J38">
        <v>73091875</v>
      </c>
      <c r="K38">
        <v>0</v>
      </c>
      <c r="L38">
        <v>5.0050499999999998</v>
      </c>
      <c r="M38">
        <v>0</v>
      </c>
    </row>
    <row r="39" spans="1:13">
      <c r="A39" t="s">
        <v>7</v>
      </c>
      <c r="B39" t="s">
        <v>25</v>
      </c>
      <c r="C39">
        <v>100</v>
      </c>
      <c r="D39">
        <v>10</v>
      </c>
      <c r="E39" t="s">
        <v>73</v>
      </c>
      <c r="F39">
        <v>3</v>
      </c>
      <c r="G39">
        <v>18676.8</v>
      </c>
      <c r="H39">
        <v>186.768</v>
      </c>
      <c r="I39">
        <v>93443</v>
      </c>
      <c r="J39">
        <v>72871513</v>
      </c>
      <c r="K39">
        <v>0</v>
      </c>
      <c r="L39">
        <v>5.0031499999999998</v>
      </c>
      <c r="M39">
        <v>0</v>
      </c>
    </row>
    <row r="40" spans="1:13">
      <c r="A40" t="s">
        <v>7</v>
      </c>
      <c r="B40" t="s">
        <v>25</v>
      </c>
      <c r="C40">
        <v>100</v>
      </c>
      <c r="D40">
        <v>10</v>
      </c>
      <c r="E40" t="s">
        <v>73</v>
      </c>
      <c r="F40">
        <v>4</v>
      </c>
      <c r="G40">
        <v>18368.8</v>
      </c>
      <c r="H40">
        <v>183.68799999999999</v>
      </c>
      <c r="I40">
        <v>91936</v>
      </c>
      <c r="J40">
        <v>73882572</v>
      </c>
      <c r="K40">
        <v>0</v>
      </c>
      <c r="L40">
        <v>5.00502</v>
      </c>
      <c r="M40">
        <v>0</v>
      </c>
    </row>
    <row r="41" spans="1:13">
      <c r="A41" t="s">
        <v>7</v>
      </c>
      <c r="B41" t="s">
        <v>25</v>
      </c>
      <c r="C41">
        <v>100</v>
      </c>
      <c r="D41">
        <v>10</v>
      </c>
      <c r="E41" t="s">
        <v>73</v>
      </c>
      <c r="F41">
        <v>5</v>
      </c>
      <c r="G41">
        <v>19648.5</v>
      </c>
      <c r="H41">
        <v>196.48500000000001</v>
      </c>
      <c r="I41">
        <v>98341</v>
      </c>
      <c r="J41">
        <v>73047359</v>
      </c>
      <c r="K41">
        <v>0</v>
      </c>
      <c r="L41">
        <v>5.00502</v>
      </c>
      <c r="M41">
        <v>0</v>
      </c>
    </row>
    <row r="42" spans="1:13">
      <c r="A42" t="s">
        <v>7</v>
      </c>
      <c r="B42" t="s">
        <v>25</v>
      </c>
      <c r="C42">
        <v>500</v>
      </c>
      <c r="D42">
        <v>10</v>
      </c>
      <c r="E42" t="s">
        <v>73</v>
      </c>
      <c r="F42">
        <v>1</v>
      </c>
      <c r="G42">
        <v>65404.800000000003</v>
      </c>
      <c r="H42">
        <v>130.81</v>
      </c>
      <c r="I42">
        <v>327352</v>
      </c>
      <c r="J42">
        <v>78416308</v>
      </c>
      <c r="K42">
        <v>0</v>
      </c>
      <c r="L42">
        <v>5.00502</v>
      </c>
      <c r="M42">
        <v>0</v>
      </c>
    </row>
    <row r="43" spans="1:13">
      <c r="A43" t="s">
        <v>7</v>
      </c>
      <c r="B43" t="s">
        <v>25</v>
      </c>
      <c r="C43">
        <v>500</v>
      </c>
      <c r="D43">
        <v>10</v>
      </c>
      <c r="E43" t="s">
        <v>73</v>
      </c>
      <c r="F43">
        <v>2</v>
      </c>
      <c r="G43">
        <v>64915.4</v>
      </c>
      <c r="H43">
        <v>129.83099999999999</v>
      </c>
      <c r="I43">
        <v>324903</v>
      </c>
      <c r="J43">
        <v>78163902</v>
      </c>
      <c r="K43">
        <v>0</v>
      </c>
      <c r="L43">
        <v>5.00502</v>
      </c>
      <c r="M43">
        <v>0</v>
      </c>
    </row>
    <row r="44" spans="1:13">
      <c r="A44" t="s">
        <v>7</v>
      </c>
      <c r="B44" t="s">
        <v>25</v>
      </c>
      <c r="C44">
        <v>500</v>
      </c>
      <c r="D44">
        <v>10</v>
      </c>
      <c r="E44" t="s">
        <v>73</v>
      </c>
      <c r="F44">
        <v>3</v>
      </c>
      <c r="G44">
        <v>63230.8</v>
      </c>
      <c r="H44">
        <v>126.462</v>
      </c>
      <c r="I44">
        <v>316267</v>
      </c>
      <c r="J44">
        <v>74693710</v>
      </c>
      <c r="K44">
        <v>0</v>
      </c>
      <c r="L44">
        <v>5.0017899999999997</v>
      </c>
      <c r="M44">
        <v>0</v>
      </c>
    </row>
    <row r="45" spans="1:13">
      <c r="A45" t="s">
        <v>7</v>
      </c>
      <c r="B45" t="s">
        <v>25</v>
      </c>
      <c r="C45">
        <v>500</v>
      </c>
      <c r="D45">
        <v>10</v>
      </c>
      <c r="E45" t="s">
        <v>73</v>
      </c>
      <c r="F45">
        <v>4</v>
      </c>
      <c r="G45">
        <v>65470</v>
      </c>
      <c r="H45">
        <v>130.94</v>
      </c>
      <c r="I45">
        <v>327679</v>
      </c>
      <c r="J45">
        <v>78719456</v>
      </c>
      <c r="K45">
        <v>0</v>
      </c>
      <c r="L45">
        <v>5.00502</v>
      </c>
      <c r="M45">
        <v>0</v>
      </c>
    </row>
    <row r="46" spans="1:13">
      <c r="A46" t="s">
        <v>7</v>
      </c>
      <c r="B46" t="s">
        <v>25</v>
      </c>
      <c r="C46">
        <v>500</v>
      </c>
      <c r="D46">
        <v>10</v>
      </c>
      <c r="E46" t="s">
        <v>73</v>
      </c>
      <c r="F46">
        <v>5</v>
      </c>
      <c r="G46">
        <v>65960.399999999994</v>
      </c>
      <c r="H46">
        <v>131.92099999999999</v>
      </c>
      <c r="I46">
        <v>330006</v>
      </c>
      <c r="J46">
        <v>78408714</v>
      </c>
      <c r="K46">
        <v>0</v>
      </c>
      <c r="L46">
        <v>5.0030999999999999</v>
      </c>
      <c r="M46">
        <v>0</v>
      </c>
    </row>
    <row r="47" spans="1:13">
      <c r="A47" t="s">
        <v>7</v>
      </c>
      <c r="B47" t="s">
        <v>25</v>
      </c>
      <c r="C47">
        <v>1000</v>
      </c>
      <c r="D47">
        <v>10</v>
      </c>
      <c r="E47" t="s">
        <v>73</v>
      </c>
      <c r="F47">
        <v>1</v>
      </c>
      <c r="G47">
        <v>60248</v>
      </c>
      <c r="H47">
        <v>60.247999999999998</v>
      </c>
      <c r="I47">
        <v>301542</v>
      </c>
      <c r="J47">
        <v>80852006</v>
      </c>
      <c r="K47">
        <v>0</v>
      </c>
      <c r="L47">
        <v>5.00502</v>
      </c>
      <c r="M47">
        <v>0</v>
      </c>
    </row>
    <row r="48" spans="1:13">
      <c r="A48" t="s">
        <v>7</v>
      </c>
      <c r="B48" t="s">
        <v>25</v>
      </c>
      <c r="C48">
        <v>1000</v>
      </c>
      <c r="D48">
        <v>10</v>
      </c>
      <c r="E48" t="s">
        <v>73</v>
      </c>
      <c r="F48">
        <v>2</v>
      </c>
      <c r="G48">
        <v>58879.9</v>
      </c>
      <c r="H48">
        <v>58.879899999999999</v>
      </c>
      <c r="I48">
        <v>294622</v>
      </c>
      <c r="J48">
        <v>80349495</v>
      </c>
      <c r="K48">
        <v>0</v>
      </c>
      <c r="L48">
        <v>5.0037799999999999</v>
      </c>
      <c r="M48">
        <v>0</v>
      </c>
    </row>
    <row r="49" spans="1:13">
      <c r="A49" t="s">
        <v>7</v>
      </c>
      <c r="B49" t="s">
        <v>25</v>
      </c>
      <c r="C49">
        <v>1000</v>
      </c>
      <c r="D49">
        <v>10</v>
      </c>
      <c r="E49" t="s">
        <v>73</v>
      </c>
      <c r="F49">
        <v>3</v>
      </c>
      <c r="G49">
        <v>56251.1</v>
      </c>
      <c r="H49">
        <v>56.251100000000001</v>
      </c>
      <c r="I49">
        <v>281466</v>
      </c>
      <c r="J49">
        <v>77825279</v>
      </c>
      <c r="K49">
        <v>0</v>
      </c>
      <c r="L49">
        <v>5.0037399999999996</v>
      </c>
      <c r="M49">
        <v>0</v>
      </c>
    </row>
    <row r="50" spans="1:13">
      <c r="A50" t="s">
        <v>7</v>
      </c>
      <c r="B50" t="s">
        <v>25</v>
      </c>
      <c r="C50">
        <v>1000</v>
      </c>
      <c r="D50">
        <v>10</v>
      </c>
      <c r="E50" t="s">
        <v>73</v>
      </c>
      <c r="F50">
        <v>4</v>
      </c>
      <c r="G50">
        <v>59443.199999999997</v>
      </c>
      <c r="H50">
        <v>59.443199999999997</v>
      </c>
      <c r="I50">
        <v>297449</v>
      </c>
      <c r="J50">
        <v>80597611</v>
      </c>
      <c r="K50">
        <v>0</v>
      </c>
      <c r="L50">
        <v>5.0039199999999999</v>
      </c>
      <c r="M50">
        <v>0</v>
      </c>
    </row>
    <row r="51" spans="1:13">
      <c r="A51" t="s">
        <v>7</v>
      </c>
      <c r="B51" t="s">
        <v>25</v>
      </c>
      <c r="C51">
        <v>1000</v>
      </c>
      <c r="D51">
        <v>10</v>
      </c>
      <c r="E51" t="s">
        <v>73</v>
      </c>
      <c r="F51">
        <v>5</v>
      </c>
      <c r="G51">
        <v>54514.3</v>
      </c>
      <c r="H51">
        <v>54.514299999999999</v>
      </c>
      <c r="I51">
        <v>272846</v>
      </c>
      <c r="J51">
        <v>74236322</v>
      </c>
      <c r="K51">
        <v>0</v>
      </c>
      <c r="L51">
        <v>5.0050299999999996</v>
      </c>
      <c r="M51">
        <v>0</v>
      </c>
    </row>
    <row r="52" spans="1:13">
      <c r="A52" t="s">
        <v>7</v>
      </c>
      <c r="B52" t="s">
        <v>25</v>
      </c>
      <c r="C52">
        <v>1</v>
      </c>
      <c r="D52">
        <v>100</v>
      </c>
      <c r="E52" t="s">
        <v>73</v>
      </c>
      <c r="F52">
        <v>1</v>
      </c>
      <c r="G52">
        <v>28523.4</v>
      </c>
      <c r="H52">
        <v>28523.4</v>
      </c>
      <c r="I52">
        <v>142742</v>
      </c>
      <c r="J52">
        <v>11446908</v>
      </c>
      <c r="K52">
        <v>0</v>
      </c>
      <c r="L52">
        <v>5.0043800000000003</v>
      </c>
      <c r="M52">
        <v>0</v>
      </c>
    </row>
    <row r="53" spans="1:13">
      <c r="A53" t="s">
        <v>7</v>
      </c>
      <c r="B53" t="s">
        <v>25</v>
      </c>
      <c r="C53">
        <v>1</v>
      </c>
      <c r="D53">
        <v>100</v>
      </c>
      <c r="E53" t="s">
        <v>73</v>
      </c>
      <c r="F53">
        <v>2</v>
      </c>
      <c r="G53">
        <v>29589.4</v>
      </c>
      <c r="H53">
        <v>29589.4</v>
      </c>
      <c r="I53">
        <v>147959</v>
      </c>
      <c r="J53">
        <v>11591134</v>
      </c>
      <c r="K53">
        <v>0</v>
      </c>
      <c r="L53">
        <v>5.0004099999999996</v>
      </c>
      <c r="M53">
        <v>0</v>
      </c>
    </row>
    <row r="54" spans="1:13">
      <c r="A54" t="s">
        <v>7</v>
      </c>
      <c r="B54" t="s">
        <v>25</v>
      </c>
      <c r="C54">
        <v>1</v>
      </c>
      <c r="D54">
        <v>100</v>
      </c>
      <c r="E54" t="s">
        <v>73</v>
      </c>
      <c r="F54">
        <v>3</v>
      </c>
      <c r="G54">
        <v>33838.5</v>
      </c>
      <c r="H54">
        <v>33838.5</v>
      </c>
      <c r="I54">
        <v>169362</v>
      </c>
      <c r="J54">
        <v>10627606</v>
      </c>
      <c r="K54">
        <v>0</v>
      </c>
      <c r="L54">
        <v>5.0050100000000004</v>
      </c>
      <c r="M54">
        <v>0</v>
      </c>
    </row>
    <row r="55" spans="1:13">
      <c r="A55" t="s">
        <v>7</v>
      </c>
      <c r="B55" t="s">
        <v>25</v>
      </c>
      <c r="C55">
        <v>1</v>
      </c>
      <c r="D55">
        <v>100</v>
      </c>
      <c r="E55" t="s">
        <v>73</v>
      </c>
      <c r="F55">
        <v>4</v>
      </c>
      <c r="G55">
        <v>37747</v>
      </c>
      <c r="H55">
        <v>37747</v>
      </c>
      <c r="I55">
        <v>188749</v>
      </c>
      <c r="J55">
        <v>11509676</v>
      </c>
      <c r="K55">
        <v>0</v>
      </c>
      <c r="L55">
        <v>5.0003799999999998</v>
      </c>
      <c r="M55">
        <v>0</v>
      </c>
    </row>
    <row r="56" spans="1:13">
      <c r="A56" t="s">
        <v>7</v>
      </c>
      <c r="B56" t="s">
        <v>25</v>
      </c>
      <c r="C56">
        <v>1</v>
      </c>
      <c r="D56">
        <v>100</v>
      </c>
      <c r="E56" t="s">
        <v>73</v>
      </c>
      <c r="F56">
        <v>5</v>
      </c>
      <c r="G56">
        <v>30732.2</v>
      </c>
      <c r="H56">
        <v>30732.2</v>
      </c>
      <c r="I56">
        <v>153792</v>
      </c>
      <c r="J56">
        <v>11545981</v>
      </c>
      <c r="K56">
        <v>0</v>
      </c>
      <c r="L56">
        <v>5.0042600000000004</v>
      </c>
      <c r="M56">
        <v>0</v>
      </c>
    </row>
    <row r="57" spans="1:13">
      <c r="A57" t="s">
        <v>7</v>
      </c>
      <c r="B57" t="s">
        <v>25</v>
      </c>
      <c r="C57">
        <v>10</v>
      </c>
      <c r="D57">
        <v>100</v>
      </c>
      <c r="E57" t="s">
        <v>73</v>
      </c>
      <c r="F57">
        <v>1</v>
      </c>
      <c r="G57">
        <v>121379</v>
      </c>
      <c r="H57">
        <v>12137.9</v>
      </c>
      <c r="I57">
        <v>606949</v>
      </c>
      <c r="J57">
        <v>38797171</v>
      </c>
      <c r="K57">
        <v>0</v>
      </c>
      <c r="L57">
        <v>5.0004600000000003</v>
      </c>
      <c r="M57">
        <v>0</v>
      </c>
    </row>
    <row r="58" spans="1:13">
      <c r="A58" t="s">
        <v>7</v>
      </c>
      <c r="B58" t="s">
        <v>25</v>
      </c>
      <c r="C58">
        <v>10</v>
      </c>
      <c r="D58">
        <v>100</v>
      </c>
      <c r="E58" t="s">
        <v>73</v>
      </c>
      <c r="F58">
        <v>2</v>
      </c>
      <c r="G58">
        <v>112393</v>
      </c>
      <c r="H58">
        <v>11239.3</v>
      </c>
      <c r="I58">
        <v>562413</v>
      </c>
      <c r="J58">
        <v>38806962</v>
      </c>
      <c r="K58">
        <v>0</v>
      </c>
      <c r="L58">
        <v>5.0039800000000003</v>
      </c>
      <c r="M58">
        <v>0</v>
      </c>
    </row>
    <row r="59" spans="1:13">
      <c r="A59" t="s">
        <v>7</v>
      </c>
      <c r="B59" t="s">
        <v>25</v>
      </c>
      <c r="C59">
        <v>10</v>
      </c>
      <c r="D59">
        <v>100</v>
      </c>
      <c r="E59" t="s">
        <v>73</v>
      </c>
      <c r="F59">
        <v>3</v>
      </c>
      <c r="G59">
        <v>102985</v>
      </c>
      <c r="H59">
        <v>10298.5</v>
      </c>
      <c r="I59">
        <v>515441</v>
      </c>
      <c r="J59">
        <v>39051126</v>
      </c>
      <c r="K59">
        <v>0</v>
      </c>
      <c r="L59">
        <v>5.00502</v>
      </c>
      <c r="M59">
        <v>0</v>
      </c>
    </row>
    <row r="60" spans="1:13">
      <c r="A60" t="s">
        <v>7</v>
      </c>
      <c r="B60" t="s">
        <v>25</v>
      </c>
      <c r="C60">
        <v>10</v>
      </c>
      <c r="D60">
        <v>100</v>
      </c>
      <c r="E60" t="s">
        <v>73</v>
      </c>
      <c r="F60">
        <v>4</v>
      </c>
      <c r="G60">
        <v>87140.9</v>
      </c>
      <c r="H60">
        <v>8714.09</v>
      </c>
      <c r="I60">
        <v>435895</v>
      </c>
      <c r="J60">
        <v>38968565</v>
      </c>
      <c r="K60">
        <v>0</v>
      </c>
      <c r="L60">
        <v>5.0021899999999997</v>
      </c>
      <c r="M60">
        <v>0</v>
      </c>
    </row>
    <row r="61" spans="1:13">
      <c r="A61" t="s">
        <v>7</v>
      </c>
      <c r="B61" t="s">
        <v>25</v>
      </c>
      <c r="C61">
        <v>10</v>
      </c>
      <c r="D61">
        <v>100</v>
      </c>
      <c r="E61" t="s">
        <v>73</v>
      </c>
      <c r="F61">
        <v>5</v>
      </c>
      <c r="G61">
        <v>85197</v>
      </c>
      <c r="H61">
        <v>8519.7000000000007</v>
      </c>
      <c r="I61">
        <v>426400</v>
      </c>
      <c r="J61">
        <v>38944220</v>
      </c>
      <c r="K61">
        <v>0</v>
      </c>
      <c r="L61">
        <v>5.0048700000000004</v>
      </c>
      <c r="M61">
        <v>0</v>
      </c>
    </row>
    <row r="62" spans="1:13">
      <c r="A62" t="s">
        <v>7</v>
      </c>
      <c r="B62" t="s">
        <v>25</v>
      </c>
      <c r="C62">
        <v>100</v>
      </c>
      <c r="D62">
        <v>100</v>
      </c>
      <c r="E62" t="s">
        <v>73</v>
      </c>
      <c r="F62">
        <v>1</v>
      </c>
      <c r="G62">
        <v>19827.400000000001</v>
      </c>
      <c r="H62">
        <v>198.274</v>
      </c>
      <c r="I62">
        <v>99185</v>
      </c>
      <c r="J62">
        <v>72612110</v>
      </c>
      <c r="K62">
        <v>0</v>
      </c>
      <c r="L62">
        <v>5.0024199999999999</v>
      </c>
      <c r="M62">
        <v>0</v>
      </c>
    </row>
    <row r="63" spans="1:13">
      <c r="A63" t="s">
        <v>7</v>
      </c>
      <c r="B63" t="s">
        <v>25</v>
      </c>
      <c r="C63">
        <v>100</v>
      </c>
      <c r="D63">
        <v>100</v>
      </c>
      <c r="E63" t="s">
        <v>73</v>
      </c>
      <c r="F63">
        <v>2</v>
      </c>
      <c r="G63">
        <v>19484.8</v>
      </c>
      <c r="H63">
        <v>194.84800000000001</v>
      </c>
      <c r="I63">
        <v>97521</v>
      </c>
      <c r="J63">
        <v>72267479</v>
      </c>
      <c r="K63">
        <v>0</v>
      </c>
      <c r="L63">
        <v>5.0049700000000001</v>
      </c>
      <c r="M63">
        <v>0</v>
      </c>
    </row>
    <row r="64" spans="1:13">
      <c r="A64" t="s">
        <v>7</v>
      </c>
      <c r="B64" t="s">
        <v>25</v>
      </c>
      <c r="C64">
        <v>100</v>
      </c>
      <c r="D64">
        <v>100</v>
      </c>
      <c r="E64" t="s">
        <v>73</v>
      </c>
      <c r="F64">
        <v>3</v>
      </c>
      <c r="G64">
        <v>19217.900000000001</v>
      </c>
      <c r="H64">
        <v>192.179</v>
      </c>
      <c r="I64">
        <v>96161</v>
      </c>
      <c r="J64">
        <v>73075439</v>
      </c>
      <c r="K64">
        <v>0</v>
      </c>
      <c r="L64">
        <v>5.0037099999999999</v>
      </c>
      <c r="M64">
        <v>0</v>
      </c>
    </row>
    <row r="65" spans="1:13">
      <c r="A65" t="s">
        <v>7</v>
      </c>
      <c r="B65" t="s">
        <v>25</v>
      </c>
      <c r="C65">
        <v>100</v>
      </c>
      <c r="D65">
        <v>100</v>
      </c>
      <c r="E65" t="s">
        <v>73</v>
      </c>
      <c r="F65">
        <v>4</v>
      </c>
      <c r="G65">
        <v>21618.2</v>
      </c>
      <c r="H65">
        <v>216.18199999999999</v>
      </c>
      <c r="I65">
        <v>108200</v>
      </c>
      <c r="J65">
        <v>71077700</v>
      </c>
      <c r="K65">
        <v>0</v>
      </c>
      <c r="L65">
        <v>5.0050299999999996</v>
      </c>
      <c r="M65">
        <v>0</v>
      </c>
    </row>
    <row r="66" spans="1:13">
      <c r="A66" t="s">
        <v>7</v>
      </c>
      <c r="B66" t="s">
        <v>25</v>
      </c>
      <c r="C66">
        <v>100</v>
      </c>
      <c r="D66">
        <v>100</v>
      </c>
      <c r="E66" t="s">
        <v>73</v>
      </c>
      <c r="F66">
        <v>5</v>
      </c>
      <c r="G66">
        <v>21788.6</v>
      </c>
      <c r="H66">
        <v>217.886</v>
      </c>
      <c r="I66">
        <v>109016</v>
      </c>
      <c r="J66">
        <v>71029342</v>
      </c>
      <c r="K66">
        <v>0</v>
      </c>
      <c r="L66">
        <v>5.0033500000000002</v>
      </c>
      <c r="M66">
        <v>0</v>
      </c>
    </row>
    <row r="67" spans="1:13">
      <c r="A67" t="s">
        <v>7</v>
      </c>
      <c r="B67" t="s">
        <v>25</v>
      </c>
      <c r="C67">
        <v>500</v>
      </c>
      <c r="D67">
        <v>100</v>
      </c>
      <c r="E67" t="s">
        <v>73</v>
      </c>
      <c r="F67">
        <v>1</v>
      </c>
      <c r="G67">
        <v>65314.5</v>
      </c>
      <c r="H67">
        <v>130.62899999999999</v>
      </c>
      <c r="I67">
        <v>326650</v>
      </c>
      <c r="J67">
        <v>76915883</v>
      </c>
      <c r="K67">
        <v>0</v>
      </c>
      <c r="L67">
        <v>5.0011900000000002</v>
      </c>
      <c r="M67">
        <v>0</v>
      </c>
    </row>
    <row r="68" spans="1:13">
      <c r="A68" t="s">
        <v>7</v>
      </c>
      <c r="B68" t="s">
        <v>25</v>
      </c>
      <c r="C68">
        <v>500</v>
      </c>
      <c r="D68">
        <v>100</v>
      </c>
      <c r="E68" t="s">
        <v>73</v>
      </c>
      <c r="F68">
        <v>2</v>
      </c>
      <c r="G68">
        <v>64793.8</v>
      </c>
      <c r="H68">
        <v>129.58799999999999</v>
      </c>
      <c r="I68">
        <v>324050</v>
      </c>
      <c r="J68">
        <v>77931450</v>
      </c>
      <c r="K68">
        <v>0</v>
      </c>
      <c r="L68">
        <v>5.0012499999999998</v>
      </c>
      <c r="M68">
        <v>0</v>
      </c>
    </row>
    <row r="69" spans="1:13">
      <c r="A69" t="s">
        <v>7</v>
      </c>
      <c r="B69" t="s">
        <v>25</v>
      </c>
      <c r="C69">
        <v>500</v>
      </c>
      <c r="D69">
        <v>100</v>
      </c>
      <c r="E69" t="s">
        <v>73</v>
      </c>
      <c r="F69">
        <v>3</v>
      </c>
      <c r="G69">
        <v>65446.3</v>
      </c>
      <c r="H69">
        <v>130.893</v>
      </c>
      <c r="I69">
        <v>327488</v>
      </c>
      <c r="J69">
        <v>78136636</v>
      </c>
      <c r="K69">
        <v>0</v>
      </c>
      <c r="L69">
        <v>5.0039199999999999</v>
      </c>
      <c r="M69">
        <v>0</v>
      </c>
    </row>
    <row r="70" spans="1:13">
      <c r="A70" t="s">
        <v>7</v>
      </c>
      <c r="B70" t="s">
        <v>25</v>
      </c>
      <c r="C70">
        <v>500</v>
      </c>
      <c r="D70">
        <v>100</v>
      </c>
      <c r="E70" t="s">
        <v>73</v>
      </c>
      <c r="F70">
        <v>4</v>
      </c>
      <c r="G70">
        <v>64411.6</v>
      </c>
      <c r="H70">
        <v>128.82300000000001</v>
      </c>
      <c r="I70">
        <v>322324</v>
      </c>
      <c r="J70">
        <v>77143518</v>
      </c>
      <c r="K70">
        <v>0</v>
      </c>
      <c r="L70">
        <v>5.00413</v>
      </c>
      <c r="M70">
        <v>0</v>
      </c>
    </row>
    <row r="71" spans="1:13">
      <c r="A71" t="s">
        <v>7</v>
      </c>
      <c r="B71" t="s">
        <v>25</v>
      </c>
      <c r="C71">
        <v>500</v>
      </c>
      <c r="D71">
        <v>100</v>
      </c>
      <c r="E71" t="s">
        <v>73</v>
      </c>
      <c r="F71">
        <v>5</v>
      </c>
      <c r="G71">
        <v>65385.3</v>
      </c>
      <c r="H71">
        <v>130.77099999999999</v>
      </c>
      <c r="I71">
        <v>327158</v>
      </c>
      <c r="J71">
        <v>77112927</v>
      </c>
      <c r="K71">
        <v>0</v>
      </c>
      <c r="L71">
        <v>5.0035400000000001</v>
      </c>
      <c r="M71">
        <v>0</v>
      </c>
    </row>
    <row r="72" spans="1:13">
      <c r="A72" t="s">
        <v>7</v>
      </c>
      <c r="B72" t="s">
        <v>25</v>
      </c>
      <c r="C72">
        <v>1000</v>
      </c>
      <c r="D72">
        <v>100</v>
      </c>
      <c r="E72" t="s">
        <v>73</v>
      </c>
      <c r="F72">
        <v>1</v>
      </c>
      <c r="G72">
        <v>58289.7</v>
      </c>
      <c r="H72">
        <v>58.289700000000003</v>
      </c>
      <c r="I72">
        <v>291743</v>
      </c>
      <c r="J72">
        <v>79599732</v>
      </c>
      <c r="K72">
        <v>0</v>
      </c>
      <c r="L72">
        <v>5.0050499999999998</v>
      </c>
      <c r="M72">
        <v>0</v>
      </c>
    </row>
    <row r="73" spans="1:13">
      <c r="A73" t="s">
        <v>7</v>
      </c>
      <c r="B73" t="s">
        <v>25</v>
      </c>
      <c r="C73">
        <v>1000</v>
      </c>
      <c r="D73">
        <v>100</v>
      </c>
      <c r="E73" t="s">
        <v>73</v>
      </c>
      <c r="F73">
        <v>2</v>
      </c>
      <c r="G73">
        <v>58166.8</v>
      </c>
      <c r="H73">
        <v>58.166800000000002</v>
      </c>
      <c r="I73">
        <v>290908</v>
      </c>
      <c r="J73">
        <v>78834442</v>
      </c>
      <c r="K73">
        <v>0</v>
      </c>
      <c r="L73">
        <v>5.0012699999999999</v>
      </c>
      <c r="M73">
        <v>0</v>
      </c>
    </row>
    <row r="74" spans="1:13">
      <c r="A74" t="s">
        <v>7</v>
      </c>
      <c r="B74" t="s">
        <v>25</v>
      </c>
      <c r="C74">
        <v>1000</v>
      </c>
      <c r="D74">
        <v>100</v>
      </c>
      <c r="E74" t="s">
        <v>73</v>
      </c>
      <c r="F74">
        <v>3</v>
      </c>
      <c r="G74">
        <v>55873</v>
      </c>
      <c r="H74">
        <v>55.872999999999998</v>
      </c>
      <c r="I74">
        <v>279616</v>
      </c>
      <c r="J74">
        <v>78970553</v>
      </c>
      <c r="K74">
        <v>0</v>
      </c>
      <c r="L74">
        <v>5.0044899999999997</v>
      </c>
      <c r="M74">
        <v>0</v>
      </c>
    </row>
    <row r="75" spans="1:13">
      <c r="A75" t="s">
        <v>7</v>
      </c>
      <c r="B75" t="s">
        <v>25</v>
      </c>
      <c r="C75">
        <v>1000</v>
      </c>
      <c r="D75">
        <v>100</v>
      </c>
      <c r="E75" t="s">
        <v>73</v>
      </c>
      <c r="F75">
        <v>4</v>
      </c>
      <c r="G75">
        <v>51994</v>
      </c>
      <c r="H75">
        <v>51.994</v>
      </c>
      <c r="I75">
        <v>260181</v>
      </c>
      <c r="J75">
        <v>74746819</v>
      </c>
      <c r="K75">
        <v>0</v>
      </c>
      <c r="L75">
        <v>5.00406</v>
      </c>
      <c r="M75">
        <v>0</v>
      </c>
    </row>
    <row r="76" spans="1:13">
      <c r="A76" t="s">
        <v>7</v>
      </c>
      <c r="B76" t="s">
        <v>25</v>
      </c>
      <c r="C76">
        <v>1000</v>
      </c>
      <c r="D76">
        <v>100</v>
      </c>
      <c r="E76" t="s">
        <v>73</v>
      </c>
      <c r="F76">
        <v>5</v>
      </c>
      <c r="G76">
        <v>59144.800000000003</v>
      </c>
      <c r="H76">
        <v>59.144799999999996</v>
      </c>
      <c r="I76">
        <v>295876</v>
      </c>
      <c r="J76">
        <v>79588333</v>
      </c>
      <c r="K76">
        <v>0</v>
      </c>
      <c r="L76">
        <v>5.0025700000000004</v>
      </c>
      <c r="M76">
        <v>0</v>
      </c>
    </row>
    <row r="77" spans="1:13">
      <c r="A77" t="s">
        <v>7</v>
      </c>
      <c r="B77" t="s">
        <v>25</v>
      </c>
      <c r="C77">
        <v>1</v>
      </c>
      <c r="D77">
        <v>1000</v>
      </c>
      <c r="E77" t="s">
        <v>73</v>
      </c>
      <c r="F77">
        <v>1</v>
      </c>
      <c r="G77">
        <v>61378.400000000001</v>
      </c>
      <c r="H77">
        <v>61378.400000000001</v>
      </c>
      <c r="I77">
        <v>307035</v>
      </c>
      <c r="J77">
        <v>10379743</v>
      </c>
      <c r="K77">
        <v>0</v>
      </c>
      <c r="L77">
        <v>5.0023299999999997</v>
      </c>
      <c r="M77">
        <v>0</v>
      </c>
    </row>
    <row r="78" spans="1:13">
      <c r="A78" t="s">
        <v>7</v>
      </c>
      <c r="B78" t="s">
        <v>25</v>
      </c>
      <c r="C78">
        <v>1</v>
      </c>
      <c r="D78">
        <v>1000</v>
      </c>
      <c r="E78" t="s">
        <v>73</v>
      </c>
      <c r="F78">
        <v>2</v>
      </c>
      <c r="G78">
        <v>53520.2</v>
      </c>
      <c r="H78">
        <v>53520.2</v>
      </c>
      <c r="I78">
        <v>267780</v>
      </c>
      <c r="J78">
        <v>10579215</v>
      </c>
      <c r="K78">
        <v>0</v>
      </c>
      <c r="L78">
        <v>5.0033500000000002</v>
      </c>
      <c r="M78">
        <v>0</v>
      </c>
    </row>
    <row r="79" spans="1:13">
      <c r="A79" t="s">
        <v>7</v>
      </c>
      <c r="B79" t="s">
        <v>25</v>
      </c>
      <c r="C79">
        <v>1</v>
      </c>
      <c r="D79">
        <v>1000</v>
      </c>
      <c r="E79" t="s">
        <v>73</v>
      </c>
      <c r="F79">
        <v>3</v>
      </c>
      <c r="G79">
        <v>47461.599999999999</v>
      </c>
      <c r="H79">
        <v>47461.599999999999</v>
      </c>
      <c r="I79">
        <v>237536</v>
      </c>
      <c r="J79">
        <v>10294835</v>
      </c>
      <c r="K79">
        <v>0</v>
      </c>
      <c r="L79">
        <v>5.0048000000000004</v>
      </c>
      <c r="M79">
        <v>0</v>
      </c>
    </row>
    <row r="80" spans="1:13">
      <c r="A80" t="s">
        <v>7</v>
      </c>
      <c r="B80" t="s">
        <v>25</v>
      </c>
      <c r="C80">
        <v>1</v>
      </c>
      <c r="D80">
        <v>1000</v>
      </c>
      <c r="E80" t="s">
        <v>73</v>
      </c>
      <c r="F80">
        <v>4</v>
      </c>
      <c r="G80">
        <v>46898.5</v>
      </c>
      <c r="H80">
        <v>46898.5</v>
      </c>
      <c r="I80">
        <v>234610</v>
      </c>
      <c r="J80">
        <v>10597307</v>
      </c>
      <c r="K80">
        <v>0</v>
      </c>
      <c r="L80">
        <v>5.0025000000000004</v>
      </c>
      <c r="M80">
        <v>0</v>
      </c>
    </row>
    <row r="81" spans="1:13">
      <c r="A81" t="s">
        <v>7</v>
      </c>
      <c r="B81" t="s">
        <v>25</v>
      </c>
      <c r="C81">
        <v>1</v>
      </c>
      <c r="D81">
        <v>1000</v>
      </c>
      <c r="E81" t="s">
        <v>73</v>
      </c>
      <c r="F81">
        <v>5</v>
      </c>
      <c r="G81">
        <v>54706.6</v>
      </c>
      <c r="H81">
        <v>54706.6</v>
      </c>
      <c r="I81">
        <v>273750</v>
      </c>
      <c r="J81">
        <v>10451936</v>
      </c>
      <c r="K81">
        <v>0</v>
      </c>
      <c r="L81">
        <v>5.0039699999999998</v>
      </c>
      <c r="M81">
        <v>0</v>
      </c>
    </row>
    <row r="82" spans="1:13">
      <c r="A82" t="s">
        <v>7</v>
      </c>
      <c r="B82" t="s">
        <v>25</v>
      </c>
      <c r="C82">
        <v>10</v>
      </c>
      <c r="D82">
        <v>1000</v>
      </c>
      <c r="E82" t="s">
        <v>73</v>
      </c>
      <c r="F82">
        <v>1</v>
      </c>
      <c r="G82">
        <v>171801</v>
      </c>
      <c r="H82">
        <v>17180.099999999999</v>
      </c>
      <c r="I82">
        <v>859837</v>
      </c>
      <c r="J82">
        <v>36228803</v>
      </c>
      <c r="K82">
        <v>0</v>
      </c>
      <c r="L82">
        <v>5.0048300000000001</v>
      </c>
      <c r="M82">
        <v>0</v>
      </c>
    </row>
    <row r="83" spans="1:13">
      <c r="A83" t="s">
        <v>7</v>
      </c>
      <c r="B83" t="s">
        <v>25</v>
      </c>
      <c r="C83">
        <v>10</v>
      </c>
      <c r="D83">
        <v>1000</v>
      </c>
      <c r="E83" t="s">
        <v>73</v>
      </c>
      <c r="F83">
        <v>2</v>
      </c>
      <c r="G83">
        <v>260481</v>
      </c>
      <c r="H83">
        <v>26048.1</v>
      </c>
      <c r="I83">
        <v>1303325</v>
      </c>
      <c r="J83">
        <v>35939955</v>
      </c>
      <c r="K83">
        <v>0</v>
      </c>
      <c r="L83">
        <v>5.00352</v>
      </c>
      <c r="M83">
        <v>0</v>
      </c>
    </row>
    <row r="84" spans="1:13">
      <c r="A84" t="s">
        <v>7</v>
      </c>
      <c r="B84" t="s">
        <v>25</v>
      </c>
      <c r="C84">
        <v>10</v>
      </c>
      <c r="D84">
        <v>1000</v>
      </c>
      <c r="E84" t="s">
        <v>73</v>
      </c>
      <c r="F84">
        <v>3</v>
      </c>
      <c r="G84">
        <v>275815</v>
      </c>
      <c r="H84">
        <v>27581.5</v>
      </c>
      <c r="I84">
        <v>1380221</v>
      </c>
      <c r="J84">
        <v>35286854</v>
      </c>
      <c r="K84">
        <v>0</v>
      </c>
      <c r="L84">
        <v>5.0041599999999997</v>
      </c>
      <c r="M84">
        <v>0</v>
      </c>
    </row>
    <row r="85" spans="1:13">
      <c r="A85" t="s">
        <v>7</v>
      </c>
      <c r="B85" t="s">
        <v>25</v>
      </c>
      <c r="C85">
        <v>10</v>
      </c>
      <c r="D85">
        <v>1000</v>
      </c>
      <c r="E85" t="s">
        <v>73</v>
      </c>
      <c r="F85">
        <v>4</v>
      </c>
      <c r="G85">
        <v>205884</v>
      </c>
      <c r="H85">
        <v>20588.400000000001</v>
      </c>
      <c r="I85">
        <v>1030396</v>
      </c>
      <c r="J85">
        <v>36057042</v>
      </c>
      <c r="K85">
        <v>0</v>
      </c>
      <c r="L85">
        <v>5.0047499999999996</v>
      </c>
      <c r="M85">
        <v>0</v>
      </c>
    </row>
    <row r="86" spans="1:13">
      <c r="A86" t="s">
        <v>7</v>
      </c>
      <c r="B86" t="s">
        <v>25</v>
      </c>
      <c r="C86">
        <v>10</v>
      </c>
      <c r="D86">
        <v>1000</v>
      </c>
      <c r="E86" t="s">
        <v>73</v>
      </c>
      <c r="F86">
        <v>5</v>
      </c>
      <c r="G86">
        <v>213473</v>
      </c>
      <c r="H86">
        <v>21347.3</v>
      </c>
      <c r="I86">
        <v>1068435</v>
      </c>
      <c r="J86">
        <v>36003685</v>
      </c>
      <c r="K86">
        <v>0</v>
      </c>
      <c r="L86">
        <v>5.0050100000000004</v>
      </c>
      <c r="M86">
        <v>0</v>
      </c>
    </row>
    <row r="87" spans="1:13">
      <c r="A87" t="s">
        <v>7</v>
      </c>
      <c r="B87" t="s">
        <v>25</v>
      </c>
      <c r="C87">
        <v>100</v>
      </c>
      <c r="D87">
        <v>1000</v>
      </c>
      <c r="E87" t="s">
        <v>73</v>
      </c>
      <c r="F87">
        <v>1</v>
      </c>
      <c r="G87">
        <v>21661.8</v>
      </c>
      <c r="H87">
        <v>216.61799999999999</v>
      </c>
      <c r="I87">
        <v>108418</v>
      </c>
      <c r="J87">
        <v>71852648</v>
      </c>
      <c r="K87">
        <v>0</v>
      </c>
      <c r="L87">
        <v>5.00502</v>
      </c>
      <c r="M87">
        <v>0</v>
      </c>
    </row>
    <row r="88" spans="1:13">
      <c r="A88" t="s">
        <v>7</v>
      </c>
      <c r="B88" t="s">
        <v>25</v>
      </c>
      <c r="C88">
        <v>100</v>
      </c>
      <c r="D88">
        <v>1000</v>
      </c>
      <c r="E88" t="s">
        <v>73</v>
      </c>
      <c r="F88">
        <v>2</v>
      </c>
      <c r="G88">
        <v>21293.3</v>
      </c>
      <c r="H88">
        <v>212.93299999999999</v>
      </c>
      <c r="I88">
        <v>106549</v>
      </c>
      <c r="J88">
        <v>72279314</v>
      </c>
      <c r="K88">
        <v>0</v>
      </c>
      <c r="L88">
        <v>5.0038600000000004</v>
      </c>
      <c r="M88">
        <v>0</v>
      </c>
    </row>
    <row r="89" spans="1:13">
      <c r="A89" t="s">
        <v>7</v>
      </c>
      <c r="B89" t="s">
        <v>25</v>
      </c>
      <c r="C89">
        <v>100</v>
      </c>
      <c r="D89">
        <v>1000</v>
      </c>
      <c r="E89" t="s">
        <v>73</v>
      </c>
      <c r="F89">
        <v>3</v>
      </c>
      <c r="G89">
        <v>20920.599999999999</v>
      </c>
      <c r="H89">
        <v>209.20599999999999</v>
      </c>
      <c r="I89">
        <v>104708</v>
      </c>
      <c r="J89">
        <v>72292090</v>
      </c>
      <c r="K89">
        <v>0</v>
      </c>
      <c r="L89">
        <v>5.00502</v>
      </c>
      <c r="M89">
        <v>0</v>
      </c>
    </row>
    <row r="90" spans="1:13">
      <c r="A90" t="s">
        <v>7</v>
      </c>
      <c r="B90" t="s">
        <v>25</v>
      </c>
      <c r="C90">
        <v>100</v>
      </c>
      <c r="D90">
        <v>1000</v>
      </c>
      <c r="E90" t="s">
        <v>73</v>
      </c>
      <c r="F90">
        <v>4</v>
      </c>
      <c r="G90">
        <v>19071.3</v>
      </c>
      <c r="H90">
        <v>190.71299999999999</v>
      </c>
      <c r="I90">
        <v>95439</v>
      </c>
      <c r="J90">
        <v>72743861</v>
      </c>
      <c r="K90">
        <v>0</v>
      </c>
      <c r="L90">
        <v>5.0043199999999999</v>
      </c>
      <c r="M90">
        <v>0</v>
      </c>
    </row>
    <row r="91" spans="1:13">
      <c r="A91" t="s">
        <v>7</v>
      </c>
      <c r="B91" t="s">
        <v>25</v>
      </c>
      <c r="C91">
        <v>100</v>
      </c>
      <c r="D91">
        <v>1000</v>
      </c>
      <c r="E91" t="s">
        <v>73</v>
      </c>
      <c r="F91">
        <v>5</v>
      </c>
      <c r="G91">
        <v>19786</v>
      </c>
      <c r="H91">
        <v>197.86</v>
      </c>
      <c r="I91">
        <v>99047</v>
      </c>
      <c r="J91">
        <v>72695681</v>
      </c>
      <c r="K91">
        <v>0</v>
      </c>
      <c r="L91">
        <v>5.0059100000000001</v>
      </c>
      <c r="M91">
        <v>0</v>
      </c>
    </row>
    <row r="92" spans="1:13">
      <c r="A92" t="s">
        <v>7</v>
      </c>
      <c r="B92" t="s">
        <v>25</v>
      </c>
      <c r="C92">
        <v>500</v>
      </c>
      <c r="D92">
        <v>1000</v>
      </c>
      <c r="E92" t="s">
        <v>73</v>
      </c>
      <c r="F92">
        <v>1</v>
      </c>
      <c r="G92">
        <v>64983</v>
      </c>
      <c r="H92">
        <v>129.96600000000001</v>
      </c>
      <c r="I92">
        <v>325241</v>
      </c>
      <c r="J92">
        <v>78024005</v>
      </c>
      <c r="K92">
        <v>0</v>
      </c>
      <c r="L92">
        <v>5.00502</v>
      </c>
      <c r="M92">
        <v>0</v>
      </c>
    </row>
    <row r="93" spans="1:13">
      <c r="A93" t="s">
        <v>7</v>
      </c>
      <c r="B93" t="s">
        <v>25</v>
      </c>
      <c r="C93">
        <v>500</v>
      </c>
      <c r="D93">
        <v>1000</v>
      </c>
      <c r="E93" t="s">
        <v>73</v>
      </c>
      <c r="F93">
        <v>2</v>
      </c>
      <c r="G93">
        <v>65776.800000000003</v>
      </c>
      <c r="H93">
        <v>131.554</v>
      </c>
      <c r="I93">
        <v>329214</v>
      </c>
      <c r="J93">
        <v>78042287</v>
      </c>
      <c r="K93">
        <v>0</v>
      </c>
      <c r="L93">
        <v>5.00502</v>
      </c>
      <c r="M93">
        <v>0</v>
      </c>
    </row>
    <row r="94" spans="1:13">
      <c r="A94" t="s">
        <v>7</v>
      </c>
      <c r="B94" t="s">
        <v>25</v>
      </c>
      <c r="C94">
        <v>500</v>
      </c>
      <c r="D94">
        <v>1000</v>
      </c>
      <c r="E94" t="s">
        <v>73</v>
      </c>
      <c r="F94">
        <v>3</v>
      </c>
      <c r="G94">
        <v>66417.2</v>
      </c>
      <c r="H94">
        <v>132.834</v>
      </c>
      <c r="I94">
        <v>332319</v>
      </c>
      <c r="J94">
        <v>78224033</v>
      </c>
      <c r="K94">
        <v>0</v>
      </c>
      <c r="L94">
        <v>5.0035100000000003</v>
      </c>
      <c r="M94">
        <v>0</v>
      </c>
    </row>
    <row r="95" spans="1:13">
      <c r="A95" t="s">
        <v>7</v>
      </c>
      <c r="B95" t="s">
        <v>25</v>
      </c>
      <c r="C95">
        <v>500</v>
      </c>
      <c r="D95">
        <v>1000</v>
      </c>
      <c r="E95" t="s">
        <v>73</v>
      </c>
      <c r="F95">
        <v>4</v>
      </c>
      <c r="G95">
        <v>65379.9</v>
      </c>
      <c r="H95">
        <v>130.76</v>
      </c>
      <c r="I95">
        <v>327032</v>
      </c>
      <c r="J95">
        <v>78273155</v>
      </c>
      <c r="K95">
        <v>0</v>
      </c>
      <c r="L95">
        <v>5.0020300000000004</v>
      </c>
      <c r="M95">
        <v>0</v>
      </c>
    </row>
    <row r="96" spans="1:13">
      <c r="A96" t="s">
        <v>7</v>
      </c>
      <c r="B96" t="s">
        <v>25</v>
      </c>
      <c r="C96">
        <v>500</v>
      </c>
      <c r="D96">
        <v>1000</v>
      </c>
      <c r="E96" t="s">
        <v>73</v>
      </c>
      <c r="F96">
        <v>5</v>
      </c>
      <c r="G96">
        <v>64406</v>
      </c>
      <c r="H96">
        <v>128.81200000000001</v>
      </c>
      <c r="I96">
        <v>322253</v>
      </c>
      <c r="J96">
        <v>77917383</v>
      </c>
      <c r="K96">
        <v>0</v>
      </c>
      <c r="L96">
        <v>5.0034599999999996</v>
      </c>
      <c r="M96">
        <v>0</v>
      </c>
    </row>
    <row r="97" spans="1:13">
      <c r="A97" t="s">
        <v>7</v>
      </c>
      <c r="B97" t="s">
        <v>25</v>
      </c>
      <c r="C97">
        <v>1000</v>
      </c>
      <c r="D97">
        <v>1000</v>
      </c>
      <c r="E97" t="s">
        <v>73</v>
      </c>
      <c r="F97">
        <v>1</v>
      </c>
      <c r="G97">
        <v>54683.6</v>
      </c>
      <c r="H97">
        <v>54.683599999999998</v>
      </c>
      <c r="I97">
        <v>273683</v>
      </c>
      <c r="J97">
        <v>79079453</v>
      </c>
      <c r="K97">
        <v>0</v>
      </c>
      <c r="L97">
        <v>5.0048500000000002</v>
      </c>
      <c r="M97">
        <v>0</v>
      </c>
    </row>
    <row r="98" spans="1:13">
      <c r="A98" t="s">
        <v>7</v>
      </c>
      <c r="B98" t="s">
        <v>25</v>
      </c>
      <c r="C98">
        <v>1000</v>
      </c>
      <c r="D98">
        <v>1000</v>
      </c>
      <c r="E98" t="s">
        <v>73</v>
      </c>
      <c r="F98">
        <v>2</v>
      </c>
      <c r="G98">
        <v>55756.5</v>
      </c>
      <c r="H98">
        <v>55.756500000000003</v>
      </c>
      <c r="I98">
        <v>279028</v>
      </c>
      <c r="J98">
        <v>79612312</v>
      </c>
      <c r="K98">
        <v>0</v>
      </c>
      <c r="L98">
        <v>5.00441</v>
      </c>
      <c r="M98">
        <v>0</v>
      </c>
    </row>
    <row r="99" spans="1:13">
      <c r="A99" t="s">
        <v>7</v>
      </c>
      <c r="B99" t="s">
        <v>25</v>
      </c>
      <c r="C99">
        <v>1000</v>
      </c>
      <c r="D99">
        <v>1000</v>
      </c>
      <c r="E99" t="s">
        <v>73</v>
      </c>
      <c r="F99">
        <v>3</v>
      </c>
      <c r="G99">
        <v>56885.1</v>
      </c>
      <c r="H99">
        <v>56.885100000000001</v>
      </c>
      <c r="I99">
        <v>284698</v>
      </c>
      <c r="J99">
        <v>80374282</v>
      </c>
      <c r="K99">
        <v>0</v>
      </c>
      <c r="L99">
        <v>5.0047899999999998</v>
      </c>
      <c r="M99">
        <v>0</v>
      </c>
    </row>
    <row r="100" spans="1:13">
      <c r="A100" t="s">
        <v>7</v>
      </c>
      <c r="B100" t="s">
        <v>25</v>
      </c>
      <c r="C100">
        <v>1000</v>
      </c>
      <c r="D100">
        <v>1000</v>
      </c>
      <c r="E100" t="s">
        <v>73</v>
      </c>
      <c r="F100">
        <v>4</v>
      </c>
      <c r="G100">
        <v>55902.8</v>
      </c>
      <c r="H100">
        <v>55.902799999999999</v>
      </c>
      <c r="I100">
        <v>279666</v>
      </c>
      <c r="J100">
        <v>79893700</v>
      </c>
      <c r="K100">
        <v>0</v>
      </c>
      <c r="L100">
        <v>5.0027200000000001</v>
      </c>
      <c r="M100">
        <v>0</v>
      </c>
    </row>
    <row r="101" spans="1:13">
      <c r="A101" t="s">
        <v>7</v>
      </c>
      <c r="B101" t="s">
        <v>25</v>
      </c>
      <c r="C101">
        <v>1000</v>
      </c>
      <c r="D101">
        <v>1000</v>
      </c>
      <c r="E101" t="s">
        <v>73</v>
      </c>
      <c r="F101">
        <v>5</v>
      </c>
      <c r="G101">
        <v>52285</v>
      </c>
      <c r="H101">
        <v>52.284999999999997</v>
      </c>
      <c r="I101">
        <v>261627</v>
      </c>
      <c r="J101">
        <v>75006253</v>
      </c>
      <c r="K101">
        <v>0</v>
      </c>
      <c r="L101">
        <v>5.00387</v>
      </c>
      <c r="M101">
        <v>0</v>
      </c>
    </row>
    <row r="102" spans="1:13">
      <c r="A102" t="s">
        <v>7</v>
      </c>
      <c r="B102" t="s">
        <v>25</v>
      </c>
      <c r="C102">
        <v>1</v>
      </c>
      <c r="D102">
        <v>10000</v>
      </c>
      <c r="E102" t="s">
        <v>73</v>
      </c>
      <c r="F102">
        <v>1</v>
      </c>
      <c r="G102">
        <v>33421.599999999999</v>
      </c>
      <c r="H102">
        <v>33421.599999999999</v>
      </c>
      <c r="I102">
        <v>167142</v>
      </c>
      <c r="J102">
        <v>6654177</v>
      </c>
      <c r="K102">
        <v>0</v>
      </c>
      <c r="L102">
        <v>5.00101</v>
      </c>
      <c r="M102">
        <v>0</v>
      </c>
    </row>
    <row r="103" spans="1:13">
      <c r="A103" t="s">
        <v>7</v>
      </c>
      <c r="B103" t="s">
        <v>25</v>
      </c>
      <c r="C103">
        <v>1</v>
      </c>
      <c r="D103">
        <v>10000</v>
      </c>
      <c r="E103" t="s">
        <v>73</v>
      </c>
      <c r="F103">
        <v>2</v>
      </c>
      <c r="G103">
        <v>34448</v>
      </c>
      <c r="H103">
        <v>34448</v>
      </c>
      <c r="I103">
        <v>172370</v>
      </c>
      <c r="J103">
        <v>6765977</v>
      </c>
      <c r="K103">
        <v>0</v>
      </c>
      <c r="L103">
        <v>5.0037700000000003</v>
      </c>
      <c r="M103">
        <v>0</v>
      </c>
    </row>
    <row r="104" spans="1:13">
      <c r="A104" t="s">
        <v>7</v>
      </c>
      <c r="B104" t="s">
        <v>25</v>
      </c>
      <c r="C104">
        <v>1</v>
      </c>
      <c r="D104">
        <v>10000</v>
      </c>
      <c r="E104" t="s">
        <v>73</v>
      </c>
      <c r="F104">
        <v>3</v>
      </c>
      <c r="G104">
        <v>35629.4</v>
      </c>
      <c r="H104">
        <v>35629.4</v>
      </c>
      <c r="I104">
        <v>178322</v>
      </c>
      <c r="J104">
        <v>6638299</v>
      </c>
      <c r="K104">
        <v>0</v>
      </c>
      <c r="L104">
        <v>5.0049200000000003</v>
      </c>
      <c r="M104">
        <v>0</v>
      </c>
    </row>
    <row r="105" spans="1:13">
      <c r="A105" t="s">
        <v>7</v>
      </c>
      <c r="B105" t="s">
        <v>25</v>
      </c>
      <c r="C105">
        <v>1</v>
      </c>
      <c r="D105">
        <v>10000</v>
      </c>
      <c r="E105" t="s">
        <v>73</v>
      </c>
      <c r="F105">
        <v>4</v>
      </c>
      <c r="G105">
        <v>33339.5</v>
      </c>
      <c r="H105">
        <v>33339.5</v>
      </c>
      <c r="I105">
        <v>166756</v>
      </c>
      <c r="J105">
        <v>6792809</v>
      </c>
      <c r="K105">
        <v>0</v>
      </c>
      <c r="L105">
        <v>5.00176</v>
      </c>
      <c r="M105">
        <v>0</v>
      </c>
    </row>
    <row r="106" spans="1:13">
      <c r="A106" t="s">
        <v>7</v>
      </c>
      <c r="B106" t="s">
        <v>25</v>
      </c>
      <c r="C106">
        <v>1</v>
      </c>
      <c r="D106">
        <v>10000</v>
      </c>
      <c r="E106" t="s">
        <v>73</v>
      </c>
      <c r="F106">
        <v>5</v>
      </c>
      <c r="G106">
        <v>34848.800000000003</v>
      </c>
      <c r="H106">
        <v>34848.800000000003</v>
      </c>
      <c r="I106">
        <v>174419</v>
      </c>
      <c r="J106">
        <v>6689052</v>
      </c>
      <c r="K106">
        <v>0</v>
      </c>
      <c r="L106">
        <v>5.00502</v>
      </c>
      <c r="M106">
        <v>0</v>
      </c>
    </row>
    <row r="107" spans="1:13">
      <c r="A107" t="s">
        <v>7</v>
      </c>
      <c r="B107" t="s">
        <v>25</v>
      </c>
      <c r="C107">
        <v>10</v>
      </c>
      <c r="D107">
        <v>10000</v>
      </c>
      <c r="E107" t="s">
        <v>73</v>
      </c>
      <c r="F107">
        <v>1</v>
      </c>
      <c r="G107">
        <v>259432</v>
      </c>
      <c r="H107">
        <v>25943.200000000001</v>
      </c>
      <c r="I107">
        <v>1297563</v>
      </c>
      <c r="J107">
        <v>25309687</v>
      </c>
      <c r="K107">
        <v>0</v>
      </c>
      <c r="L107">
        <v>5.0015599999999996</v>
      </c>
      <c r="M107">
        <v>0</v>
      </c>
    </row>
    <row r="108" spans="1:13">
      <c r="A108" t="s">
        <v>7</v>
      </c>
      <c r="B108" t="s">
        <v>25</v>
      </c>
      <c r="C108">
        <v>10</v>
      </c>
      <c r="D108">
        <v>10000</v>
      </c>
      <c r="E108" t="s">
        <v>73</v>
      </c>
      <c r="F108">
        <v>2</v>
      </c>
      <c r="G108">
        <v>220388</v>
      </c>
      <c r="H108">
        <v>22038.799999999999</v>
      </c>
      <c r="I108">
        <v>1103040</v>
      </c>
      <c r="J108">
        <v>25437900</v>
      </c>
      <c r="K108">
        <v>0</v>
      </c>
      <c r="L108">
        <v>5.0049900000000003</v>
      </c>
      <c r="M108">
        <v>0</v>
      </c>
    </row>
    <row r="109" spans="1:13">
      <c r="A109" t="s">
        <v>7</v>
      </c>
      <c r="B109" t="s">
        <v>25</v>
      </c>
      <c r="C109">
        <v>10</v>
      </c>
      <c r="D109">
        <v>10000</v>
      </c>
      <c r="E109" t="s">
        <v>73</v>
      </c>
      <c r="F109">
        <v>3</v>
      </c>
      <c r="G109">
        <v>229975</v>
      </c>
      <c r="H109">
        <v>22997.5</v>
      </c>
      <c r="I109">
        <v>1150928</v>
      </c>
      <c r="J109">
        <v>25755312</v>
      </c>
      <c r="K109">
        <v>0</v>
      </c>
      <c r="L109">
        <v>5.0045799999999998</v>
      </c>
      <c r="M109">
        <v>0</v>
      </c>
    </row>
    <row r="110" spans="1:13">
      <c r="A110" t="s">
        <v>7</v>
      </c>
      <c r="B110" t="s">
        <v>25</v>
      </c>
      <c r="C110">
        <v>10</v>
      </c>
      <c r="D110">
        <v>10000</v>
      </c>
      <c r="E110" t="s">
        <v>73</v>
      </c>
      <c r="F110">
        <v>4</v>
      </c>
      <c r="G110">
        <v>227422</v>
      </c>
      <c r="H110">
        <v>22742.2</v>
      </c>
      <c r="I110">
        <v>1138393</v>
      </c>
      <c r="J110">
        <v>25335083</v>
      </c>
      <c r="K110">
        <v>0</v>
      </c>
      <c r="L110">
        <v>5.0056399999999996</v>
      </c>
      <c r="M110">
        <v>0</v>
      </c>
    </row>
    <row r="111" spans="1:13">
      <c r="A111" t="s">
        <v>7</v>
      </c>
      <c r="B111" t="s">
        <v>25</v>
      </c>
      <c r="C111">
        <v>10</v>
      </c>
      <c r="D111">
        <v>10000</v>
      </c>
      <c r="E111" t="s">
        <v>73</v>
      </c>
      <c r="F111">
        <v>5</v>
      </c>
      <c r="G111">
        <v>229008</v>
      </c>
      <c r="H111">
        <v>22900.799999999999</v>
      </c>
      <c r="I111">
        <v>1146165</v>
      </c>
      <c r="J111">
        <v>26341685</v>
      </c>
      <c r="K111">
        <v>0</v>
      </c>
      <c r="L111">
        <v>5.0049200000000003</v>
      </c>
      <c r="M111">
        <v>0</v>
      </c>
    </row>
    <row r="112" spans="1:13">
      <c r="A112" t="s">
        <v>7</v>
      </c>
      <c r="B112" t="s">
        <v>25</v>
      </c>
      <c r="C112">
        <v>100</v>
      </c>
      <c r="D112">
        <v>10000</v>
      </c>
      <c r="E112" t="s">
        <v>73</v>
      </c>
      <c r="F112">
        <v>1</v>
      </c>
      <c r="G112">
        <v>21380.799999999999</v>
      </c>
      <c r="H112">
        <v>213.80799999999999</v>
      </c>
      <c r="I112">
        <v>106970</v>
      </c>
      <c r="J112">
        <v>70393404</v>
      </c>
      <c r="K112">
        <v>0</v>
      </c>
      <c r="L112">
        <v>5.0030900000000003</v>
      </c>
      <c r="M112">
        <v>0</v>
      </c>
    </row>
    <row r="113" spans="1:13">
      <c r="A113" t="s">
        <v>7</v>
      </c>
      <c r="B113" t="s">
        <v>25</v>
      </c>
      <c r="C113">
        <v>100</v>
      </c>
      <c r="D113">
        <v>10000</v>
      </c>
      <c r="E113" t="s">
        <v>73</v>
      </c>
      <c r="F113">
        <v>2</v>
      </c>
      <c r="G113">
        <v>23957.599999999999</v>
      </c>
      <c r="H113">
        <v>239.57599999999999</v>
      </c>
      <c r="I113">
        <v>119908</v>
      </c>
      <c r="J113">
        <v>70225294</v>
      </c>
      <c r="K113">
        <v>0</v>
      </c>
      <c r="L113">
        <v>5.0050100000000004</v>
      </c>
      <c r="M113">
        <v>0</v>
      </c>
    </row>
    <row r="114" spans="1:13">
      <c r="A114" t="s">
        <v>7</v>
      </c>
      <c r="B114" t="s">
        <v>25</v>
      </c>
      <c r="C114">
        <v>100</v>
      </c>
      <c r="D114">
        <v>10000</v>
      </c>
      <c r="E114" t="s">
        <v>73</v>
      </c>
      <c r="F114">
        <v>3</v>
      </c>
      <c r="G114">
        <v>24691.8</v>
      </c>
      <c r="H114">
        <v>246.91800000000001</v>
      </c>
      <c r="I114">
        <v>123578</v>
      </c>
      <c r="J114">
        <v>69674545</v>
      </c>
      <c r="K114">
        <v>0</v>
      </c>
      <c r="L114">
        <v>5.00481</v>
      </c>
      <c r="M114">
        <v>0</v>
      </c>
    </row>
    <row r="115" spans="1:13">
      <c r="A115" t="s">
        <v>7</v>
      </c>
      <c r="B115" t="s">
        <v>25</v>
      </c>
      <c r="C115">
        <v>100</v>
      </c>
      <c r="D115">
        <v>10000</v>
      </c>
      <c r="E115" t="s">
        <v>73</v>
      </c>
      <c r="F115">
        <v>4</v>
      </c>
      <c r="G115">
        <v>25610.5</v>
      </c>
      <c r="H115">
        <v>256.10500000000002</v>
      </c>
      <c r="I115">
        <v>128181</v>
      </c>
      <c r="J115">
        <v>67053136</v>
      </c>
      <c r="K115">
        <v>0</v>
      </c>
      <c r="L115">
        <v>5.0050299999999996</v>
      </c>
      <c r="M115">
        <v>0</v>
      </c>
    </row>
    <row r="116" spans="1:13">
      <c r="A116" t="s">
        <v>7</v>
      </c>
      <c r="B116" t="s">
        <v>25</v>
      </c>
      <c r="C116">
        <v>100</v>
      </c>
      <c r="D116">
        <v>10000</v>
      </c>
      <c r="E116" t="s">
        <v>73</v>
      </c>
      <c r="F116">
        <v>5</v>
      </c>
      <c r="G116">
        <v>24333.8</v>
      </c>
      <c r="H116">
        <v>243.33799999999999</v>
      </c>
      <c r="I116">
        <v>121750</v>
      </c>
      <c r="J116">
        <v>68602830</v>
      </c>
      <c r="K116">
        <v>0</v>
      </c>
      <c r="L116">
        <v>5.0033399999999997</v>
      </c>
      <c r="M116">
        <v>0</v>
      </c>
    </row>
    <row r="117" spans="1:13">
      <c r="A117" t="s">
        <v>7</v>
      </c>
      <c r="B117" t="s">
        <v>25</v>
      </c>
      <c r="C117">
        <v>500</v>
      </c>
      <c r="D117">
        <v>10000</v>
      </c>
      <c r="E117" t="s">
        <v>73</v>
      </c>
      <c r="F117">
        <v>1</v>
      </c>
      <c r="G117">
        <v>52647.7</v>
      </c>
      <c r="H117">
        <v>105.295</v>
      </c>
      <c r="I117">
        <v>263306</v>
      </c>
      <c r="J117">
        <v>77088162</v>
      </c>
      <c r="K117">
        <v>0</v>
      </c>
      <c r="L117">
        <v>5.0012800000000004</v>
      </c>
      <c r="M117">
        <v>0</v>
      </c>
    </row>
    <row r="118" spans="1:13">
      <c r="A118" t="s">
        <v>7</v>
      </c>
      <c r="B118" t="s">
        <v>25</v>
      </c>
      <c r="C118">
        <v>500</v>
      </c>
      <c r="D118">
        <v>10000</v>
      </c>
      <c r="E118" t="s">
        <v>73</v>
      </c>
      <c r="F118">
        <v>2</v>
      </c>
      <c r="G118">
        <v>52214.7</v>
      </c>
      <c r="H118">
        <v>104.429</v>
      </c>
      <c r="I118">
        <v>261335</v>
      </c>
      <c r="J118">
        <v>76961498</v>
      </c>
      <c r="K118">
        <v>0</v>
      </c>
      <c r="L118">
        <v>5.0050100000000004</v>
      </c>
      <c r="M118">
        <v>0</v>
      </c>
    </row>
    <row r="119" spans="1:13">
      <c r="A119" t="s">
        <v>7</v>
      </c>
      <c r="B119" t="s">
        <v>25</v>
      </c>
      <c r="C119">
        <v>500</v>
      </c>
      <c r="D119">
        <v>10000</v>
      </c>
      <c r="E119" t="s">
        <v>73</v>
      </c>
      <c r="F119">
        <v>3</v>
      </c>
      <c r="G119">
        <v>52590.6</v>
      </c>
      <c r="H119">
        <v>105.181</v>
      </c>
      <c r="I119">
        <v>263083</v>
      </c>
      <c r="J119">
        <v>76299202</v>
      </c>
      <c r="K119">
        <v>0</v>
      </c>
      <c r="L119">
        <v>5.0024699999999998</v>
      </c>
      <c r="M119">
        <v>0</v>
      </c>
    </row>
    <row r="120" spans="1:13">
      <c r="A120" t="s">
        <v>7</v>
      </c>
      <c r="B120" t="s">
        <v>25</v>
      </c>
      <c r="C120">
        <v>500</v>
      </c>
      <c r="D120">
        <v>10000</v>
      </c>
      <c r="E120" t="s">
        <v>73</v>
      </c>
      <c r="F120">
        <v>4</v>
      </c>
      <c r="G120">
        <v>51818.7</v>
      </c>
      <c r="H120">
        <v>103.637</v>
      </c>
      <c r="I120">
        <v>259231</v>
      </c>
      <c r="J120">
        <v>76551157</v>
      </c>
      <c r="K120">
        <v>0</v>
      </c>
      <c r="L120">
        <v>5.00265</v>
      </c>
      <c r="M120">
        <v>0</v>
      </c>
    </row>
    <row r="121" spans="1:13">
      <c r="A121" t="s">
        <v>7</v>
      </c>
      <c r="B121" t="s">
        <v>25</v>
      </c>
      <c r="C121">
        <v>500</v>
      </c>
      <c r="D121">
        <v>10000</v>
      </c>
      <c r="E121" t="s">
        <v>73</v>
      </c>
      <c r="F121">
        <v>5</v>
      </c>
      <c r="G121">
        <v>52312</v>
      </c>
      <c r="H121">
        <v>104.624</v>
      </c>
      <c r="I121">
        <v>261566</v>
      </c>
      <c r="J121">
        <v>76492121</v>
      </c>
      <c r="K121">
        <v>0</v>
      </c>
      <c r="L121">
        <v>5.0001199999999999</v>
      </c>
      <c r="M121">
        <v>0</v>
      </c>
    </row>
    <row r="122" spans="1:13">
      <c r="A122" t="s">
        <v>7</v>
      </c>
      <c r="B122" t="s">
        <v>25</v>
      </c>
      <c r="C122">
        <v>1000</v>
      </c>
      <c r="D122">
        <v>10000</v>
      </c>
      <c r="E122" t="s">
        <v>73</v>
      </c>
      <c r="F122">
        <v>1</v>
      </c>
      <c r="G122">
        <v>26063.599999999999</v>
      </c>
      <c r="H122">
        <v>26.063600000000001</v>
      </c>
      <c r="I122">
        <v>130438</v>
      </c>
      <c r="J122">
        <v>79664578</v>
      </c>
      <c r="K122">
        <v>0</v>
      </c>
      <c r="L122">
        <v>5.0046099999999996</v>
      </c>
      <c r="M122">
        <v>0</v>
      </c>
    </row>
    <row r="123" spans="1:13">
      <c r="A123" t="s">
        <v>7</v>
      </c>
      <c r="B123" t="s">
        <v>25</v>
      </c>
      <c r="C123">
        <v>1000</v>
      </c>
      <c r="D123">
        <v>10000</v>
      </c>
      <c r="E123" t="s">
        <v>73</v>
      </c>
      <c r="F123">
        <v>2</v>
      </c>
      <c r="G123">
        <v>25962.9</v>
      </c>
      <c r="H123">
        <v>25.962900000000001</v>
      </c>
      <c r="I123">
        <v>129935</v>
      </c>
      <c r="J123">
        <v>80136875</v>
      </c>
      <c r="K123">
        <v>0</v>
      </c>
      <c r="L123">
        <v>5.0046400000000002</v>
      </c>
      <c r="M123">
        <v>0</v>
      </c>
    </row>
    <row r="124" spans="1:13">
      <c r="A124" t="s">
        <v>7</v>
      </c>
      <c r="B124" t="s">
        <v>25</v>
      </c>
      <c r="C124">
        <v>1000</v>
      </c>
      <c r="D124">
        <v>10000</v>
      </c>
      <c r="E124" t="s">
        <v>73</v>
      </c>
      <c r="F124">
        <v>3</v>
      </c>
      <c r="G124">
        <v>26019.8</v>
      </c>
      <c r="H124">
        <v>26.0198</v>
      </c>
      <c r="I124">
        <v>130224</v>
      </c>
      <c r="J124">
        <v>80061956</v>
      </c>
      <c r="K124">
        <v>0</v>
      </c>
      <c r="L124">
        <v>5.0048000000000004</v>
      </c>
      <c r="M124">
        <v>0</v>
      </c>
    </row>
    <row r="125" spans="1:13">
      <c r="A125" t="s">
        <v>7</v>
      </c>
      <c r="B125" t="s">
        <v>25</v>
      </c>
      <c r="C125">
        <v>1000</v>
      </c>
      <c r="D125">
        <v>10000</v>
      </c>
      <c r="E125" t="s">
        <v>73</v>
      </c>
      <c r="F125">
        <v>4</v>
      </c>
      <c r="G125">
        <v>26190.799999999999</v>
      </c>
      <c r="H125">
        <v>26.190799999999999</v>
      </c>
      <c r="I125">
        <v>131028</v>
      </c>
      <c r="J125">
        <v>79990427</v>
      </c>
      <c r="K125">
        <v>0</v>
      </c>
      <c r="L125">
        <v>5.0028300000000003</v>
      </c>
      <c r="M125">
        <v>0</v>
      </c>
    </row>
    <row r="126" spans="1:13">
      <c r="A126" t="s">
        <v>7</v>
      </c>
      <c r="B126" t="s">
        <v>25</v>
      </c>
      <c r="C126">
        <v>1000</v>
      </c>
      <c r="D126">
        <v>10000</v>
      </c>
      <c r="E126" t="s">
        <v>73</v>
      </c>
      <c r="F126">
        <v>5</v>
      </c>
      <c r="G126">
        <v>26358.2</v>
      </c>
      <c r="H126">
        <v>26.3582</v>
      </c>
      <c r="I126">
        <v>131912</v>
      </c>
      <c r="J126">
        <v>78052558</v>
      </c>
      <c r="K126">
        <v>0</v>
      </c>
      <c r="L126">
        <v>5.0045900000000003</v>
      </c>
      <c r="M126">
        <v>0</v>
      </c>
    </row>
    <row r="127" spans="1:13">
      <c r="A127" t="s">
        <v>7</v>
      </c>
      <c r="B127" t="s">
        <v>25</v>
      </c>
      <c r="C127">
        <v>1</v>
      </c>
      <c r="D127">
        <v>100000</v>
      </c>
      <c r="E127" t="s">
        <v>73</v>
      </c>
      <c r="F127">
        <v>1</v>
      </c>
      <c r="G127">
        <v>24275.4</v>
      </c>
      <c r="H127">
        <v>24275.4</v>
      </c>
      <c r="I127">
        <v>121477</v>
      </c>
      <c r="J127">
        <v>715937</v>
      </c>
      <c r="K127">
        <v>0</v>
      </c>
      <c r="L127">
        <v>5.0041200000000003</v>
      </c>
      <c r="M127">
        <v>0</v>
      </c>
    </row>
    <row r="128" spans="1:13">
      <c r="A128" t="s">
        <v>7</v>
      </c>
      <c r="B128" t="s">
        <v>25</v>
      </c>
      <c r="C128">
        <v>1</v>
      </c>
      <c r="D128">
        <v>100000</v>
      </c>
      <c r="E128" t="s">
        <v>73</v>
      </c>
      <c r="F128">
        <v>2</v>
      </c>
      <c r="G128">
        <v>25231</v>
      </c>
      <c r="H128">
        <v>25231</v>
      </c>
      <c r="I128">
        <v>126261</v>
      </c>
      <c r="J128">
        <v>660474</v>
      </c>
      <c r="K128">
        <v>0</v>
      </c>
      <c r="L128">
        <v>5.0041900000000004</v>
      </c>
      <c r="M128">
        <v>0</v>
      </c>
    </row>
    <row r="129" spans="1:13">
      <c r="A129" t="s">
        <v>7</v>
      </c>
      <c r="B129" t="s">
        <v>25</v>
      </c>
      <c r="C129">
        <v>1</v>
      </c>
      <c r="D129">
        <v>100000</v>
      </c>
      <c r="E129" t="s">
        <v>73</v>
      </c>
      <c r="F129">
        <v>3</v>
      </c>
      <c r="G129">
        <v>24167.3</v>
      </c>
      <c r="H129">
        <v>24167.3</v>
      </c>
      <c r="I129">
        <v>120911</v>
      </c>
      <c r="J129">
        <v>722531</v>
      </c>
      <c r="K129">
        <v>0</v>
      </c>
      <c r="L129">
        <v>5.0030900000000003</v>
      </c>
      <c r="M129">
        <v>0</v>
      </c>
    </row>
    <row r="130" spans="1:13">
      <c r="A130" t="s">
        <v>7</v>
      </c>
      <c r="B130" t="s">
        <v>25</v>
      </c>
      <c r="C130">
        <v>1</v>
      </c>
      <c r="D130">
        <v>100000</v>
      </c>
      <c r="E130" t="s">
        <v>73</v>
      </c>
      <c r="F130">
        <v>4</v>
      </c>
      <c r="G130">
        <v>24257.8</v>
      </c>
      <c r="H130">
        <v>24257.8</v>
      </c>
      <c r="I130">
        <v>121394</v>
      </c>
      <c r="J130">
        <v>725619</v>
      </c>
      <c r="K130">
        <v>0</v>
      </c>
      <c r="L130">
        <v>5.00434</v>
      </c>
      <c r="M130">
        <v>0</v>
      </c>
    </row>
    <row r="131" spans="1:13">
      <c r="A131" t="s">
        <v>7</v>
      </c>
      <c r="B131" t="s">
        <v>25</v>
      </c>
      <c r="C131">
        <v>1</v>
      </c>
      <c r="D131">
        <v>100000</v>
      </c>
      <c r="E131" t="s">
        <v>73</v>
      </c>
      <c r="F131">
        <v>5</v>
      </c>
      <c r="G131">
        <v>24524.3</v>
      </c>
      <c r="H131">
        <v>24524.3</v>
      </c>
      <c r="I131">
        <v>122719</v>
      </c>
      <c r="J131">
        <v>721232</v>
      </c>
      <c r="K131">
        <v>0</v>
      </c>
      <c r="L131">
        <v>5.0039800000000003</v>
      </c>
      <c r="M131">
        <v>0</v>
      </c>
    </row>
    <row r="132" spans="1:13">
      <c r="A132" t="s">
        <v>7</v>
      </c>
      <c r="B132" t="s">
        <v>25</v>
      </c>
      <c r="C132">
        <v>10</v>
      </c>
      <c r="D132">
        <v>100000</v>
      </c>
      <c r="E132" t="s">
        <v>73</v>
      </c>
      <c r="F132">
        <v>1</v>
      </c>
      <c r="G132">
        <v>141959</v>
      </c>
      <c r="H132">
        <v>14195.9</v>
      </c>
      <c r="I132">
        <v>710379</v>
      </c>
      <c r="J132">
        <v>3523264</v>
      </c>
      <c r="K132">
        <v>0</v>
      </c>
      <c r="L132">
        <v>5.0041200000000003</v>
      </c>
      <c r="M132">
        <v>0</v>
      </c>
    </row>
    <row r="133" spans="1:13">
      <c r="A133" t="s">
        <v>7</v>
      </c>
      <c r="B133" t="s">
        <v>25</v>
      </c>
      <c r="C133">
        <v>10</v>
      </c>
      <c r="D133">
        <v>100000</v>
      </c>
      <c r="E133" t="s">
        <v>73</v>
      </c>
      <c r="F133">
        <v>2</v>
      </c>
      <c r="G133">
        <v>141354</v>
      </c>
      <c r="H133">
        <v>14135.4</v>
      </c>
      <c r="I133">
        <v>707194</v>
      </c>
      <c r="J133">
        <v>3448930</v>
      </c>
      <c r="K133">
        <v>0</v>
      </c>
      <c r="L133">
        <v>5.0029899999999996</v>
      </c>
      <c r="M133">
        <v>0</v>
      </c>
    </row>
    <row r="134" spans="1:13">
      <c r="A134" t="s">
        <v>7</v>
      </c>
      <c r="B134" t="s">
        <v>25</v>
      </c>
      <c r="C134">
        <v>10</v>
      </c>
      <c r="D134">
        <v>100000</v>
      </c>
      <c r="E134" t="s">
        <v>73</v>
      </c>
      <c r="F134">
        <v>3</v>
      </c>
      <c r="G134">
        <v>143446</v>
      </c>
      <c r="H134">
        <v>14344.6</v>
      </c>
      <c r="I134">
        <v>717812</v>
      </c>
      <c r="J134">
        <v>3548328</v>
      </c>
      <c r="K134">
        <v>0</v>
      </c>
      <c r="L134">
        <v>5.0040500000000003</v>
      </c>
      <c r="M134">
        <v>0</v>
      </c>
    </row>
    <row r="135" spans="1:13">
      <c r="A135" t="s">
        <v>7</v>
      </c>
      <c r="B135" t="s">
        <v>25</v>
      </c>
      <c r="C135">
        <v>10</v>
      </c>
      <c r="D135">
        <v>100000</v>
      </c>
      <c r="E135" t="s">
        <v>73</v>
      </c>
      <c r="F135">
        <v>4</v>
      </c>
      <c r="G135">
        <v>141160</v>
      </c>
      <c r="H135">
        <v>14116</v>
      </c>
      <c r="I135">
        <v>705905</v>
      </c>
      <c r="J135">
        <v>3530755</v>
      </c>
      <c r="K135">
        <v>0</v>
      </c>
      <c r="L135">
        <v>5.00075</v>
      </c>
      <c r="M135">
        <v>0</v>
      </c>
    </row>
    <row r="136" spans="1:13">
      <c r="A136" t="s">
        <v>7</v>
      </c>
      <c r="B136" t="s">
        <v>25</v>
      </c>
      <c r="C136">
        <v>10</v>
      </c>
      <c r="D136">
        <v>100000</v>
      </c>
      <c r="E136" t="s">
        <v>73</v>
      </c>
      <c r="F136">
        <v>5</v>
      </c>
      <c r="G136">
        <v>140347</v>
      </c>
      <c r="H136">
        <v>14034.7</v>
      </c>
      <c r="I136">
        <v>701948</v>
      </c>
      <c r="J136">
        <v>3530472</v>
      </c>
      <c r="K136">
        <v>0</v>
      </c>
      <c r="L136">
        <v>5.0015299999999998</v>
      </c>
      <c r="M136">
        <v>0</v>
      </c>
    </row>
    <row r="137" spans="1:13">
      <c r="A137" t="s">
        <v>7</v>
      </c>
      <c r="B137" t="s">
        <v>25</v>
      </c>
      <c r="C137">
        <v>100</v>
      </c>
      <c r="D137">
        <v>100000</v>
      </c>
      <c r="E137" t="s">
        <v>73</v>
      </c>
      <c r="F137">
        <v>1</v>
      </c>
      <c r="G137">
        <v>221556</v>
      </c>
      <c r="H137">
        <v>2215.56</v>
      </c>
      <c r="I137">
        <v>1108820</v>
      </c>
      <c r="J137">
        <v>13156960</v>
      </c>
      <c r="K137">
        <v>0</v>
      </c>
      <c r="L137">
        <v>5.0046999999999997</v>
      </c>
      <c r="M137">
        <v>0</v>
      </c>
    </row>
    <row r="138" spans="1:13">
      <c r="A138" t="s">
        <v>7</v>
      </c>
      <c r="B138" t="s">
        <v>25</v>
      </c>
      <c r="C138">
        <v>100</v>
      </c>
      <c r="D138">
        <v>100000</v>
      </c>
      <c r="E138" t="s">
        <v>73</v>
      </c>
      <c r="F138">
        <v>2</v>
      </c>
      <c r="G138">
        <v>218936</v>
      </c>
      <c r="H138">
        <v>2189.36</v>
      </c>
      <c r="I138">
        <v>1094982</v>
      </c>
      <c r="J138">
        <v>13344558</v>
      </c>
      <c r="K138">
        <v>0</v>
      </c>
      <c r="L138">
        <v>5.0013800000000002</v>
      </c>
      <c r="M138">
        <v>0</v>
      </c>
    </row>
    <row r="139" spans="1:13">
      <c r="A139" t="s">
        <v>7</v>
      </c>
      <c r="B139" t="s">
        <v>25</v>
      </c>
      <c r="C139">
        <v>100</v>
      </c>
      <c r="D139">
        <v>100000</v>
      </c>
      <c r="E139" t="s">
        <v>73</v>
      </c>
      <c r="F139">
        <v>3</v>
      </c>
      <c r="G139">
        <v>218200</v>
      </c>
      <c r="H139">
        <v>2182</v>
      </c>
      <c r="I139">
        <v>1092094</v>
      </c>
      <c r="J139">
        <v>13491007</v>
      </c>
      <c r="K139">
        <v>0</v>
      </c>
      <c r="L139">
        <v>5.0050100000000004</v>
      </c>
      <c r="M139">
        <v>0</v>
      </c>
    </row>
    <row r="140" spans="1:13">
      <c r="A140" t="s">
        <v>7</v>
      </c>
      <c r="B140" t="s">
        <v>25</v>
      </c>
      <c r="C140">
        <v>100</v>
      </c>
      <c r="D140">
        <v>100000</v>
      </c>
      <c r="E140" t="s">
        <v>73</v>
      </c>
      <c r="F140">
        <v>4</v>
      </c>
      <c r="G140">
        <v>220808</v>
      </c>
      <c r="H140">
        <v>2208.08</v>
      </c>
      <c r="I140">
        <v>1105027</v>
      </c>
      <c r="J140">
        <v>13044859</v>
      </c>
      <c r="K140">
        <v>0</v>
      </c>
      <c r="L140">
        <v>5.00448</v>
      </c>
      <c r="M140">
        <v>0</v>
      </c>
    </row>
    <row r="141" spans="1:13">
      <c r="A141" t="s">
        <v>7</v>
      </c>
      <c r="B141" t="s">
        <v>25</v>
      </c>
      <c r="C141">
        <v>100</v>
      </c>
      <c r="D141">
        <v>100000</v>
      </c>
      <c r="E141" t="s">
        <v>73</v>
      </c>
      <c r="F141">
        <v>5</v>
      </c>
      <c r="G141">
        <v>221380</v>
      </c>
      <c r="H141">
        <v>2213.8000000000002</v>
      </c>
      <c r="I141">
        <v>1107860</v>
      </c>
      <c r="J141">
        <v>12968626</v>
      </c>
      <c r="K141">
        <v>0</v>
      </c>
      <c r="L141">
        <v>5.0043300000000004</v>
      </c>
      <c r="M141">
        <v>0</v>
      </c>
    </row>
    <row r="142" spans="1:13">
      <c r="A142" t="s">
        <v>7</v>
      </c>
      <c r="B142" t="s">
        <v>25</v>
      </c>
      <c r="C142">
        <v>500</v>
      </c>
      <c r="D142">
        <v>100000</v>
      </c>
      <c r="E142" t="s">
        <v>73</v>
      </c>
      <c r="F142">
        <v>1</v>
      </c>
      <c r="G142">
        <v>51577.4</v>
      </c>
      <c r="H142">
        <v>103.155</v>
      </c>
      <c r="I142">
        <v>258146</v>
      </c>
      <c r="J142">
        <v>59715462</v>
      </c>
      <c r="K142">
        <v>0</v>
      </c>
      <c r="L142">
        <v>5.00502</v>
      </c>
      <c r="M142">
        <v>0</v>
      </c>
    </row>
    <row r="143" spans="1:13">
      <c r="A143" t="s">
        <v>7</v>
      </c>
      <c r="B143" t="s">
        <v>25</v>
      </c>
      <c r="C143">
        <v>500</v>
      </c>
      <c r="D143">
        <v>100000</v>
      </c>
      <c r="E143" t="s">
        <v>73</v>
      </c>
      <c r="F143">
        <v>2</v>
      </c>
      <c r="G143">
        <v>49733</v>
      </c>
      <c r="H143">
        <v>99.465999999999994</v>
      </c>
      <c r="I143">
        <v>248743</v>
      </c>
      <c r="J143">
        <v>60050338</v>
      </c>
      <c r="K143">
        <v>0</v>
      </c>
      <c r="L143">
        <v>5.0015700000000001</v>
      </c>
      <c r="M143">
        <v>0</v>
      </c>
    </row>
    <row r="144" spans="1:13">
      <c r="A144" t="s">
        <v>7</v>
      </c>
      <c r="B144" t="s">
        <v>25</v>
      </c>
      <c r="C144">
        <v>500</v>
      </c>
      <c r="D144">
        <v>100000</v>
      </c>
      <c r="E144" t="s">
        <v>73</v>
      </c>
      <c r="F144">
        <v>3</v>
      </c>
      <c r="G144">
        <v>58745.2</v>
      </c>
      <c r="H144">
        <v>117.49</v>
      </c>
      <c r="I144">
        <v>293926</v>
      </c>
      <c r="J144">
        <v>58701026</v>
      </c>
      <c r="K144">
        <v>0</v>
      </c>
      <c r="L144">
        <v>5.0034099999999997</v>
      </c>
      <c r="M144">
        <v>0</v>
      </c>
    </row>
    <row r="145" spans="1:13">
      <c r="A145" t="s">
        <v>7</v>
      </c>
      <c r="B145" t="s">
        <v>25</v>
      </c>
      <c r="C145">
        <v>500</v>
      </c>
      <c r="D145">
        <v>100000</v>
      </c>
      <c r="E145" t="s">
        <v>73</v>
      </c>
      <c r="F145">
        <v>4</v>
      </c>
      <c r="G145">
        <v>61982.6</v>
      </c>
      <c r="H145">
        <v>123.965</v>
      </c>
      <c r="I145">
        <v>310224</v>
      </c>
      <c r="J145">
        <v>57954305</v>
      </c>
      <c r="K145">
        <v>0</v>
      </c>
      <c r="L145">
        <v>5.0050100000000004</v>
      </c>
      <c r="M145">
        <v>0</v>
      </c>
    </row>
    <row r="146" spans="1:13">
      <c r="A146" t="s">
        <v>7</v>
      </c>
      <c r="B146" t="s">
        <v>25</v>
      </c>
      <c r="C146">
        <v>500</v>
      </c>
      <c r="D146">
        <v>100000</v>
      </c>
      <c r="E146" t="s">
        <v>73</v>
      </c>
      <c r="F146">
        <v>5</v>
      </c>
      <c r="G146">
        <v>59062.400000000001</v>
      </c>
      <c r="H146">
        <v>118.125</v>
      </c>
      <c r="I146">
        <v>295609</v>
      </c>
      <c r="J146">
        <v>58581457</v>
      </c>
      <c r="K146">
        <v>0</v>
      </c>
      <c r="L146">
        <v>5.0050299999999996</v>
      </c>
      <c r="M146">
        <v>0</v>
      </c>
    </row>
    <row r="147" spans="1:13">
      <c r="A147" t="s">
        <v>7</v>
      </c>
      <c r="B147" t="s">
        <v>25</v>
      </c>
      <c r="C147">
        <v>1000</v>
      </c>
      <c r="D147">
        <v>100000</v>
      </c>
      <c r="E147" t="s">
        <v>73</v>
      </c>
      <c r="F147">
        <v>1</v>
      </c>
      <c r="G147">
        <v>10914.3</v>
      </c>
      <c r="H147">
        <v>10.914300000000001</v>
      </c>
      <c r="I147">
        <v>54616</v>
      </c>
      <c r="J147">
        <v>73291553</v>
      </c>
      <c r="K147">
        <v>0</v>
      </c>
      <c r="L147">
        <v>5.0040699999999996</v>
      </c>
      <c r="M147">
        <v>0</v>
      </c>
    </row>
    <row r="148" spans="1:13">
      <c r="A148" t="s">
        <v>7</v>
      </c>
      <c r="B148" t="s">
        <v>25</v>
      </c>
      <c r="C148">
        <v>1000</v>
      </c>
      <c r="D148">
        <v>100000</v>
      </c>
      <c r="E148" t="s">
        <v>73</v>
      </c>
      <c r="F148">
        <v>2</v>
      </c>
      <c r="G148">
        <v>12251.5</v>
      </c>
      <c r="H148">
        <v>12.2515</v>
      </c>
      <c r="I148">
        <v>61319</v>
      </c>
      <c r="J148">
        <v>72583025</v>
      </c>
      <c r="K148">
        <v>0</v>
      </c>
      <c r="L148">
        <v>5.00502</v>
      </c>
      <c r="M148">
        <v>0</v>
      </c>
    </row>
    <row r="149" spans="1:13">
      <c r="A149" t="s">
        <v>7</v>
      </c>
      <c r="B149" t="s">
        <v>25</v>
      </c>
      <c r="C149">
        <v>1000</v>
      </c>
      <c r="D149">
        <v>100000</v>
      </c>
      <c r="E149" t="s">
        <v>73</v>
      </c>
      <c r="F149">
        <v>3</v>
      </c>
      <c r="G149">
        <v>11974.1</v>
      </c>
      <c r="H149">
        <v>11.9741</v>
      </c>
      <c r="I149">
        <v>59921</v>
      </c>
      <c r="J149">
        <v>71049115</v>
      </c>
      <c r="K149">
        <v>0</v>
      </c>
      <c r="L149">
        <v>5.0042200000000001</v>
      </c>
      <c r="M149">
        <v>0</v>
      </c>
    </row>
    <row r="150" spans="1:13">
      <c r="A150" t="s">
        <v>7</v>
      </c>
      <c r="B150" t="s">
        <v>25</v>
      </c>
      <c r="C150">
        <v>1000</v>
      </c>
      <c r="D150">
        <v>100000</v>
      </c>
      <c r="E150" t="s">
        <v>73</v>
      </c>
      <c r="F150">
        <v>4</v>
      </c>
      <c r="G150">
        <v>10861.2</v>
      </c>
      <c r="H150">
        <v>10.8612</v>
      </c>
      <c r="I150">
        <v>54353</v>
      </c>
      <c r="J150">
        <v>72876992</v>
      </c>
      <c r="K150">
        <v>0</v>
      </c>
      <c r="L150">
        <v>5.0043100000000003</v>
      </c>
      <c r="M150">
        <v>0</v>
      </c>
    </row>
    <row r="151" spans="1:13">
      <c r="A151" t="s">
        <v>7</v>
      </c>
      <c r="B151" t="s">
        <v>25</v>
      </c>
      <c r="C151">
        <v>1000</v>
      </c>
      <c r="D151">
        <v>100000</v>
      </c>
      <c r="E151" t="s">
        <v>73</v>
      </c>
      <c r="F151">
        <v>5</v>
      </c>
      <c r="G151">
        <v>10771</v>
      </c>
      <c r="H151">
        <v>10.771000000000001</v>
      </c>
      <c r="I151">
        <v>53909</v>
      </c>
      <c r="J151">
        <v>73583514</v>
      </c>
      <c r="K151">
        <v>0</v>
      </c>
      <c r="L151">
        <v>5.0050100000000004</v>
      </c>
      <c r="M151">
        <v>0</v>
      </c>
    </row>
    <row r="152" spans="1:13">
      <c r="A152" t="s">
        <v>8</v>
      </c>
      <c r="B152" t="s">
        <v>25</v>
      </c>
      <c r="C152">
        <v>1</v>
      </c>
      <c r="D152">
        <v>1</v>
      </c>
      <c r="E152" t="s">
        <v>73</v>
      </c>
      <c r="F152">
        <v>1</v>
      </c>
      <c r="G152">
        <v>108902</v>
      </c>
      <c r="H152">
        <v>108902</v>
      </c>
      <c r="I152">
        <v>544604</v>
      </c>
      <c r="J152">
        <v>353</v>
      </c>
      <c r="K152">
        <v>0</v>
      </c>
      <c r="L152">
        <v>5.0008499999999998</v>
      </c>
      <c r="M152">
        <v>144</v>
      </c>
    </row>
    <row r="153" spans="1:13">
      <c r="A153" t="s">
        <v>8</v>
      </c>
      <c r="B153" t="s">
        <v>25</v>
      </c>
      <c r="C153">
        <v>1</v>
      </c>
      <c r="D153">
        <v>1</v>
      </c>
      <c r="E153" t="s">
        <v>73</v>
      </c>
      <c r="F153">
        <v>2</v>
      </c>
      <c r="G153">
        <v>101299</v>
      </c>
      <c r="H153">
        <v>101299</v>
      </c>
      <c r="I153">
        <v>506957</v>
      </c>
      <c r="J153">
        <v>6394</v>
      </c>
      <c r="K153">
        <v>0</v>
      </c>
      <c r="L153">
        <v>5.0045400000000004</v>
      </c>
      <c r="M153">
        <v>144</v>
      </c>
    </row>
    <row r="154" spans="1:13">
      <c r="A154" t="s">
        <v>8</v>
      </c>
      <c r="B154" t="s">
        <v>25</v>
      </c>
      <c r="C154">
        <v>1</v>
      </c>
      <c r="D154">
        <v>1</v>
      </c>
      <c r="E154" t="s">
        <v>73</v>
      </c>
      <c r="F154">
        <v>3</v>
      </c>
      <c r="G154">
        <v>109244</v>
      </c>
      <c r="H154">
        <v>109244</v>
      </c>
      <c r="I154">
        <v>546716</v>
      </c>
      <c r="J154">
        <v>703</v>
      </c>
      <c r="K154">
        <v>0</v>
      </c>
      <c r="L154">
        <v>5.0045599999999997</v>
      </c>
      <c r="M154">
        <v>144</v>
      </c>
    </row>
    <row r="155" spans="1:13">
      <c r="A155" t="s">
        <v>8</v>
      </c>
      <c r="B155" t="s">
        <v>25</v>
      </c>
      <c r="C155">
        <v>1</v>
      </c>
      <c r="D155">
        <v>1</v>
      </c>
      <c r="E155" t="s">
        <v>73</v>
      </c>
      <c r="F155">
        <v>4</v>
      </c>
      <c r="G155">
        <v>108316</v>
      </c>
      <c r="H155">
        <v>108316</v>
      </c>
      <c r="I155">
        <v>542125</v>
      </c>
      <c r="J155">
        <v>880</v>
      </c>
      <c r="K155">
        <v>0</v>
      </c>
      <c r="L155">
        <v>5.00502</v>
      </c>
      <c r="M155">
        <v>144</v>
      </c>
    </row>
    <row r="156" spans="1:13">
      <c r="A156" t="s">
        <v>8</v>
      </c>
      <c r="B156" t="s">
        <v>25</v>
      </c>
      <c r="C156">
        <v>1</v>
      </c>
      <c r="D156">
        <v>1</v>
      </c>
      <c r="E156" t="s">
        <v>73</v>
      </c>
      <c r="F156">
        <v>5</v>
      </c>
      <c r="G156">
        <v>108481</v>
      </c>
      <c r="H156">
        <v>108481</v>
      </c>
      <c r="I156">
        <v>542949</v>
      </c>
      <c r="J156">
        <v>377</v>
      </c>
      <c r="K156">
        <v>0</v>
      </c>
      <c r="L156">
        <v>5.00502</v>
      </c>
      <c r="M156">
        <v>144</v>
      </c>
    </row>
    <row r="157" spans="1:13">
      <c r="A157" t="s">
        <v>8</v>
      </c>
      <c r="B157" t="s">
        <v>25</v>
      </c>
      <c r="C157">
        <v>10</v>
      </c>
      <c r="D157">
        <v>1</v>
      </c>
      <c r="E157" t="s">
        <v>73</v>
      </c>
      <c r="F157">
        <v>1</v>
      </c>
      <c r="G157">
        <v>77762.7</v>
      </c>
      <c r="H157">
        <v>7776.27</v>
      </c>
      <c r="I157">
        <v>388964</v>
      </c>
      <c r="J157">
        <v>2323574</v>
      </c>
      <c r="K157">
        <v>0</v>
      </c>
      <c r="L157">
        <v>5.0019299999999998</v>
      </c>
      <c r="M157">
        <v>144</v>
      </c>
    </row>
    <row r="158" spans="1:13">
      <c r="A158" t="s">
        <v>8</v>
      </c>
      <c r="B158" t="s">
        <v>25</v>
      </c>
      <c r="C158">
        <v>10</v>
      </c>
      <c r="D158">
        <v>1</v>
      </c>
      <c r="E158" t="s">
        <v>73</v>
      </c>
      <c r="F158">
        <v>2</v>
      </c>
      <c r="G158">
        <v>78347.399999999994</v>
      </c>
      <c r="H158">
        <v>7834.74</v>
      </c>
      <c r="I158">
        <v>391791</v>
      </c>
      <c r="J158">
        <v>2349091</v>
      </c>
      <c r="K158">
        <v>0</v>
      </c>
      <c r="L158">
        <v>5.0006899999999996</v>
      </c>
      <c r="M158">
        <v>144</v>
      </c>
    </row>
    <row r="159" spans="1:13">
      <c r="A159" t="s">
        <v>8</v>
      </c>
      <c r="B159" t="s">
        <v>25</v>
      </c>
      <c r="C159">
        <v>10</v>
      </c>
      <c r="D159">
        <v>1</v>
      </c>
      <c r="E159" t="s">
        <v>73</v>
      </c>
      <c r="F159">
        <v>3</v>
      </c>
      <c r="G159">
        <v>78778.600000000006</v>
      </c>
      <c r="H159">
        <v>7877.86</v>
      </c>
      <c r="I159">
        <v>394111</v>
      </c>
      <c r="J159">
        <v>2354159</v>
      </c>
      <c r="K159">
        <v>0</v>
      </c>
      <c r="L159">
        <v>5.0027699999999999</v>
      </c>
      <c r="M159">
        <v>144</v>
      </c>
    </row>
    <row r="160" spans="1:13">
      <c r="A160" t="s">
        <v>8</v>
      </c>
      <c r="B160" t="s">
        <v>25</v>
      </c>
      <c r="C160">
        <v>10</v>
      </c>
      <c r="D160">
        <v>1</v>
      </c>
      <c r="E160" t="s">
        <v>73</v>
      </c>
      <c r="F160">
        <v>4</v>
      </c>
      <c r="G160">
        <v>74854.2</v>
      </c>
      <c r="H160">
        <v>7485.42</v>
      </c>
      <c r="I160">
        <v>374647</v>
      </c>
      <c r="J160">
        <v>2372453</v>
      </c>
      <c r="K160">
        <v>0</v>
      </c>
      <c r="L160">
        <v>5.00502</v>
      </c>
      <c r="M160">
        <v>144</v>
      </c>
    </row>
    <row r="161" spans="1:13">
      <c r="A161" t="s">
        <v>8</v>
      </c>
      <c r="B161" t="s">
        <v>25</v>
      </c>
      <c r="C161">
        <v>10</v>
      </c>
      <c r="D161">
        <v>1</v>
      </c>
      <c r="E161" t="s">
        <v>73</v>
      </c>
      <c r="F161">
        <v>5</v>
      </c>
      <c r="G161">
        <v>86475.8</v>
      </c>
      <c r="H161">
        <v>8647.58</v>
      </c>
      <c r="I161">
        <v>432816</v>
      </c>
      <c r="J161">
        <v>2219060</v>
      </c>
      <c r="K161">
        <v>0</v>
      </c>
      <c r="L161">
        <v>5.0050499999999998</v>
      </c>
      <c r="M161">
        <v>144</v>
      </c>
    </row>
    <row r="162" spans="1:13">
      <c r="A162" t="s">
        <v>8</v>
      </c>
      <c r="B162" t="s">
        <v>25</v>
      </c>
      <c r="C162">
        <v>100</v>
      </c>
      <c r="D162">
        <v>1</v>
      </c>
      <c r="E162" t="s">
        <v>73</v>
      </c>
      <c r="F162">
        <v>1</v>
      </c>
      <c r="G162">
        <v>26967</v>
      </c>
      <c r="H162">
        <v>269.67</v>
      </c>
      <c r="I162">
        <v>134971</v>
      </c>
      <c r="J162">
        <v>4333736</v>
      </c>
      <c r="K162">
        <v>0</v>
      </c>
      <c r="L162">
        <v>5.0050400000000002</v>
      </c>
      <c r="M162">
        <v>144</v>
      </c>
    </row>
    <row r="163" spans="1:13">
      <c r="A163" t="s">
        <v>8</v>
      </c>
      <c r="B163" t="s">
        <v>25</v>
      </c>
      <c r="C163">
        <v>100</v>
      </c>
      <c r="D163">
        <v>1</v>
      </c>
      <c r="E163" t="s">
        <v>73</v>
      </c>
      <c r="F163">
        <v>2</v>
      </c>
      <c r="G163">
        <v>24033</v>
      </c>
      <c r="H163">
        <v>240.33</v>
      </c>
      <c r="I163">
        <v>120194</v>
      </c>
      <c r="J163">
        <v>4196737</v>
      </c>
      <c r="K163">
        <v>0</v>
      </c>
      <c r="L163">
        <v>5.0012100000000004</v>
      </c>
      <c r="M163">
        <v>144</v>
      </c>
    </row>
    <row r="164" spans="1:13">
      <c r="A164" t="s">
        <v>8</v>
      </c>
      <c r="B164" t="s">
        <v>25</v>
      </c>
      <c r="C164">
        <v>100</v>
      </c>
      <c r="D164">
        <v>1</v>
      </c>
      <c r="E164" t="s">
        <v>73</v>
      </c>
      <c r="F164">
        <v>3</v>
      </c>
      <c r="G164">
        <v>29439.8</v>
      </c>
      <c r="H164">
        <v>294.39800000000002</v>
      </c>
      <c r="I164">
        <v>147237</v>
      </c>
      <c r="J164">
        <v>4167949</v>
      </c>
      <c r="K164">
        <v>0</v>
      </c>
      <c r="L164">
        <v>5.0012999999999996</v>
      </c>
      <c r="M164">
        <v>144</v>
      </c>
    </row>
    <row r="165" spans="1:13">
      <c r="A165" t="s">
        <v>8</v>
      </c>
      <c r="B165" t="s">
        <v>25</v>
      </c>
      <c r="C165">
        <v>100</v>
      </c>
      <c r="D165">
        <v>1</v>
      </c>
      <c r="E165" t="s">
        <v>73</v>
      </c>
      <c r="F165">
        <v>4</v>
      </c>
      <c r="G165">
        <v>24512.5</v>
      </c>
      <c r="H165">
        <v>245.125</v>
      </c>
      <c r="I165">
        <v>122607</v>
      </c>
      <c r="J165">
        <v>4309315</v>
      </c>
      <c r="K165">
        <v>0</v>
      </c>
      <c r="L165">
        <v>5.0018200000000004</v>
      </c>
      <c r="M165">
        <v>144</v>
      </c>
    </row>
    <row r="166" spans="1:13">
      <c r="A166" t="s">
        <v>8</v>
      </c>
      <c r="B166" t="s">
        <v>25</v>
      </c>
      <c r="C166">
        <v>100</v>
      </c>
      <c r="D166">
        <v>1</v>
      </c>
      <c r="E166" t="s">
        <v>73</v>
      </c>
      <c r="F166">
        <v>5</v>
      </c>
      <c r="G166">
        <v>27439.1</v>
      </c>
      <c r="H166">
        <v>274.39100000000002</v>
      </c>
      <c r="I166">
        <v>137333</v>
      </c>
      <c r="J166">
        <v>4334022</v>
      </c>
      <c r="K166">
        <v>0</v>
      </c>
      <c r="L166">
        <v>5.00502</v>
      </c>
      <c r="M166">
        <v>144</v>
      </c>
    </row>
    <row r="167" spans="1:13">
      <c r="A167" t="s">
        <v>8</v>
      </c>
      <c r="B167" t="s">
        <v>25</v>
      </c>
      <c r="C167">
        <v>500</v>
      </c>
      <c r="D167">
        <v>1</v>
      </c>
      <c r="E167" t="s">
        <v>73</v>
      </c>
      <c r="F167">
        <v>1</v>
      </c>
      <c r="G167">
        <v>119311</v>
      </c>
      <c r="H167">
        <v>238.62299999999999</v>
      </c>
      <c r="I167">
        <v>597157</v>
      </c>
      <c r="J167">
        <v>4054022</v>
      </c>
      <c r="K167">
        <v>0</v>
      </c>
      <c r="L167">
        <v>5.0050299999999996</v>
      </c>
      <c r="M167">
        <v>144</v>
      </c>
    </row>
    <row r="168" spans="1:13">
      <c r="A168" t="s">
        <v>8</v>
      </c>
      <c r="B168" t="s">
        <v>25</v>
      </c>
      <c r="C168">
        <v>500</v>
      </c>
      <c r="D168">
        <v>1</v>
      </c>
      <c r="E168" t="s">
        <v>73</v>
      </c>
      <c r="F168">
        <v>2</v>
      </c>
      <c r="G168">
        <v>83755.899999999994</v>
      </c>
      <c r="H168">
        <v>167.512</v>
      </c>
      <c r="I168">
        <v>419125</v>
      </c>
      <c r="J168">
        <v>4236441</v>
      </c>
      <c r="K168">
        <v>0</v>
      </c>
      <c r="L168">
        <v>5.0041200000000003</v>
      </c>
      <c r="M168">
        <v>144</v>
      </c>
    </row>
    <row r="169" spans="1:13">
      <c r="A169" t="s">
        <v>8</v>
      </c>
      <c r="B169" t="s">
        <v>25</v>
      </c>
      <c r="C169">
        <v>500</v>
      </c>
      <c r="D169">
        <v>1</v>
      </c>
      <c r="E169" t="s">
        <v>73</v>
      </c>
      <c r="F169">
        <v>3</v>
      </c>
      <c r="G169">
        <v>132543</v>
      </c>
      <c r="H169">
        <v>265.08699999999999</v>
      </c>
      <c r="I169">
        <v>663385</v>
      </c>
      <c r="J169">
        <v>4052565</v>
      </c>
      <c r="K169">
        <v>0</v>
      </c>
      <c r="L169">
        <v>5.0050400000000002</v>
      </c>
      <c r="M169">
        <v>144</v>
      </c>
    </row>
    <row r="170" spans="1:13">
      <c r="A170" t="s">
        <v>8</v>
      </c>
      <c r="B170" t="s">
        <v>25</v>
      </c>
      <c r="C170">
        <v>500</v>
      </c>
      <c r="D170">
        <v>1</v>
      </c>
      <c r="E170" t="s">
        <v>73</v>
      </c>
      <c r="F170">
        <v>4</v>
      </c>
      <c r="G170">
        <v>181394</v>
      </c>
      <c r="H170">
        <v>362.78899999999999</v>
      </c>
      <c r="I170">
        <v>907883</v>
      </c>
      <c r="J170">
        <v>3801501</v>
      </c>
      <c r="K170">
        <v>0</v>
      </c>
      <c r="L170">
        <v>5.0050299999999996</v>
      </c>
      <c r="M170">
        <v>144</v>
      </c>
    </row>
    <row r="171" spans="1:13">
      <c r="A171" t="s">
        <v>8</v>
      </c>
      <c r="B171" t="s">
        <v>25</v>
      </c>
      <c r="C171">
        <v>500</v>
      </c>
      <c r="D171">
        <v>1</v>
      </c>
      <c r="E171" t="s">
        <v>73</v>
      </c>
      <c r="F171">
        <v>5</v>
      </c>
      <c r="G171">
        <v>113290</v>
      </c>
      <c r="H171">
        <v>226.58099999999999</v>
      </c>
      <c r="I171">
        <v>566912</v>
      </c>
      <c r="J171">
        <v>4147691</v>
      </c>
      <c r="K171">
        <v>0</v>
      </c>
      <c r="L171">
        <v>5.0040699999999996</v>
      </c>
      <c r="M171">
        <v>144</v>
      </c>
    </row>
    <row r="172" spans="1:13">
      <c r="A172" t="s">
        <v>8</v>
      </c>
      <c r="B172" t="s">
        <v>25</v>
      </c>
      <c r="C172">
        <v>1000</v>
      </c>
      <c r="D172">
        <v>1</v>
      </c>
      <c r="E172" t="s">
        <v>73</v>
      </c>
      <c r="F172">
        <v>1</v>
      </c>
      <c r="G172">
        <v>255235</v>
      </c>
      <c r="H172">
        <v>255.23500000000001</v>
      </c>
      <c r="I172">
        <v>1276590</v>
      </c>
      <c r="J172">
        <v>3066629</v>
      </c>
      <c r="K172">
        <v>0</v>
      </c>
      <c r="L172">
        <v>5.0016400000000001</v>
      </c>
      <c r="M172">
        <v>144</v>
      </c>
    </row>
    <row r="173" spans="1:13">
      <c r="A173" t="s">
        <v>8</v>
      </c>
      <c r="B173" t="s">
        <v>25</v>
      </c>
      <c r="C173">
        <v>1000</v>
      </c>
      <c r="D173">
        <v>1</v>
      </c>
      <c r="E173" t="s">
        <v>73</v>
      </c>
      <c r="F173">
        <v>2</v>
      </c>
      <c r="G173">
        <v>257526</v>
      </c>
      <c r="H173">
        <v>257.52600000000001</v>
      </c>
      <c r="I173">
        <v>1287808</v>
      </c>
      <c r="J173">
        <v>3041607</v>
      </c>
      <c r="K173">
        <v>0</v>
      </c>
      <c r="L173">
        <v>5.0006899999999996</v>
      </c>
      <c r="M173">
        <v>144</v>
      </c>
    </row>
    <row r="174" spans="1:13">
      <c r="A174" t="s">
        <v>8</v>
      </c>
      <c r="B174" t="s">
        <v>25</v>
      </c>
      <c r="C174">
        <v>1000</v>
      </c>
      <c r="D174">
        <v>1</v>
      </c>
      <c r="E174" t="s">
        <v>73</v>
      </c>
      <c r="F174">
        <v>3</v>
      </c>
      <c r="G174">
        <v>256179</v>
      </c>
      <c r="H174">
        <v>256.17899999999997</v>
      </c>
      <c r="I174">
        <v>1281587</v>
      </c>
      <c r="J174">
        <v>3035602</v>
      </c>
      <c r="K174">
        <v>0</v>
      </c>
      <c r="L174">
        <v>5.0026900000000003</v>
      </c>
      <c r="M174">
        <v>144</v>
      </c>
    </row>
    <row r="175" spans="1:13">
      <c r="A175" t="s">
        <v>8</v>
      </c>
      <c r="B175" t="s">
        <v>25</v>
      </c>
      <c r="C175">
        <v>1000</v>
      </c>
      <c r="D175">
        <v>1</v>
      </c>
      <c r="E175" t="s">
        <v>73</v>
      </c>
      <c r="F175">
        <v>4</v>
      </c>
      <c r="G175">
        <v>256822</v>
      </c>
      <c r="H175">
        <v>256.822</v>
      </c>
      <c r="I175">
        <v>1284696</v>
      </c>
      <c r="J175">
        <v>3031498</v>
      </c>
      <c r="K175">
        <v>0</v>
      </c>
      <c r="L175">
        <v>5.0022700000000002</v>
      </c>
      <c r="M175">
        <v>144</v>
      </c>
    </row>
    <row r="176" spans="1:13">
      <c r="A176" t="s">
        <v>8</v>
      </c>
      <c r="B176" t="s">
        <v>25</v>
      </c>
      <c r="C176">
        <v>1000</v>
      </c>
      <c r="D176">
        <v>1</v>
      </c>
      <c r="E176" t="s">
        <v>73</v>
      </c>
      <c r="F176">
        <v>5</v>
      </c>
      <c r="G176">
        <v>264235</v>
      </c>
      <c r="H176">
        <v>264.23500000000001</v>
      </c>
      <c r="I176">
        <v>1322299</v>
      </c>
      <c r="J176">
        <v>3061801</v>
      </c>
      <c r="K176">
        <v>0</v>
      </c>
      <c r="L176">
        <v>5.0042600000000004</v>
      </c>
      <c r="M176">
        <v>144</v>
      </c>
    </row>
    <row r="177" spans="1:13">
      <c r="A177" t="s">
        <v>8</v>
      </c>
      <c r="B177" t="s">
        <v>25</v>
      </c>
      <c r="C177">
        <v>1</v>
      </c>
      <c r="D177">
        <v>10</v>
      </c>
      <c r="E177" t="s">
        <v>73</v>
      </c>
      <c r="F177">
        <v>1</v>
      </c>
      <c r="G177">
        <v>110547</v>
      </c>
      <c r="H177">
        <v>110547</v>
      </c>
      <c r="I177">
        <v>553142</v>
      </c>
      <c r="J177">
        <v>2690</v>
      </c>
      <c r="K177">
        <v>0</v>
      </c>
      <c r="L177">
        <v>5.00366</v>
      </c>
      <c r="M177">
        <v>72</v>
      </c>
    </row>
    <row r="178" spans="1:13">
      <c r="A178" t="s">
        <v>8</v>
      </c>
      <c r="B178" t="s">
        <v>25</v>
      </c>
      <c r="C178">
        <v>1</v>
      </c>
      <c r="D178">
        <v>10</v>
      </c>
      <c r="E178" t="s">
        <v>73</v>
      </c>
      <c r="F178">
        <v>2</v>
      </c>
      <c r="G178">
        <v>114183</v>
      </c>
      <c r="H178">
        <v>114183</v>
      </c>
      <c r="I178">
        <v>571145</v>
      </c>
      <c r="J178">
        <v>405</v>
      </c>
      <c r="K178">
        <v>0</v>
      </c>
      <c r="L178">
        <v>5.00204</v>
      </c>
      <c r="M178">
        <v>72</v>
      </c>
    </row>
    <row r="179" spans="1:13">
      <c r="A179" t="s">
        <v>8</v>
      </c>
      <c r="B179" t="s">
        <v>25</v>
      </c>
      <c r="C179">
        <v>1</v>
      </c>
      <c r="D179">
        <v>10</v>
      </c>
      <c r="E179" t="s">
        <v>73</v>
      </c>
      <c r="F179">
        <v>3</v>
      </c>
      <c r="G179">
        <v>103999</v>
      </c>
      <c r="H179">
        <v>103999</v>
      </c>
      <c r="I179">
        <v>520517</v>
      </c>
      <c r="J179">
        <v>4186</v>
      </c>
      <c r="K179">
        <v>0</v>
      </c>
      <c r="L179">
        <v>5.0050299999999996</v>
      </c>
      <c r="M179">
        <v>72</v>
      </c>
    </row>
    <row r="180" spans="1:13">
      <c r="A180" t="s">
        <v>8</v>
      </c>
      <c r="B180" t="s">
        <v>25</v>
      </c>
      <c r="C180">
        <v>1</v>
      </c>
      <c r="D180">
        <v>10</v>
      </c>
      <c r="E180" t="s">
        <v>73</v>
      </c>
      <c r="F180">
        <v>4</v>
      </c>
      <c r="G180">
        <v>100792</v>
      </c>
      <c r="H180">
        <v>100792</v>
      </c>
      <c r="I180">
        <v>504172</v>
      </c>
      <c r="J180">
        <v>16942</v>
      </c>
      <c r="K180">
        <v>0</v>
      </c>
      <c r="L180">
        <v>5.0020800000000003</v>
      </c>
      <c r="M180">
        <v>72</v>
      </c>
    </row>
    <row r="181" spans="1:13">
      <c r="A181" t="s">
        <v>8</v>
      </c>
      <c r="B181" t="s">
        <v>25</v>
      </c>
      <c r="C181">
        <v>1</v>
      </c>
      <c r="D181">
        <v>10</v>
      </c>
      <c r="E181" t="s">
        <v>73</v>
      </c>
      <c r="F181">
        <v>5</v>
      </c>
      <c r="G181">
        <v>108743</v>
      </c>
      <c r="H181">
        <v>108743</v>
      </c>
      <c r="I181">
        <v>544258</v>
      </c>
      <c r="J181">
        <v>2071</v>
      </c>
      <c r="K181">
        <v>0</v>
      </c>
      <c r="L181">
        <v>5.00502</v>
      </c>
      <c r="M181">
        <v>72</v>
      </c>
    </row>
    <row r="182" spans="1:13">
      <c r="A182" t="s">
        <v>8</v>
      </c>
      <c r="B182" t="s">
        <v>25</v>
      </c>
      <c r="C182">
        <v>10</v>
      </c>
      <c r="D182">
        <v>10</v>
      </c>
      <c r="E182" t="s">
        <v>73</v>
      </c>
      <c r="F182">
        <v>1</v>
      </c>
      <c r="G182">
        <v>106335</v>
      </c>
      <c r="H182">
        <v>10633.5</v>
      </c>
      <c r="I182">
        <v>532209</v>
      </c>
      <c r="J182">
        <v>2266098</v>
      </c>
      <c r="K182">
        <v>0</v>
      </c>
      <c r="L182">
        <v>5.00502</v>
      </c>
      <c r="M182">
        <v>72</v>
      </c>
    </row>
    <row r="183" spans="1:13">
      <c r="A183" t="s">
        <v>8</v>
      </c>
      <c r="B183" t="s">
        <v>25</v>
      </c>
      <c r="C183">
        <v>10</v>
      </c>
      <c r="D183">
        <v>10</v>
      </c>
      <c r="E183" t="s">
        <v>73</v>
      </c>
      <c r="F183">
        <v>2</v>
      </c>
      <c r="G183">
        <v>113098</v>
      </c>
      <c r="H183">
        <v>11309.8</v>
      </c>
      <c r="I183">
        <v>565928</v>
      </c>
      <c r="J183">
        <v>2082378</v>
      </c>
      <c r="K183">
        <v>0</v>
      </c>
      <c r="L183">
        <v>5.0038799999999997</v>
      </c>
      <c r="M183">
        <v>72</v>
      </c>
    </row>
    <row r="184" spans="1:13">
      <c r="A184" t="s">
        <v>8</v>
      </c>
      <c r="B184" t="s">
        <v>25</v>
      </c>
      <c r="C184">
        <v>10</v>
      </c>
      <c r="D184">
        <v>10</v>
      </c>
      <c r="E184" t="s">
        <v>73</v>
      </c>
      <c r="F184">
        <v>3</v>
      </c>
      <c r="G184">
        <v>111191</v>
      </c>
      <c r="H184">
        <v>11119.1</v>
      </c>
      <c r="I184">
        <v>555969</v>
      </c>
      <c r="J184">
        <v>2133180</v>
      </c>
      <c r="K184">
        <v>0</v>
      </c>
      <c r="L184">
        <v>5.0001300000000004</v>
      </c>
      <c r="M184">
        <v>72</v>
      </c>
    </row>
    <row r="185" spans="1:13">
      <c r="A185" t="s">
        <v>8</v>
      </c>
      <c r="B185" t="s">
        <v>25</v>
      </c>
      <c r="C185">
        <v>10</v>
      </c>
      <c r="D185">
        <v>10</v>
      </c>
      <c r="E185" t="s">
        <v>73</v>
      </c>
      <c r="F185">
        <v>4</v>
      </c>
      <c r="G185">
        <v>113466</v>
      </c>
      <c r="H185">
        <v>11346.6</v>
      </c>
      <c r="I185">
        <v>567900</v>
      </c>
      <c r="J185">
        <v>2124100</v>
      </c>
      <c r="K185">
        <v>0</v>
      </c>
      <c r="L185">
        <v>5.0050299999999996</v>
      </c>
      <c r="M185">
        <v>72</v>
      </c>
    </row>
    <row r="186" spans="1:13">
      <c r="A186" t="s">
        <v>8</v>
      </c>
      <c r="B186" t="s">
        <v>25</v>
      </c>
      <c r="C186">
        <v>10</v>
      </c>
      <c r="D186">
        <v>10</v>
      </c>
      <c r="E186" t="s">
        <v>73</v>
      </c>
      <c r="F186">
        <v>5</v>
      </c>
      <c r="G186">
        <v>113644</v>
      </c>
      <c r="H186">
        <v>11364.4</v>
      </c>
      <c r="I186">
        <v>568792</v>
      </c>
      <c r="J186">
        <v>2130321</v>
      </c>
      <c r="K186">
        <v>0</v>
      </c>
      <c r="L186">
        <v>5.00502</v>
      </c>
      <c r="M186">
        <v>72</v>
      </c>
    </row>
    <row r="187" spans="1:13">
      <c r="A187" t="s">
        <v>8</v>
      </c>
      <c r="B187" t="s">
        <v>25</v>
      </c>
      <c r="C187">
        <v>100</v>
      </c>
      <c r="D187">
        <v>10</v>
      </c>
      <c r="E187" t="s">
        <v>73</v>
      </c>
      <c r="F187">
        <v>1</v>
      </c>
      <c r="G187">
        <v>32001.599999999999</v>
      </c>
      <c r="H187">
        <v>320.01600000000002</v>
      </c>
      <c r="I187">
        <v>160169</v>
      </c>
      <c r="J187">
        <v>4026622</v>
      </c>
      <c r="K187">
        <v>0</v>
      </c>
      <c r="L187">
        <v>5.0050400000000002</v>
      </c>
      <c r="M187">
        <v>72</v>
      </c>
    </row>
    <row r="188" spans="1:13">
      <c r="A188" t="s">
        <v>8</v>
      </c>
      <c r="B188" t="s">
        <v>25</v>
      </c>
      <c r="C188">
        <v>100</v>
      </c>
      <c r="D188">
        <v>10</v>
      </c>
      <c r="E188" t="s">
        <v>73</v>
      </c>
      <c r="F188">
        <v>2</v>
      </c>
      <c r="G188">
        <v>32509</v>
      </c>
      <c r="H188">
        <v>325.08999999999997</v>
      </c>
      <c r="I188">
        <v>162655</v>
      </c>
      <c r="J188">
        <v>4281360</v>
      </c>
      <c r="K188">
        <v>0</v>
      </c>
      <c r="L188">
        <v>5.0033799999999999</v>
      </c>
      <c r="M188">
        <v>72</v>
      </c>
    </row>
    <row r="189" spans="1:13">
      <c r="A189" t="s">
        <v>8</v>
      </c>
      <c r="B189" t="s">
        <v>25</v>
      </c>
      <c r="C189">
        <v>100</v>
      </c>
      <c r="D189">
        <v>10</v>
      </c>
      <c r="E189" t="s">
        <v>73</v>
      </c>
      <c r="F189">
        <v>3</v>
      </c>
      <c r="G189">
        <v>29288.400000000001</v>
      </c>
      <c r="H189">
        <v>292.88400000000001</v>
      </c>
      <c r="I189">
        <v>146517</v>
      </c>
      <c r="J189">
        <v>4134600</v>
      </c>
      <c r="K189">
        <v>0</v>
      </c>
      <c r="L189">
        <v>5.0025700000000004</v>
      </c>
      <c r="M189">
        <v>72</v>
      </c>
    </row>
    <row r="190" spans="1:13">
      <c r="A190" t="s">
        <v>8</v>
      </c>
      <c r="B190" t="s">
        <v>25</v>
      </c>
      <c r="C190">
        <v>100</v>
      </c>
      <c r="D190">
        <v>10</v>
      </c>
      <c r="E190" t="s">
        <v>73</v>
      </c>
      <c r="F190">
        <v>4</v>
      </c>
      <c r="G190">
        <v>31463.200000000001</v>
      </c>
      <c r="H190">
        <v>314.63200000000001</v>
      </c>
      <c r="I190">
        <v>157474</v>
      </c>
      <c r="J190">
        <v>4284960</v>
      </c>
      <c r="K190">
        <v>0</v>
      </c>
      <c r="L190">
        <v>5.00502</v>
      </c>
      <c r="M190">
        <v>72</v>
      </c>
    </row>
    <row r="191" spans="1:13">
      <c r="A191" t="s">
        <v>8</v>
      </c>
      <c r="B191" t="s">
        <v>25</v>
      </c>
      <c r="C191">
        <v>100</v>
      </c>
      <c r="D191">
        <v>10</v>
      </c>
      <c r="E191" t="s">
        <v>73</v>
      </c>
      <c r="F191">
        <v>5</v>
      </c>
      <c r="G191">
        <v>31968.6</v>
      </c>
      <c r="H191">
        <v>319.68599999999998</v>
      </c>
      <c r="I191">
        <v>159941</v>
      </c>
      <c r="J191">
        <v>4091196</v>
      </c>
      <c r="K191">
        <v>0</v>
      </c>
      <c r="L191">
        <v>5.0030599999999996</v>
      </c>
      <c r="M191">
        <v>72</v>
      </c>
    </row>
    <row r="192" spans="1:13">
      <c r="A192" t="s">
        <v>8</v>
      </c>
      <c r="B192" t="s">
        <v>25</v>
      </c>
      <c r="C192">
        <v>500</v>
      </c>
      <c r="D192">
        <v>10</v>
      </c>
      <c r="E192" t="s">
        <v>73</v>
      </c>
      <c r="F192">
        <v>1</v>
      </c>
      <c r="G192">
        <v>61491.8</v>
      </c>
      <c r="H192">
        <v>122.98399999999999</v>
      </c>
      <c r="I192">
        <v>307768</v>
      </c>
      <c r="J192">
        <v>4474783</v>
      </c>
      <c r="K192">
        <v>0</v>
      </c>
      <c r="L192">
        <v>5.00502</v>
      </c>
      <c r="M192">
        <v>72</v>
      </c>
    </row>
    <row r="193" spans="1:13">
      <c r="A193" t="s">
        <v>8</v>
      </c>
      <c r="B193" t="s">
        <v>25</v>
      </c>
      <c r="C193">
        <v>500</v>
      </c>
      <c r="D193">
        <v>10</v>
      </c>
      <c r="E193" t="s">
        <v>73</v>
      </c>
      <c r="F193">
        <v>2</v>
      </c>
      <c r="G193">
        <v>66283.899999999994</v>
      </c>
      <c r="H193">
        <v>132.56800000000001</v>
      </c>
      <c r="I193">
        <v>331747</v>
      </c>
      <c r="J193">
        <v>4039783</v>
      </c>
      <c r="K193">
        <v>0</v>
      </c>
      <c r="L193">
        <v>5.0049400000000004</v>
      </c>
      <c r="M193">
        <v>72</v>
      </c>
    </row>
    <row r="194" spans="1:13">
      <c r="A194" t="s">
        <v>8</v>
      </c>
      <c r="B194" t="s">
        <v>25</v>
      </c>
      <c r="C194">
        <v>500</v>
      </c>
      <c r="D194">
        <v>10</v>
      </c>
      <c r="E194" t="s">
        <v>73</v>
      </c>
      <c r="F194">
        <v>3</v>
      </c>
      <c r="G194">
        <v>75279.600000000006</v>
      </c>
      <c r="H194">
        <v>150.559</v>
      </c>
      <c r="I194">
        <v>376663</v>
      </c>
      <c r="J194">
        <v>4381521</v>
      </c>
      <c r="K194">
        <v>0</v>
      </c>
      <c r="L194">
        <v>5.00352</v>
      </c>
      <c r="M194">
        <v>72</v>
      </c>
    </row>
    <row r="195" spans="1:13">
      <c r="A195" t="s">
        <v>8</v>
      </c>
      <c r="B195" t="s">
        <v>25</v>
      </c>
      <c r="C195">
        <v>500</v>
      </c>
      <c r="D195">
        <v>10</v>
      </c>
      <c r="E195" t="s">
        <v>73</v>
      </c>
      <c r="F195">
        <v>4</v>
      </c>
      <c r="G195">
        <v>70996.100000000006</v>
      </c>
      <c r="H195">
        <v>141.99199999999999</v>
      </c>
      <c r="I195">
        <v>355337</v>
      </c>
      <c r="J195">
        <v>4467467</v>
      </c>
      <c r="K195">
        <v>0</v>
      </c>
      <c r="L195">
        <v>5.00502</v>
      </c>
      <c r="M195">
        <v>72</v>
      </c>
    </row>
    <row r="196" spans="1:13">
      <c r="A196" t="s">
        <v>8</v>
      </c>
      <c r="B196" t="s">
        <v>25</v>
      </c>
      <c r="C196">
        <v>500</v>
      </c>
      <c r="D196">
        <v>10</v>
      </c>
      <c r="E196" t="s">
        <v>73</v>
      </c>
      <c r="F196">
        <v>5</v>
      </c>
      <c r="G196">
        <v>72045</v>
      </c>
      <c r="H196">
        <v>144.09</v>
      </c>
      <c r="I196">
        <v>360491</v>
      </c>
      <c r="J196">
        <v>4483743</v>
      </c>
      <c r="K196">
        <v>0</v>
      </c>
      <c r="L196">
        <v>5.0036899999999997</v>
      </c>
      <c r="M196">
        <v>72</v>
      </c>
    </row>
    <row r="197" spans="1:13">
      <c r="A197" t="s">
        <v>8</v>
      </c>
      <c r="B197" t="s">
        <v>25</v>
      </c>
      <c r="C197">
        <v>1000</v>
      </c>
      <c r="D197">
        <v>10</v>
      </c>
      <c r="E197" t="s">
        <v>73</v>
      </c>
      <c r="F197">
        <v>1</v>
      </c>
      <c r="G197">
        <v>158523</v>
      </c>
      <c r="H197">
        <v>158.523</v>
      </c>
      <c r="I197">
        <v>793408</v>
      </c>
      <c r="J197">
        <v>3967701</v>
      </c>
      <c r="K197">
        <v>0</v>
      </c>
      <c r="L197">
        <v>5.0050100000000004</v>
      </c>
      <c r="M197">
        <v>72</v>
      </c>
    </row>
    <row r="198" spans="1:13">
      <c r="A198" t="s">
        <v>8</v>
      </c>
      <c r="B198" t="s">
        <v>25</v>
      </c>
      <c r="C198">
        <v>1000</v>
      </c>
      <c r="D198">
        <v>10</v>
      </c>
      <c r="E198" t="s">
        <v>73</v>
      </c>
      <c r="F198">
        <v>2</v>
      </c>
      <c r="G198">
        <v>178758</v>
      </c>
      <c r="H198">
        <v>178.75800000000001</v>
      </c>
      <c r="I198">
        <v>894192</v>
      </c>
      <c r="J198">
        <v>3840785</v>
      </c>
      <c r="K198">
        <v>0</v>
      </c>
      <c r="L198">
        <v>5.0022599999999997</v>
      </c>
      <c r="M198">
        <v>72</v>
      </c>
    </row>
    <row r="199" spans="1:13">
      <c r="A199" t="s">
        <v>8</v>
      </c>
      <c r="B199" t="s">
        <v>25</v>
      </c>
      <c r="C199">
        <v>1000</v>
      </c>
      <c r="D199">
        <v>10</v>
      </c>
      <c r="E199" t="s">
        <v>73</v>
      </c>
      <c r="F199">
        <v>3</v>
      </c>
      <c r="G199">
        <v>138658</v>
      </c>
      <c r="H199">
        <v>138.65799999999999</v>
      </c>
      <c r="I199">
        <v>693991</v>
      </c>
      <c r="J199">
        <v>4057071</v>
      </c>
      <c r="K199">
        <v>0</v>
      </c>
      <c r="L199">
        <v>5.0050499999999998</v>
      </c>
      <c r="M199">
        <v>72</v>
      </c>
    </row>
    <row r="200" spans="1:13">
      <c r="A200" t="s">
        <v>8</v>
      </c>
      <c r="B200" t="s">
        <v>25</v>
      </c>
      <c r="C200">
        <v>1000</v>
      </c>
      <c r="D200">
        <v>10</v>
      </c>
      <c r="E200" t="s">
        <v>73</v>
      </c>
      <c r="F200">
        <v>4</v>
      </c>
      <c r="G200">
        <v>175411</v>
      </c>
      <c r="H200">
        <v>175.411</v>
      </c>
      <c r="I200">
        <v>877937</v>
      </c>
      <c r="J200">
        <v>3951320</v>
      </c>
      <c r="K200">
        <v>0</v>
      </c>
      <c r="L200">
        <v>5.0050299999999996</v>
      </c>
      <c r="M200">
        <v>72</v>
      </c>
    </row>
    <row r="201" spans="1:13">
      <c r="A201" t="s">
        <v>8</v>
      </c>
      <c r="B201" t="s">
        <v>25</v>
      </c>
      <c r="C201">
        <v>1000</v>
      </c>
      <c r="D201">
        <v>10</v>
      </c>
      <c r="E201" t="s">
        <v>73</v>
      </c>
      <c r="F201">
        <v>5</v>
      </c>
      <c r="G201">
        <v>157376</v>
      </c>
      <c r="H201">
        <v>157.376</v>
      </c>
      <c r="I201">
        <v>786912</v>
      </c>
      <c r="J201">
        <v>4067876</v>
      </c>
      <c r="K201">
        <v>0</v>
      </c>
      <c r="L201">
        <v>5.0002000000000004</v>
      </c>
      <c r="M201">
        <v>72</v>
      </c>
    </row>
    <row r="202" spans="1:13">
      <c r="A202" t="s">
        <v>8</v>
      </c>
      <c r="B202" t="s">
        <v>25</v>
      </c>
      <c r="C202">
        <v>1</v>
      </c>
      <c r="D202">
        <v>100</v>
      </c>
      <c r="E202" t="s">
        <v>73</v>
      </c>
      <c r="F202">
        <v>1</v>
      </c>
      <c r="G202">
        <v>106718</v>
      </c>
      <c r="H202">
        <v>106718</v>
      </c>
      <c r="I202">
        <v>533964</v>
      </c>
      <c r="J202">
        <v>9607</v>
      </c>
      <c r="K202">
        <v>0</v>
      </c>
      <c r="L202">
        <v>5.0035299999999996</v>
      </c>
      <c r="M202">
        <v>36</v>
      </c>
    </row>
    <row r="203" spans="1:13">
      <c r="A203" t="s">
        <v>8</v>
      </c>
      <c r="B203" t="s">
        <v>25</v>
      </c>
      <c r="C203">
        <v>1</v>
      </c>
      <c r="D203">
        <v>100</v>
      </c>
      <c r="E203" t="s">
        <v>73</v>
      </c>
      <c r="F203">
        <v>2</v>
      </c>
      <c r="G203">
        <v>110585</v>
      </c>
      <c r="H203">
        <v>110585</v>
      </c>
      <c r="I203">
        <v>553220</v>
      </c>
      <c r="J203">
        <v>11029</v>
      </c>
      <c r="K203">
        <v>0</v>
      </c>
      <c r="L203">
        <v>5.0026700000000002</v>
      </c>
      <c r="M203">
        <v>36</v>
      </c>
    </row>
    <row r="204" spans="1:13">
      <c r="A204" t="s">
        <v>8</v>
      </c>
      <c r="B204" t="s">
        <v>25</v>
      </c>
      <c r="C204">
        <v>1</v>
      </c>
      <c r="D204">
        <v>100</v>
      </c>
      <c r="E204" t="s">
        <v>73</v>
      </c>
      <c r="F204">
        <v>3</v>
      </c>
      <c r="G204">
        <v>87409.9</v>
      </c>
      <c r="H204">
        <v>87409.9</v>
      </c>
      <c r="I204">
        <v>437448</v>
      </c>
      <c r="J204">
        <v>51215</v>
      </c>
      <c r="K204">
        <v>0</v>
      </c>
      <c r="L204">
        <v>5.0045599999999997</v>
      </c>
      <c r="M204">
        <v>36</v>
      </c>
    </row>
    <row r="205" spans="1:13">
      <c r="A205" t="s">
        <v>8</v>
      </c>
      <c r="B205" t="s">
        <v>25</v>
      </c>
      <c r="C205">
        <v>1</v>
      </c>
      <c r="D205">
        <v>100</v>
      </c>
      <c r="E205" t="s">
        <v>73</v>
      </c>
      <c r="F205">
        <v>4</v>
      </c>
      <c r="G205">
        <v>92056.3</v>
      </c>
      <c r="H205">
        <v>92056.3</v>
      </c>
      <c r="I205">
        <v>460743</v>
      </c>
      <c r="J205">
        <v>38994</v>
      </c>
      <c r="K205">
        <v>0</v>
      </c>
      <c r="L205">
        <v>5.0050100000000004</v>
      </c>
      <c r="M205">
        <v>36</v>
      </c>
    </row>
    <row r="206" spans="1:13">
      <c r="A206" t="s">
        <v>8</v>
      </c>
      <c r="B206" t="s">
        <v>25</v>
      </c>
      <c r="C206">
        <v>1</v>
      </c>
      <c r="D206">
        <v>100</v>
      </c>
      <c r="E206" t="s">
        <v>73</v>
      </c>
      <c r="F206">
        <v>5</v>
      </c>
      <c r="G206">
        <v>98441.4</v>
      </c>
      <c r="H206">
        <v>98441.4</v>
      </c>
      <c r="I206">
        <v>492701</v>
      </c>
      <c r="J206">
        <v>20347</v>
      </c>
      <c r="K206">
        <v>0</v>
      </c>
      <c r="L206">
        <v>5.00502</v>
      </c>
      <c r="M206">
        <v>36</v>
      </c>
    </row>
    <row r="207" spans="1:13">
      <c r="A207" t="s">
        <v>8</v>
      </c>
      <c r="B207" t="s">
        <v>25</v>
      </c>
      <c r="C207">
        <v>10</v>
      </c>
      <c r="D207">
        <v>100</v>
      </c>
      <c r="E207" t="s">
        <v>73</v>
      </c>
      <c r="F207">
        <v>1</v>
      </c>
      <c r="G207">
        <v>87960.3</v>
      </c>
      <c r="H207">
        <v>8796.0300000000007</v>
      </c>
      <c r="I207">
        <v>440010</v>
      </c>
      <c r="J207">
        <v>2241363</v>
      </c>
      <c r="K207">
        <v>0</v>
      </c>
      <c r="L207">
        <v>5.00237</v>
      </c>
      <c r="M207">
        <v>36</v>
      </c>
    </row>
    <row r="208" spans="1:13">
      <c r="A208" t="s">
        <v>8</v>
      </c>
      <c r="B208" t="s">
        <v>25</v>
      </c>
      <c r="C208">
        <v>10</v>
      </c>
      <c r="D208">
        <v>100</v>
      </c>
      <c r="E208" t="s">
        <v>73</v>
      </c>
      <c r="F208">
        <v>2</v>
      </c>
      <c r="G208">
        <v>94148</v>
      </c>
      <c r="H208">
        <v>9414.7999999999993</v>
      </c>
      <c r="I208">
        <v>471212</v>
      </c>
      <c r="J208">
        <v>2178325</v>
      </c>
      <c r="K208">
        <v>0</v>
      </c>
      <c r="L208">
        <v>5.0050100000000004</v>
      </c>
      <c r="M208">
        <v>36</v>
      </c>
    </row>
    <row r="209" spans="1:13">
      <c r="A209" t="s">
        <v>8</v>
      </c>
      <c r="B209" t="s">
        <v>25</v>
      </c>
      <c r="C209">
        <v>10</v>
      </c>
      <c r="D209">
        <v>100</v>
      </c>
      <c r="E209" t="s">
        <v>73</v>
      </c>
      <c r="F209">
        <v>3</v>
      </c>
      <c r="G209">
        <v>86861.3</v>
      </c>
      <c r="H209">
        <v>8686.1299999999992</v>
      </c>
      <c r="I209">
        <v>434682</v>
      </c>
      <c r="J209">
        <v>2256943</v>
      </c>
      <c r="K209">
        <v>0</v>
      </c>
      <c r="L209">
        <v>5.0043199999999999</v>
      </c>
      <c r="M209">
        <v>36</v>
      </c>
    </row>
    <row r="210" spans="1:13">
      <c r="A210" t="s">
        <v>8</v>
      </c>
      <c r="B210" t="s">
        <v>25</v>
      </c>
      <c r="C210">
        <v>10</v>
      </c>
      <c r="D210">
        <v>100</v>
      </c>
      <c r="E210" t="s">
        <v>73</v>
      </c>
      <c r="F210">
        <v>4</v>
      </c>
      <c r="G210">
        <v>88582.7</v>
      </c>
      <c r="H210">
        <v>8858.27</v>
      </c>
      <c r="I210">
        <v>443359</v>
      </c>
      <c r="J210">
        <v>2290020</v>
      </c>
      <c r="K210">
        <v>0</v>
      </c>
      <c r="L210">
        <v>5.0050299999999996</v>
      </c>
      <c r="M210">
        <v>36</v>
      </c>
    </row>
    <row r="211" spans="1:13">
      <c r="A211" t="s">
        <v>8</v>
      </c>
      <c r="B211" t="s">
        <v>25</v>
      </c>
      <c r="C211">
        <v>10</v>
      </c>
      <c r="D211">
        <v>100</v>
      </c>
      <c r="E211" t="s">
        <v>73</v>
      </c>
      <c r="F211">
        <v>5</v>
      </c>
      <c r="G211">
        <v>84500.9</v>
      </c>
      <c r="H211">
        <v>8450.09</v>
      </c>
      <c r="I211">
        <v>422631</v>
      </c>
      <c r="J211">
        <v>2309766</v>
      </c>
      <c r="K211">
        <v>0</v>
      </c>
      <c r="L211">
        <v>5.0015000000000001</v>
      </c>
      <c r="M211">
        <v>36</v>
      </c>
    </row>
    <row r="212" spans="1:13">
      <c r="A212" t="s">
        <v>8</v>
      </c>
      <c r="B212" t="s">
        <v>25</v>
      </c>
      <c r="C212">
        <v>100</v>
      </c>
      <c r="D212">
        <v>100</v>
      </c>
      <c r="E212" t="s">
        <v>73</v>
      </c>
      <c r="F212">
        <v>1</v>
      </c>
      <c r="G212">
        <v>60095.8</v>
      </c>
      <c r="H212">
        <v>600.95799999999997</v>
      </c>
      <c r="I212">
        <v>300742</v>
      </c>
      <c r="J212">
        <v>4066782</v>
      </c>
      <c r="K212">
        <v>0</v>
      </c>
      <c r="L212">
        <v>5.0043800000000003</v>
      </c>
      <c r="M212">
        <v>36</v>
      </c>
    </row>
    <row r="213" spans="1:13">
      <c r="A213" t="s">
        <v>8</v>
      </c>
      <c r="B213" t="s">
        <v>25</v>
      </c>
      <c r="C213">
        <v>100</v>
      </c>
      <c r="D213">
        <v>100</v>
      </c>
      <c r="E213" t="s">
        <v>73</v>
      </c>
      <c r="F213">
        <v>2</v>
      </c>
      <c r="G213">
        <v>58991.3</v>
      </c>
      <c r="H213">
        <v>589.91300000000001</v>
      </c>
      <c r="I213">
        <v>295066</v>
      </c>
      <c r="J213">
        <v>4080997</v>
      </c>
      <c r="K213">
        <v>0</v>
      </c>
      <c r="L213">
        <v>5.0018500000000001</v>
      </c>
      <c r="M213">
        <v>36</v>
      </c>
    </row>
    <row r="214" spans="1:13">
      <c r="A214" t="s">
        <v>8</v>
      </c>
      <c r="B214" t="s">
        <v>25</v>
      </c>
      <c r="C214">
        <v>100</v>
      </c>
      <c r="D214">
        <v>100</v>
      </c>
      <c r="E214" t="s">
        <v>73</v>
      </c>
      <c r="F214">
        <v>3</v>
      </c>
      <c r="G214">
        <v>57512.6</v>
      </c>
      <c r="H214">
        <v>575.12599999999998</v>
      </c>
      <c r="I214">
        <v>287726</v>
      </c>
      <c r="J214">
        <v>4001218</v>
      </c>
      <c r="K214">
        <v>0</v>
      </c>
      <c r="L214">
        <v>5.0028300000000003</v>
      </c>
      <c r="M214">
        <v>36</v>
      </c>
    </row>
    <row r="215" spans="1:13">
      <c r="A215" t="s">
        <v>8</v>
      </c>
      <c r="B215" t="s">
        <v>25</v>
      </c>
      <c r="C215">
        <v>100</v>
      </c>
      <c r="D215">
        <v>100</v>
      </c>
      <c r="E215" t="s">
        <v>73</v>
      </c>
      <c r="F215">
        <v>4</v>
      </c>
      <c r="G215">
        <v>58070.7</v>
      </c>
      <c r="H215">
        <v>580.70699999999999</v>
      </c>
      <c r="I215">
        <v>290645</v>
      </c>
      <c r="J215">
        <v>4033353</v>
      </c>
      <c r="K215">
        <v>0</v>
      </c>
      <c r="L215">
        <v>5.00502</v>
      </c>
      <c r="M215">
        <v>36</v>
      </c>
    </row>
    <row r="216" spans="1:13">
      <c r="A216" t="s">
        <v>8</v>
      </c>
      <c r="B216" t="s">
        <v>25</v>
      </c>
      <c r="C216">
        <v>100</v>
      </c>
      <c r="D216">
        <v>100</v>
      </c>
      <c r="E216" t="s">
        <v>73</v>
      </c>
      <c r="F216">
        <v>5</v>
      </c>
      <c r="G216">
        <v>54458.3</v>
      </c>
      <c r="H216">
        <v>544.58299999999997</v>
      </c>
      <c r="I216">
        <v>272302</v>
      </c>
      <c r="J216">
        <v>3912462</v>
      </c>
      <c r="K216">
        <v>0</v>
      </c>
      <c r="L216">
        <v>5.0002000000000004</v>
      </c>
      <c r="M216">
        <v>36</v>
      </c>
    </row>
    <row r="217" spans="1:13">
      <c r="A217" t="s">
        <v>8</v>
      </c>
      <c r="B217" t="s">
        <v>25</v>
      </c>
      <c r="C217">
        <v>500</v>
      </c>
      <c r="D217">
        <v>100</v>
      </c>
      <c r="E217" t="s">
        <v>73</v>
      </c>
      <c r="F217">
        <v>1</v>
      </c>
      <c r="G217">
        <v>69977.8</v>
      </c>
      <c r="H217">
        <v>139.95599999999999</v>
      </c>
      <c r="I217">
        <v>350838</v>
      </c>
      <c r="J217">
        <v>4193576</v>
      </c>
      <c r="K217">
        <v>0</v>
      </c>
      <c r="L217">
        <v>5.01356</v>
      </c>
      <c r="M217">
        <v>36</v>
      </c>
    </row>
    <row r="218" spans="1:13">
      <c r="A218" t="s">
        <v>8</v>
      </c>
      <c r="B218" t="s">
        <v>25</v>
      </c>
      <c r="C218">
        <v>500</v>
      </c>
      <c r="D218">
        <v>100</v>
      </c>
      <c r="E218" t="s">
        <v>73</v>
      </c>
      <c r="F218">
        <v>2</v>
      </c>
      <c r="G218">
        <v>96555</v>
      </c>
      <c r="H218">
        <v>193.11</v>
      </c>
      <c r="I218">
        <v>483099</v>
      </c>
      <c r="J218">
        <v>4175886</v>
      </c>
      <c r="K218">
        <v>0</v>
      </c>
      <c r="L218">
        <v>5.0033599999999998</v>
      </c>
      <c r="M218">
        <v>36</v>
      </c>
    </row>
    <row r="219" spans="1:13">
      <c r="A219" t="s">
        <v>8</v>
      </c>
      <c r="B219" t="s">
        <v>25</v>
      </c>
      <c r="C219">
        <v>500</v>
      </c>
      <c r="D219">
        <v>100</v>
      </c>
      <c r="E219" t="s">
        <v>73</v>
      </c>
      <c r="F219">
        <v>3</v>
      </c>
      <c r="G219">
        <v>66784.5</v>
      </c>
      <c r="H219">
        <v>133.56899999999999</v>
      </c>
      <c r="I219">
        <v>333982</v>
      </c>
      <c r="J219">
        <v>4388377</v>
      </c>
      <c r="K219">
        <v>0</v>
      </c>
      <c r="L219">
        <v>5.0008900000000001</v>
      </c>
      <c r="M219">
        <v>36</v>
      </c>
    </row>
    <row r="220" spans="1:13">
      <c r="A220" t="s">
        <v>8</v>
      </c>
      <c r="B220" t="s">
        <v>25</v>
      </c>
      <c r="C220">
        <v>500</v>
      </c>
      <c r="D220">
        <v>100</v>
      </c>
      <c r="E220" t="s">
        <v>73</v>
      </c>
      <c r="F220">
        <v>4</v>
      </c>
      <c r="G220">
        <v>111594</v>
      </c>
      <c r="H220">
        <v>223.18799999999999</v>
      </c>
      <c r="I220">
        <v>558525</v>
      </c>
      <c r="J220">
        <v>4148585</v>
      </c>
      <c r="K220">
        <v>0</v>
      </c>
      <c r="L220">
        <v>5.0049799999999998</v>
      </c>
      <c r="M220">
        <v>36</v>
      </c>
    </row>
    <row r="221" spans="1:13">
      <c r="A221" t="s">
        <v>8</v>
      </c>
      <c r="B221" t="s">
        <v>25</v>
      </c>
      <c r="C221">
        <v>500</v>
      </c>
      <c r="D221">
        <v>100</v>
      </c>
      <c r="E221" t="s">
        <v>73</v>
      </c>
      <c r="F221">
        <v>5</v>
      </c>
      <c r="G221">
        <v>86312</v>
      </c>
      <c r="H221">
        <v>172.624</v>
      </c>
      <c r="I221">
        <v>431962</v>
      </c>
      <c r="J221">
        <v>4308008</v>
      </c>
      <c r="K221">
        <v>0</v>
      </c>
      <c r="L221">
        <v>5.0046600000000003</v>
      </c>
      <c r="M221">
        <v>36</v>
      </c>
    </row>
    <row r="222" spans="1:13">
      <c r="A222" t="s">
        <v>8</v>
      </c>
      <c r="B222" t="s">
        <v>25</v>
      </c>
      <c r="C222">
        <v>1000</v>
      </c>
      <c r="D222">
        <v>100</v>
      </c>
      <c r="E222" t="s">
        <v>73</v>
      </c>
      <c r="F222">
        <v>1</v>
      </c>
      <c r="G222">
        <v>157699</v>
      </c>
      <c r="H222">
        <v>157.69900000000001</v>
      </c>
      <c r="I222">
        <v>789032</v>
      </c>
      <c r="J222">
        <v>3806377</v>
      </c>
      <c r="K222">
        <v>0</v>
      </c>
      <c r="L222">
        <v>5.0034000000000001</v>
      </c>
      <c r="M222">
        <v>36</v>
      </c>
    </row>
    <row r="223" spans="1:13">
      <c r="A223" t="s">
        <v>8</v>
      </c>
      <c r="B223" t="s">
        <v>25</v>
      </c>
      <c r="C223">
        <v>1000</v>
      </c>
      <c r="D223">
        <v>100</v>
      </c>
      <c r="E223" t="s">
        <v>73</v>
      </c>
      <c r="F223">
        <v>2</v>
      </c>
      <c r="G223">
        <v>158353</v>
      </c>
      <c r="H223">
        <v>158.35300000000001</v>
      </c>
      <c r="I223">
        <v>792021</v>
      </c>
      <c r="J223">
        <v>3791941</v>
      </c>
      <c r="K223">
        <v>0</v>
      </c>
      <c r="L223">
        <v>5.0015999999999998</v>
      </c>
      <c r="M223">
        <v>36</v>
      </c>
    </row>
    <row r="224" spans="1:13">
      <c r="A224" t="s">
        <v>8</v>
      </c>
      <c r="B224" t="s">
        <v>25</v>
      </c>
      <c r="C224">
        <v>1000</v>
      </c>
      <c r="D224">
        <v>100</v>
      </c>
      <c r="E224" t="s">
        <v>73</v>
      </c>
      <c r="F224">
        <v>3</v>
      </c>
      <c r="G224">
        <v>164052</v>
      </c>
      <c r="H224">
        <v>164.05199999999999</v>
      </c>
      <c r="I224">
        <v>820477</v>
      </c>
      <c r="J224">
        <v>3846723</v>
      </c>
      <c r="K224">
        <v>0</v>
      </c>
      <c r="L224">
        <v>5.0013399999999999</v>
      </c>
      <c r="M224">
        <v>36</v>
      </c>
    </row>
    <row r="225" spans="1:13">
      <c r="A225" t="s">
        <v>8</v>
      </c>
      <c r="B225" t="s">
        <v>25</v>
      </c>
      <c r="C225">
        <v>1000</v>
      </c>
      <c r="D225">
        <v>100</v>
      </c>
      <c r="E225" t="s">
        <v>73</v>
      </c>
      <c r="F225">
        <v>4</v>
      </c>
      <c r="G225">
        <v>169899</v>
      </c>
      <c r="H225">
        <v>169.899</v>
      </c>
      <c r="I225">
        <v>850351</v>
      </c>
      <c r="J225">
        <v>3901964</v>
      </c>
      <c r="K225">
        <v>0</v>
      </c>
      <c r="L225">
        <v>5.0050299999999996</v>
      </c>
      <c r="M225">
        <v>36</v>
      </c>
    </row>
    <row r="226" spans="1:13">
      <c r="A226" t="s">
        <v>8</v>
      </c>
      <c r="B226" t="s">
        <v>25</v>
      </c>
      <c r="C226">
        <v>1000</v>
      </c>
      <c r="D226">
        <v>100</v>
      </c>
      <c r="E226" t="s">
        <v>73</v>
      </c>
      <c r="F226">
        <v>5</v>
      </c>
      <c r="G226">
        <v>152987</v>
      </c>
      <c r="H226">
        <v>152.98699999999999</v>
      </c>
      <c r="I226">
        <v>765686</v>
      </c>
      <c r="J226">
        <v>3895800</v>
      </c>
      <c r="K226">
        <v>0</v>
      </c>
      <c r="L226">
        <v>5.0049099999999997</v>
      </c>
      <c r="M226">
        <v>36</v>
      </c>
    </row>
    <row r="227" spans="1:13">
      <c r="A227" t="s">
        <v>8</v>
      </c>
      <c r="B227" t="s">
        <v>25</v>
      </c>
      <c r="C227">
        <v>1</v>
      </c>
      <c r="D227">
        <v>1000</v>
      </c>
      <c r="E227" t="s">
        <v>73</v>
      </c>
      <c r="F227">
        <v>1</v>
      </c>
      <c r="G227">
        <v>86705.7</v>
      </c>
      <c r="H227">
        <v>86705.7</v>
      </c>
      <c r="I227">
        <v>433774</v>
      </c>
      <c r="J227">
        <v>103550</v>
      </c>
      <c r="K227">
        <v>0</v>
      </c>
      <c r="L227">
        <v>5.0028300000000003</v>
      </c>
      <c r="M227">
        <v>18</v>
      </c>
    </row>
    <row r="228" spans="1:13">
      <c r="A228" t="s">
        <v>8</v>
      </c>
      <c r="B228" t="s">
        <v>25</v>
      </c>
      <c r="C228">
        <v>1</v>
      </c>
      <c r="D228">
        <v>1000</v>
      </c>
      <c r="E228" t="s">
        <v>73</v>
      </c>
      <c r="F228">
        <v>2</v>
      </c>
      <c r="G228">
        <v>87364.3</v>
      </c>
      <c r="H228">
        <v>87364.3</v>
      </c>
      <c r="I228">
        <v>436917</v>
      </c>
      <c r="J228">
        <v>105968</v>
      </c>
      <c r="K228">
        <v>0</v>
      </c>
      <c r="L228">
        <v>5.0010899999999996</v>
      </c>
      <c r="M228">
        <v>18</v>
      </c>
    </row>
    <row r="229" spans="1:13">
      <c r="A229" t="s">
        <v>8</v>
      </c>
      <c r="B229" t="s">
        <v>25</v>
      </c>
      <c r="C229">
        <v>1</v>
      </c>
      <c r="D229">
        <v>1000</v>
      </c>
      <c r="E229" t="s">
        <v>73</v>
      </c>
      <c r="F229">
        <v>3</v>
      </c>
      <c r="G229">
        <v>88832.1</v>
      </c>
      <c r="H229">
        <v>88832.1</v>
      </c>
      <c r="I229">
        <v>444204</v>
      </c>
      <c r="J229">
        <v>104340</v>
      </c>
      <c r="K229">
        <v>0</v>
      </c>
      <c r="L229">
        <v>5.0004900000000001</v>
      </c>
      <c r="M229">
        <v>18</v>
      </c>
    </row>
    <row r="230" spans="1:13">
      <c r="A230" t="s">
        <v>8</v>
      </c>
      <c r="B230" t="s">
        <v>25</v>
      </c>
      <c r="C230">
        <v>1</v>
      </c>
      <c r="D230">
        <v>1000</v>
      </c>
      <c r="E230" t="s">
        <v>73</v>
      </c>
      <c r="F230">
        <v>4</v>
      </c>
      <c r="G230">
        <v>76535.399999999994</v>
      </c>
      <c r="H230">
        <v>76535.399999999994</v>
      </c>
      <c r="I230">
        <v>382997</v>
      </c>
      <c r="J230">
        <v>115903</v>
      </c>
      <c r="K230">
        <v>0</v>
      </c>
      <c r="L230">
        <v>5.0041799999999999</v>
      </c>
      <c r="M230">
        <v>18</v>
      </c>
    </row>
    <row r="231" spans="1:13">
      <c r="A231" t="s">
        <v>8</v>
      </c>
      <c r="B231" t="s">
        <v>25</v>
      </c>
      <c r="C231">
        <v>1</v>
      </c>
      <c r="D231">
        <v>1000</v>
      </c>
      <c r="E231" t="s">
        <v>73</v>
      </c>
      <c r="F231">
        <v>5</v>
      </c>
      <c r="G231">
        <v>80839.199999999997</v>
      </c>
      <c r="H231">
        <v>80839.199999999997</v>
      </c>
      <c r="I231">
        <v>404365</v>
      </c>
      <c r="J231">
        <v>112116</v>
      </c>
      <c r="K231">
        <v>0</v>
      </c>
      <c r="L231">
        <v>5.0020899999999999</v>
      </c>
      <c r="M231">
        <v>18</v>
      </c>
    </row>
    <row r="232" spans="1:13">
      <c r="A232" t="s">
        <v>8</v>
      </c>
      <c r="B232" t="s">
        <v>25</v>
      </c>
      <c r="C232">
        <v>10</v>
      </c>
      <c r="D232">
        <v>1000</v>
      </c>
      <c r="E232" t="s">
        <v>73</v>
      </c>
      <c r="F232">
        <v>1</v>
      </c>
      <c r="G232">
        <v>96695.1</v>
      </c>
      <c r="H232">
        <v>9669.51</v>
      </c>
      <c r="I232">
        <v>483479</v>
      </c>
      <c r="J232">
        <v>1937345</v>
      </c>
      <c r="K232">
        <v>0</v>
      </c>
      <c r="L232">
        <v>5.0000400000000003</v>
      </c>
      <c r="M232">
        <v>18</v>
      </c>
    </row>
    <row r="233" spans="1:13">
      <c r="A233" t="s">
        <v>8</v>
      </c>
      <c r="B233" t="s">
        <v>25</v>
      </c>
      <c r="C233">
        <v>10</v>
      </c>
      <c r="D233">
        <v>1000</v>
      </c>
      <c r="E233" t="s">
        <v>73</v>
      </c>
      <c r="F233">
        <v>2</v>
      </c>
      <c r="G233">
        <v>100609</v>
      </c>
      <c r="H233">
        <v>10060.9</v>
      </c>
      <c r="I233">
        <v>503175</v>
      </c>
      <c r="J233">
        <v>1724419</v>
      </c>
      <c r="K233">
        <v>0</v>
      </c>
      <c r="L233">
        <v>5.0013100000000001</v>
      </c>
      <c r="M233">
        <v>18</v>
      </c>
    </row>
    <row r="234" spans="1:13">
      <c r="A234" t="s">
        <v>8</v>
      </c>
      <c r="B234" t="s">
        <v>25</v>
      </c>
      <c r="C234">
        <v>10</v>
      </c>
      <c r="D234">
        <v>1000</v>
      </c>
      <c r="E234" t="s">
        <v>73</v>
      </c>
      <c r="F234">
        <v>3</v>
      </c>
      <c r="G234">
        <v>94218.6</v>
      </c>
      <c r="H234">
        <v>9421.86</v>
      </c>
      <c r="I234">
        <v>471137</v>
      </c>
      <c r="J234">
        <v>1955053</v>
      </c>
      <c r="K234">
        <v>0</v>
      </c>
      <c r="L234">
        <v>5.00047</v>
      </c>
      <c r="M234">
        <v>18</v>
      </c>
    </row>
    <row r="235" spans="1:13">
      <c r="A235" t="s">
        <v>8</v>
      </c>
      <c r="B235" t="s">
        <v>25</v>
      </c>
      <c r="C235">
        <v>10</v>
      </c>
      <c r="D235">
        <v>1000</v>
      </c>
      <c r="E235" t="s">
        <v>73</v>
      </c>
      <c r="F235">
        <v>4</v>
      </c>
      <c r="G235">
        <v>94523.4</v>
      </c>
      <c r="H235">
        <v>9452.34</v>
      </c>
      <c r="I235">
        <v>473091</v>
      </c>
      <c r="J235">
        <v>1977254</v>
      </c>
      <c r="K235">
        <v>0</v>
      </c>
      <c r="L235">
        <v>5.00502</v>
      </c>
      <c r="M235">
        <v>18</v>
      </c>
    </row>
    <row r="236" spans="1:13">
      <c r="A236" t="s">
        <v>8</v>
      </c>
      <c r="B236" t="s">
        <v>25</v>
      </c>
      <c r="C236">
        <v>10</v>
      </c>
      <c r="D236">
        <v>1000</v>
      </c>
      <c r="E236" t="s">
        <v>73</v>
      </c>
      <c r="F236">
        <v>5</v>
      </c>
      <c r="G236">
        <v>99724.3</v>
      </c>
      <c r="H236">
        <v>9972.43</v>
      </c>
      <c r="I236">
        <v>498733</v>
      </c>
      <c r="J236">
        <v>1872964</v>
      </c>
      <c r="K236">
        <v>0</v>
      </c>
      <c r="L236">
        <v>5.0011200000000002</v>
      </c>
      <c r="M236">
        <v>18</v>
      </c>
    </row>
    <row r="237" spans="1:13">
      <c r="A237" t="s">
        <v>8</v>
      </c>
      <c r="B237" t="s">
        <v>25</v>
      </c>
      <c r="C237">
        <v>100</v>
      </c>
      <c r="D237">
        <v>1000</v>
      </c>
      <c r="E237" t="s">
        <v>73</v>
      </c>
      <c r="F237">
        <v>1</v>
      </c>
      <c r="G237">
        <v>74544.7</v>
      </c>
      <c r="H237">
        <v>745.447</v>
      </c>
      <c r="I237">
        <v>372827</v>
      </c>
      <c r="J237">
        <v>3717052</v>
      </c>
      <c r="K237">
        <v>0</v>
      </c>
      <c r="L237">
        <v>5.0013899999999998</v>
      </c>
      <c r="M237">
        <v>18</v>
      </c>
    </row>
    <row r="238" spans="1:13">
      <c r="A238" t="s">
        <v>8</v>
      </c>
      <c r="B238" t="s">
        <v>25</v>
      </c>
      <c r="C238">
        <v>100</v>
      </c>
      <c r="D238">
        <v>1000</v>
      </c>
      <c r="E238" t="s">
        <v>73</v>
      </c>
      <c r="F238">
        <v>2</v>
      </c>
      <c r="G238">
        <v>88644.6</v>
      </c>
      <c r="H238">
        <v>886.44600000000003</v>
      </c>
      <c r="I238">
        <v>443246</v>
      </c>
      <c r="J238">
        <v>3499923</v>
      </c>
      <c r="K238">
        <v>0</v>
      </c>
      <c r="L238">
        <v>5.0002599999999999</v>
      </c>
      <c r="M238">
        <v>18</v>
      </c>
    </row>
    <row r="239" spans="1:13">
      <c r="A239" t="s">
        <v>8</v>
      </c>
      <c r="B239" t="s">
        <v>25</v>
      </c>
      <c r="C239">
        <v>100</v>
      </c>
      <c r="D239">
        <v>1000</v>
      </c>
      <c r="E239" t="s">
        <v>73</v>
      </c>
      <c r="F239">
        <v>3</v>
      </c>
      <c r="G239">
        <v>84707.4</v>
      </c>
      <c r="H239">
        <v>847.07399999999996</v>
      </c>
      <c r="I239">
        <v>423776</v>
      </c>
      <c r="J239">
        <v>2935859</v>
      </c>
      <c r="K239">
        <v>0</v>
      </c>
      <c r="L239">
        <v>5.0028199999999998</v>
      </c>
      <c r="M239">
        <v>18</v>
      </c>
    </row>
    <row r="240" spans="1:13">
      <c r="A240" t="s">
        <v>8</v>
      </c>
      <c r="B240" t="s">
        <v>25</v>
      </c>
      <c r="C240">
        <v>100</v>
      </c>
      <c r="D240">
        <v>1000</v>
      </c>
      <c r="E240" t="s">
        <v>73</v>
      </c>
      <c r="F240">
        <v>4</v>
      </c>
      <c r="G240">
        <v>87975.4</v>
      </c>
      <c r="H240">
        <v>879.75400000000002</v>
      </c>
      <c r="I240">
        <v>440122</v>
      </c>
      <c r="J240">
        <v>3006760</v>
      </c>
      <c r="K240">
        <v>0</v>
      </c>
      <c r="L240">
        <v>5.0027900000000001</v>
      </c>
      <c r="M240">
        <v>18</v>
      </c>
    </row>
    <row r="241" spans="1:13">
      <c r="A241" t="s">
        <v>8</v>
      </c>
      <c r="B241" t="s">
        <v>25</v>
      </c>
      <c r="C241">
        <v>100</v>
      </c>
      <c r="D241">
        <v>1000</v>
      </c>
      <c r="E241" t="s">
        <v>73</v>
      </c>
      <c r="F241">
        <v>5</v>
      </c>
      <c r="G241">
        <v>118995</v>
      </c>
      <c r="H241">
        <v>1189.95</v>
      </c>
      <c r="I241">
        <v>595022</v>
      </c>
      <c r="J241">
        <v>3566844</v>
      </c>
      <c r="K241">
        <v>0</v>
      </c>
      <c r="L241">
        <v>5.0004099999999996</v>
      </c>
      <c r="M241">
        <v>18</v>
      </c>
    </row>
    <row r="242" spans="1:13">
      <c r="A242" t="s">
        <v>8</v>
      </c>
      <c r="B242" t="s">
        <v>25</v>
      </c>
      <c r="C242">
        <v>500</v>
      </c>
      <c r="D242">
        <v>1000</v>
      </c>
      <c r="E242" t="s">
        <v>73</v>
      </c>
      <c r="F242">
        <v>1</v>
      </c>
      <c r="G242">
        <v>99793</v>
      </c>
      <c r="H242">
        <v>199.58600000000001</v>
      </c>
      <c r="I242">
        <v>500249</v>
      </c>
      <c r="J242">
        <v>3631441</v>
      </c>
      <c r="K242">
        <v>0</v>
      </c>
      <c r="L242">
        <v>5.0128700000000004</v>
      </c>
      <c r="M242">
        <v>18</v>
      </c>
    </row>
    <row r="243" spans="1:13">
      <c r="A243" t="s">
        <v>8</v>
      </c>
      <c r="B243" t="s">
        <v>25</v>
      </c>
      <c r="C243">
        <v>500</v>
      </c>
      <c r="D243">
        <v>1000</v>
      </c>
      <c r="E243" t="s">
        <v>73</v>
      </c>
      <c r="F243">
        <v>2</v>
      </c>
      <c r="G243">
        <v>113426</v>
      </c>
      <c r="H243">
        <v>226.852</v>
      </c>
      <c r="I243">
        <v>567494</v>
      </c>
      <c r="J243">
        <v>3745067</v>
      </c>
      <c r="K243">
        <v>0</v>
      </c>
      <c r="L243">
        <v>5.0032100000000002</v>
      </c>
      <c r="M243">
        <v>18</v>
      </c>
    </row>
    <row r="244" spans="1:13">
      <c r="A244" t="s">
        <v>8</v>
      </c>
      <c r="B244" t="s">
        <v>25</v>
      </c>
      <c r="C244">
        <v>500</v>
      </c>
      <c r="D244">
        <v>1000</v>
      </c>
      <c r="E244" t="s">
        <v>73</v>
      </c>
      <c r="F244">
        <v>3</v>
      </c>
      <c r="G244">
        <v>118327</v>
      </c>
      <c r="H244">
        <v>236.65299999999999</v>
      </c>
      <c r="I244">
        <v>591853</v>
      </c>
      <c r="J244">
        <v>3781948</v>
      </c>
      <c r="K244">
        <v>0</v>
      </c>
      <c r="L244">
        <v>5.0018599999999998</v>
      </c>
      <c r="M244">
        <v>18</v>
      </c>
    </row>
    <row r="245" spans="1:13">
      <c r="A245" t="s">
        <v>8</v>
      </c>
      <c r="B245" t="s">
        <v>25</v>
      </c>
      <c r="C245">
        <v>500</v>
      </c>
      <c r="D245">
        <v>1000</v>
      </c>
      <c r="E245" t="s">
        <v>73</v>
      </c>
      <c r="F245">
        <v>4</v>
      </c>
      <c r="G245">
        <v>97701.4</v>
      </c>
      <c r="H245">
        <v>195.40299999999999</v>
      </c>
      <c r="I245">
        <v>488997</v>
      </c>
      <c r="J245">
        <v>3888223</v>
      </c>
      <c r="K245">
        <v>0</v>
      </c>
      <c r="L245">
        <v>5.0050100000000004</v>
      </c>
      <c r="M245">
        <v>18</v>
      </c>
    </row>
    <row r="246" spans="1:13">
      <c r="A246" t="s">
        <v>8</v>
      </c>
      <c r="B246" t="s">
        <v>25</v>
      </c>
      <c r="C246">
        <v>500</v>
      </c>
      <c r="D246">
        <v>1000</v>
      </c>
      <c r="E246" t="s">
        <v>73</v>
      </c>
      <c r="F246">
        <v>5</v>
      </c>
      <c r="G246">
        <v>120891</v>
      </c>
      <c r="H246">
        <v>241.78299999999999</v>
      </c>
      <c r="I246">
        <v>605064</v>
      </c>
      <c r="J246">
        <v>3844601</v>
      </c>
      <c r="K246">
        <v>0</v>
      </c>
      <c r="L246">
        <v>5.00502</v>
      </c>
      <c r="M246">
        <v>18</v>
      </c>
    </row>
    <row r="247" spans="1:13">
      <c r="A247" t="s">
        <v>8</v>
      </c>
      <c r="B247" t="s">
        <v>25</v>
      </c>
      <c r="C247">
        <v>1000</v>
      </c>
      <c r="D247">
        <v>1000</v>
      </c>
      <c r="E247" t="s">
        <v>73</v>
      </c>
      <c r="F247">
        <v>1</v>
      </c>
      <c r="G247">
        <v>64683.4</v>
      </c>
      <c r="H247">
        <v>64.683400000000006</v>
      </c>
      <c r="I247">
        <v>323743</v>
      </c>
      <c r="J247">
        <v>3908204</v>
      </c>
      <c r="K247">
        <v>0</v>
      </c>
      <c r="L247">
        <v>5.0050400000000002</v>
      </c>
      <c r="M247">
        <v>18</v>
      </c>
    </row>
    <row r="248" spans="1:13">
      <c r="A248" t="s">
        <v>8</v>
      </c>
      <c r="B248" t="s">
        <v>25</v>
      </c>
      <c r="C248">
        <v>1000</v>
      </c>
      <c r="D248">
        <v>1000</v>
      </c>
      <c r="E248" t="s">
        <v>73</v>
      </c>
      <c r="F248">
        <v>2</v>
      </c>
      <c r="G248">
        <v>64144.4</v>
      </c>
      <c r="H248">
        <v>64.144400000000005</v>
      </c>
      <c r="I248">
        <v>321044</v>
      </c>
      <c r="J248">
        <v>3974532</v>
      </c>
      <c r="K248">
        <v>0</v>
      </c>
      <c r="L248">
        <v>5.00502</v>
      </c>
      <c r="M248">
        <v>18</v>
      </c>
    </row>
    <row r="249" spans="1:13">
      <c r="A249" t="s">
        <v>8</v>
      </c>
      <c r="B249" t="s">
        <v>25</v>
      </c>
      <c r="C249">
        <v>1000</v>
      </c>
      <c r="D249">
        <v>1000</v>
      </c>
      <c r="E249" t="s">
        <v>73</v>
      </c>
      <c r="F249">
        <v>3</v>
      </c>
      <c r="G249">
        <v>67014.8</v>
      </c>
      <c r="H249">
        <v>67.014799999999994</v>
      </c>
      <c r="I249">
        <v>335241</v>
      </c>
      <c r="J249">
        <v>4070372</v>
      </c>
      <c r="K249">
        <v>0</v>
      </c>
      <c r="L249">
        <v>5.0024899999999999</v>
      </c>
      <c r="M249">
        <v>18</v>
      </c>
    </row>
    <row r="250" spans="1:13">
      <c r="A250" t="s">
        <v>8</v>
      </c>
      <c r="B250" t="s">
        <v>25</v>
      </c>
      <c r="C250">
        <v>1000</v>
      </c>
      <c r="D250">
        <v>1000</v>
      </c>
      <c r="E250" t="s">
        <v>73</v>
      </c>
      <c r="F250">
        <v>4</v>
      </c>
      <c r="G250">
        <v>70153.8</v>
      </c>
      <c r="H250">
        <v>70.153800000000004</v>
      </c>
      <c r="I250">
        <v>350802</v>
      </c>
      <c r="J250">
        <v>4006136</v>
      </c>
      <c r="K250">
        <v>0</v>
      </c>
      <c r="L250">
        <v>5.00047</v>
      </c>
      <c r="M250">
        <v>18</v>
      </c>
    </row>
    <row r="251" spans="1:13">
      <c r="A251" t="s">
        <v>8</v>
      </c>
      <c r="B251" t="s">
        <v>25</v>
      </c>
      <c r="C251">
        <v>1000</v>
      </c>
      <c r="D251">
        <v>1000</v>
      </c>
      <c r="E251" t="s">
        <v>73</v>
      </c>
      <c r="F251">
        <v>5</v>
      </c>
      <c r="G251">
        <v>69045.399999999994</v>
      </c>
      <c r="H251">
        <v>69.045400000000001</v>
      </c>
      <c r="I251">
        <v>345573</v>
      </c>
      <c r="J251">
        <v>4031199</v>
      </c>
      <c r="K251">
        <v>0</v>
      </c>
      <c r="L251">
        <v>5.0050100000000004</v>
      </c>
      <c r="M251">
        <v>18</v>
      </c>
    </row>
    <row r="252" spans="1:13">
      <c r="A252" t="s">
        <v>8</v>
      </c>
      <c r="B252" t="s">
        <v>25</v>
      </c>
      <c r="C252">
        <v>1</v>
      </c>
      <c r="D252">
        <v>10000</v>
      </c>
      <c r="E252" t="s">
        <v>73</v>
      </c>
      <c r="F252">
        <v>1</v>
      </c>
      <c r="G252">
        <v>50244.4</v>
      </c>
      <c r="H252">
        <v>50244.4</v>
      </c>
      <c r="I252">
        <v>251474</v>
      </c>
      <c r="J252">
        <v>219052</v>
      </c>
      <c r="K252">
        <v>0</v>
      </c>
      <c r="L252">
        <v>5.00502</v>
      </c>
      <c r="M252">
        <v>9</v>
      </c>
    </row>
    <row r="253" spans="1:13">
      <c r="A253" t="s">
        <v>8</v>
      </c>
      <c r="B253" t="s">
        <v>25</v>
      </c>
      <c r="C253">
        <v>1</v>
      </c>
      <c r="D253">
        <v>10000</v>
      </c>
      <c r="E253" t="s">
        <v>73</v>
      </c>
      <c r="F253">
        <v>2</v>
      </c>
      <c r="G253">
        <v>55877.8</v>
      </c>
      <c r="H253">
        <v>55877.8</v>
      </c>
      <c r="I253">
        <v>279554</v>
      </c>
      <c r="J253">
        <v>222679</v>
      </c>
      <c r="K253">
        <v>0</v>
      </c>
      <c r="L253">
        <v>5.0029500000000002</v>
      </c>
      <c r="M253">
        <v>9</v>
      </c>
    </row>
    <row r="254" spans="1:13">
      <c r="A254" t="s">
        <v>8</v>
      </c>
      <c r="B254" t="s">
        <v>25</v>
      </c>
      <c r="C254">
        <v>1</v>
      </c>
      <c r="D254">
        <v>10000</v>
      </c>
      <c r="E254" t="s">
        <v>73</v>
      </c>
      <c r="F254">
        <v>3</v>
      </c>
      <c r="G254">
        <v>52666.400000000001</v>
      </c>
      <c r="H254">
        <v>52666.400000000001</v>
      </c>
      <c r="I254">
        <v>263464</v>
      </c>
      <c r="J254">
        <v>217604</v>
      </c>
      <c r="K254">
        <v>0</v>
      </c>
      <c r="L254">
        <v>5.00251</v>
      </c>
      <c r="M254">
        <v>9</v>
      </c>
    </row>
    <row r="255" spans="1:13">
      <c r="A255" t="s">
        <v>8</v>
      </c>
      <c r="B255" t="s">
        <v>25</v>
      </c>
      <c r="C255">
        <v>1</v>
      </c>
      <c r="D255">
        <v>10000</v>
      </c>
      <c r="E255" t="s">
        <v>73</v>
      </c>
      <c r="F255">
        <v>4</v>
      </c>
      <c r="G255">
        <v>56245.7</v>
      </c>
      <c r="H255">
        <v>56245.7</v>
      </c>
      <c r="I255">
        <v>281377</v>
      </c>
      <c r="J255">
        <v>234254</v>
      </c>
      <c r="K255">
        <v>0</v>
      </c>
      <c r="L255">
        <v>5.0026400000000004</v>
      </c>
      <c r="M255">
        <v>9</v>
      </c>
    </row>
    <row r="256" spans="1:13">
      <c r="A256" t="s">
        <v>8</v>
      </c>
      <c r="B256" t="s">
        <v>25</v>
      </c>
      <c r="C256">
        <v>1</v>
      </c>
      <c r="D256">
        <v>10000</v>
      </c>
      <c r="E256" t="s">
        <v>73</v>
      </c>
      <c r="F256">
        <v>5</v>
      </c>
      <c r="G256">
        <v>56551.6</v>
      </c>
      <c r="H256">
        <v>56551.6</v>
      </c>
      <c r="I256">
        <v>282980</v>
      </c>
      <c r="J256">
        <v>224654</v>
      </c>
      <c r="K256">
        <v>0</v>
      </c>
      <c r="L256">
        <v>5.0039199999999999</v>
      </c>
      <c r="M256">
        <v>9</v>
      </c>
    </row>
    <row r="257" spans="1:13">
      <c r="A257" t="s">
        <v>8</v>
      </c>
      <c r="B257" t="s">
        <v>25</v>
      </c>
      <c r="C257">
        <v>10</v>
      </c>
      <c r="D257">
        <v>10000</v>
      </c>
      <c r="E257" t="s">
        <v>73</v>
      </c>
      <c r="F257">
        <v>1</v>
      </c>
      <c r="G257">
        <v>53555.199999999997</v>
      </c>
      <c r="H257">
        <v>5355.52</v>
      </c>
      <c r="I257">
        <v>268045</v>
      </c>
      <c r="J257">
        <v>1917232</v>
      </c>
      <c r="K257">
        <v>0</v>
      </c>
      <c r="L257">
        <v>5.00502</v>
      </c>
      <c r="M257">
        <v>9</v>
      </c>
    </row>
    <row r="258" spans="1:13">
      <c r="A258" t="s">
        <v>8</v>
      </c>
      <c r="B258" t="s">
        <v>25</v>
      </c>
      <c r="C258">
        <v>10</v>
      </c>
      <c r="D258">
        <v>10000</v>
      </c>
      <c r="E258" t="s">
        <v>73</v>
      </c>
      <c r="F258">
        <v>2</v>
      </c>
      <c r="G258">
        <v>56118.7</v>
      </c>
      <c r="H258">
        <v>5611.87</v>
      </c>
      <c r="I258">
        <v>280660</v>
      </c>
      <c r="J258">
        <v>1968047</v>
      </c>
      <c r="K258">
        <v>0</v>
      </c>
      <c r="L258">
        <v>5.0011900000000002</v>
      </c>
      <c r="M258">
        <v>9</v>
      </c>
    </row>
    <row r="259" spans="1:13">
      <c r="A259" t="s">
        <v>8</v>
      </c>
      <c r="B259" t="s">
        <v>25</v>
      </c>
      <c r="C259">
        <v>10</v>
      </c>
      <c r="D259">
        <v>10000</v>
      </c>
      <c r="E259" t="s">
        <v>73</v>
      </c>
      <c r="F259">
        <v>3</v>
      </c>
      <c r="G259">
        <v>55421</v>
      </c>
      <c r="H259">
        <v>5542.1</v>
      </c>
      <c r="I259">
        <v>277383</v>
      </c>
      <c r="J259">
        <v>1930968</v>
      </c>
      <c r="K259">
        <v>0</v>
      </c>
      <c r="L259">
        <v>5.0050100000000004</v>
      </c>
      <c r="M259">
        <v>9</v>
      </c>
    </row>
    <row r="260" spans="1:13">
      <c r="A260" t="s">
        <v>8</v>
      </c>
      <c r="B260" t="s">
        <v>25</v>
      </c>
      <c r="C260">
        <v>10</v>
      </c>
      <c r="D260">
        <v>10000</v>
      </c>
      <c r="E260" t="s">
        <v>73</v>
      </c>
      <c r="F260">
        <v>4</v>
      </c>
      <c r="G260">
        <v>54685.599999999999</v>
      </c>
      <c r="H260">
        <v>5468.56</v>
      </c>
      <c r="I260">
        <v>273549</v>
      </c>
      <c r="J260">
        <v>1892913</v>
      </c>
      <c r="K260">
        <v>0</v>
      </c>
      <c r="L260">
        <v>5.0022099999999998</v>
      </c>
      <c r="M260">
        <v>9</v>
      </c>
    </row>
    <row r="261" spans="1:13">
      <c r="A261" t="s">
        <v>8</v>
      </c>
      <c r="B261" t="s">
        <v>25</v>
      </c>
      <c r="C261">
        <v>10</v>
      </c>
      <c r="D261">
        <v>10000</v>
      </c>
      <c r="E261" t="s">
        <v>73</v>
      </c>
      <c r="F261">
        <v>5</v>
      </c>
      <c r="G261">
        <v>53603.1</v>
      </c>
      <c r="H261">
        <v>5360.31</v>
      </c>
      <c r="I261">
        <v>268205</v>
      </c>
      <c r="J261">
        <v>1890863</v>
      </c>
      <c r="K261">
        <v>0</v>
      </c>
      <c r="L261">
        <v>5.0035299999999996</v>
      </c>
      <c r="M261">
        <v>9</v>
      </c>
    </row>
    <row r="262" spans="1:13">
      <c r="A262" t="s">
        <v>8</v>
      </c>
      <c r="B262" t="s">
        <v>25</v>
      </c>
      <c r="C262">
        <v>100</v>
      </c>
      <c r="D262">
        <v>10000</v>
      </c>
      <c r="E262" t="s">
        <v>73</v>
      </c>
      <c r="F262">
        <v>1</v>
      </c>
      <c r="G262">
        <v>50339.5</v>
      </c>
      <c r="H262">
        <v>503.39499999999998</v>
      </c>
      <c r="I262">
        <v>251769</v>
      </c>
      <c r="J262">
        <v>3365178</v>
      </c>
      <c r="K262">
        <v>0</v>
      </c>
      <c r="L262">
        <v>5.0014200000000004</v>
      </c>
      <c r="M262">
        <v>9</v>
      </c>
    </row>
    <row r="263" spans="1:13">
      <c r="A263" t="s">
        <v>8</v>
      </c>
      <c r="B263" t="s">
        <v>25</v>
      </c>
      <c r="C263">
        <v>100</v>
      </c>
      <c r="D263">
        <v>10000</v>
      </c>
      <c r="E263" t="s">
        <v>73</v>
      </c>
      <c r="F263">
        <v>2</v>
      </c>
      <c r="G263">
        <v>46488.2</v>
      </c>
      <c r="H263">
        <v>464.88200000000001</v>
      </c>
      <c r="I263">
        <v>232506</v>
      </c>
      <c r="J263">
        <v>3529081</v>
      </c>
      <c r="K263">
        <v>0</v>
      </c>
      <c r="L263">
        <v>5.0014000000000003</v>
      </c>
      <c r="M263">
        <v>9</v>
      </c>
    </row>
    <row r="264" spans="1:13">
      <c r="A264" t="s">
        <v>8</v>
      </c>
      <c r="B264" t="s">
        <v>25</v>
      </c>
      <c r="C264">
        <v>100</v>
      </c>
      <c r="D264">
        <v>10000</v>
      </c>
      <c r="E264" t="s">
        <v>73</v>
      </c>
      <c r="F264">
        <v>3</v>
      </c>
      <c r="G264">
        <v>47457.2</v>
      </c>
      <c r="H264">
        <v>474.572</v>
      </c>
      <c r="I264">
        <v>237327</v>
      </c>
      <c r="J264">
        <v>3320760</v>
      </c>
      <c r="K264">
        <v>0</v>
      </c>
      <c r="L264">
        <v>5.0008600000000003</v>
      </c>
      <c r="M264">
        <v>9</v>
      </c>
    </row>
    <row r="265" spans="1:13">
      <c r="A265" t="s">
        <v>8</v>
      </c>
      <c r="B265" t="s">
        <v>25</v>
      </c>
      <c r="C265">
        <v>100</v>
      </c>
      <c r="D265">
        <v>10000</v>
      </c>
      <c r="E265" t="s">
        <v>73</v>
      </c>
      <c r="F265">
        <v>4</v>
      </c>
      <c r="G265">
        <v>46978.3</v>
      </c>
      <c r="H265">
        <v>469.78300000000002</v>
      </c>
      <c r="I265">
        <v>234933</v>
      </c>
      <c r="J265">
        <v>3485583</v>
      </c>
      <c r="K265">
        <v>0</v>
      </c>
      <c r="L265">
        <v>5.0008900000000001</v>
      </c>
      <c r="M265">
        <v>9</v>
      </c>
    </row>
    <row r="266" spans="1:13">
      <c r="A266" t="s">
        <v>8</v>
      </c>
      <c r="B266" t="s">
        <v>25</v>
      </c>
      <c r="C266">
        <v>100</v>
      </c>
      <c r="D266">
        <v>10000</v>
      </c>
      <c r="E266" t="s">
        <v>73</v>
      </c>
      <c r="F266">
        <v>5</v>
      </c>
      <c r="G266">
        <v>50689.9</v>
      </c>
      <c r="H266">
        <v>506.899</v>
      </c>
      <c r="I266">
        <v>253453</v>
      </c>
      <c r="J266">
        <v>3395150</v>
      </c>
      <c r="K266">
        <v>0</v>
      </c>
      <c r="L266">
        <v>5.00007</v>
      </c>
      <c r="M266">
        <v>9</v>
      </c>
    </row>
    <row r="267" spans="1:13">
      <c r="A267" t="s">
        <v>8</v>
      </c>
      <c r="B267" t="s">
        <v>25</v>
      </c>
      <c r="C267">
        <v>500</v>
      </c>
      <c r="D267">
        <v>10000</v>
      </c>
      <c r="E267" t="s">
        <v>73</v>
      </c>
      <c r="F267">
        <v>1</v>
      </c>
      <c r="G267">
        <v>27695.599999999999</v>
      </c>
      <c r="H267">
        <v>55.391300000000001</v>
      </c>
      <c r="I267">
        <v>138488</v>
      </c>
      <c r="J267">
        <v>2755869</v>
      </c>
      <c r="K267">
        <v>0</v>
      </c>
      <c r="L267">
        <v>5.0003599999999997</v>
      </c>
      <c r="M267">
        <v>9</v>
      </c>
    </row>
    <row r="268" spans="1:13">
      <c r="A268" t="s">
        <v>8</v>
      </c>
      <c r="B268" t="s">
        <v>25</v>
      </c>
      <c r="C268">
        <v>500</v>
      </c>
      <c r="D268">
        <v>10000</v>
      </c>
      <c r="E268" t="s">
        <v>73</v>
      </c>
      <c r="F268">
        <v>2</v>
      </c>
      <c r="G268">
        <v>35040.800000000003</v>
      </c>
      <c r="H268">
        <v>70.081599999999995</v>
      </c>
      <c r="I268">
        <v>175380</v>
      </c>
      <c r="J268">
        <v>3564022</v>
      </c>
      <c r="K268">
        <v>0</v>
      </c>
      <c r="L268">
        <v>5.00502</v>
      </c>
      <c r="M268">
        <v>9</v>
      </c>
    </row>
    <row r="269" spans="1:13">
      <c r="A269" t="s">
        <v>8</v>
      </c>
      <c r="B269" t="s">
        <v>25</v>
      </c>
      <c r="C269">
        <v>500</v>
      </c>
      <c r="D269">
        <v>10000</v>
      </c>
      <c r="E269" t="s">
        <v>73</v>
      </c>
      <c r="F269">
        <v>3</v>
      </c>
      <c r="G269">
        <v>37413.1</v>
      </c>
      <c r="H269">
        <v>74.8262</v>
      </c>
      <c r="I269">
        <v>187262</v>
      </c>
      <c r="J269">
        <v>3761695</v>
      </c>
      <c r="K269">
        <v>0</v>
      </c>
      <c r="L269">
        <v>5.0052500000000002</v>
      </c>
      <c r="M269">
        <v>9</v>
      </c>
    </row>
    <row r="270" spans="1:13">
      <c r="A270" t="s">
        <v>8</v>
      </c>
      <c r="B270" t="s">
        <v>25</v>
      </c>
      <c r="C270">
        <v>500</v>
      </c>
      <c r="D270">
        <v>10000</v>
      </c>
      <c r="E270" t="s">
        <v>73</v>
      </c>
      <c r="F270">
        <v>4</v>
      </c>
      <c r="G270">
        <v>37309.9</v>
      </c>
      <c r="H270">
        <v>74.619900000000001</v>
      </c>
      <c r="I270">
        <v>186737</v>
      </c>
      <c r="J270">
        <v>3753509</v>
      </c>
      <c r="K270">
        <v>0</v>
      </c>
      <c r="L270">
        <v>5.00502</v>
      </c>
      <c r="M270">
        <v>9</v>
      </c>
    </row>
    <row r="271" spans="1:13">
      <c r="A271" t="s">
        <v>8</v>
      </c>
      <c r="B271" t="s">
        <v>25</v>
      </c>
      <c r="C271">
        <v>500</v>
      </c>
      <c r="D271">
        <v>10000</v>
      </c>
      <c r="E271" t="s">
        <v>73</v>
      </c>
      <c r="F271">
        <v>5</v>
      </c>
      <c r="G271">
        <v>36854.800000000003</v>
      </c>
      <c r="H271">
        <v>73.709599999999995</v>
      </c>
      <c r="I271">
        <v>184300</v>
      </c>
      <c r="J271">
        <v>3725522</v>
      </c>
      <c r="K271">
        <v>0</v>
      </c>
      <c r="L271">
        <v>5.0007000000000001</v>
      </c>
      <c r="M271">
        <v>9</v>
      </c>
    </row>
    <row r="272" spans="1:13">
      <c r="A272" t="s">
        <v>8</v>
      </c>
      <c r="B272" t="s">
        <v>25</v>
      </c>
      <c r="C272">
        <v>1000</v>
      </c>
      <c r="D272">
        <v>10000</v>
      </c>
      <c r="E272" t="s">
        <v>73</v>
      </c>
      <c r="F272">
        <v>1</v>
      </c>
      <c r="G272">
        <v>51969.4</v>
      </c>
      <c r="H272">
        <v>51.9694</v>
      </c>
      <c r="I272">
        <v>260023</v>
      </c>
      <c r="J272">
        <v>3678415</v>
      </c>
      <c r="K272">
        <v>0</v>
      </c>
      <c r="L272">
        <v>5.0033799999999999</v>
      </c>
      <c r="M272">
        <v>9</v>
      </c>
    </row>
    <row r="273" spans="1:13">
      <c r="A273" t="s">
        <v>8</v>
      </c>
      <c r="B273" t="s">
        <v>25</v>
      </c>
      <c r="C273">
        <v>1000</v>
      </c>
      <c r="D273">
        <v>10000</v>
      </c>
      <c r="E273" t="s">
        <v>73</v>
      </c>
      <c r="F273">
        <v>2</v>
      </c>
      <c r="G273">
        <v>61662.7</v>
      </c>
      <c r="H273">
        <v>61.662700000000001</v>
      </c>
      <c r="I273">
        <v>308624</v>
      </c>
      <c r="J273">
        <v>3581110</v>
      </c>
      <c r="K273">
        <v>0</v>
      </c>
      <c r="L273">
        <v>5.0050400000000002</v>
      </c>
      <c r="M273">
        <v>9</v>
      </c>
    </row>
    <row r="274" spans="1:13">
      <c r="A274" t="s">
        <v>8</v>
      </c>
      <c r="B274" t="s">
        <v>25</v>
      </c>
      <c r="C274">
        <v>1000</v>
      </c>
      <c r="D274">
        <v>10000</v>
      </c>
      <c r="E274" t="s">
        <v>73</v>
      </c>
      <c r="F274">
        <v>3</v>
      </c>
      <c r="G274">
        <v>52989.2</v>
      </c>
      <c r="H274">
        <v>52.989199999999997</v>
      </c>
      <c r="I274">
        <v>265060</v>
      </c>
      <c r="J274">
        <v>3625005</v>
      </c>
      <c r="K274">
        <v>0</v>
      </c>
      <c r="L274">
        <v>5.0021599999999999</v>
      </c>
      <c r="M274">
        <v>9</v>
      </c>
    </row>
    <row r="275" spans="1:13">
      <c r="A275" t="s">
        <v>8</v>
      </c>
      <c r="B275" t="s">
        <v>25</v>
      </c>
      <c r="C275">
        <v>1000</v>
      </c>
      <c r="D275">
        <v>10000</v>
      </c>
      <c r="E275" t="s">
        <v>73</v>
      </c>
      <c r="F275">
        <v>4</v>
      </c>
      <c r="G275">
        <v>52539.7</v>
      </c>
      <c r="H275">
        <v>52.539700000000003</v>
      </c>
      <c r="I275">
        <v>262962</v>
      </c>
      <c r="J275">
        <v>3682437</v>
      </c>
      <c r="K275">
        <v>0</v>
      </c>
      <c r="L275">
        <v>5.0050100000000004</v>
      </c>
      <c r="M275">
        <v>9</v>
      </c>
    </row>
    <row r="276" spans="1:13">
      <c r="A276" t="s">
        <v>8</v>
      </c>
      <c r="B276" t="s">
        <v>25</v>
      </c>
      <c r="C276">
        <v>1000</v>
      </c>
      <c r="D276">
        <v>10000</v>
      </c>
      <c r="E276" t="s">
        <v>73</v>
      </c>
      <c r="F276">
        <v>5</v>
      </c>
      <c r="G276">
        <v>53459.5</v>
      </c>
      <c r="H276">
        <v>53.459499999999998</v>
      </c>
      <c r="I276">
        <v>267368</v>
      </c>
      <c r="J276">
        <v>3664450</v>
      </c>
      <c r="K276">
        <v>0</v>
      </c>
      <c r="L276">
        <v>5.0013199999999998</v>
      </c>
      <c r="M276">
        <v>9</v>
      </c>
    </row>
    <row r="277" spans="1:13">
      <c r="A277" t="s">
        <v>8</v>
      </c>
      <c r="B277" t="s">
        <v>25</v>
      </c>
      <c r="C277">
        <v>1</v>
      </c>
      <c r="D277">
        <v>100000</v>
      </c>
      <c r="E277" t="s">
        <v>73</v>
      </c>
      <c r="F277">
        <v>1</v>
      </c>
      <c r="G277">
        <v>13648.2</v>
      </c>
      <c r="H277">
        <v>13648.2</v>
      </c>
      <c r="I277">
        <v>68270</v>
      </c>
      <c r="J277">
        <v>259129</v>
      </c>
      <c r="K277">
        <v>0</v>
      </c>
      <c r="L277">
        <v>5.0021300000000002</v>
      </c>
      <c r="M277">
        <v>4</v>
      </c>
    </row>
    <row r="278" spans="1:13">
      <c r="A278" t="s">
        <v>8</v>
      </c>
      <c r="B278" t="s">
        <v>25</v>
      </c>
      <c r="C278">
        <v>1</v>
      </c>
      <c r="D278">
        <v>100000</v>
      </c>
      <c r="E278" t="s">
        <v>73</v>
      </c>
      <c r="F278">
        <v>2</v>
      </c>
      <c r="G278">
        <v>14840.3</v>
      </c>
      <c r="H278">
        <v>14840.3</v>
      </c>
      <c r="I278">
        <v>74259</v>
      </c>
      <c r="J278">
        <v>270790</v>
      </c>
      <c r="K278">
        <v>0</v>
      </c>
      <c r="L278">
        <v>5.00387</v>
      </c>
      <c r="M278">
        <v>4</v>
      </c>
    </row>
    <row r="279" spans="1:13">
      <c r="A279" t="s">
        <v>8</v>
      </c>
      <c r="B279" t="s">
        <v>25</v>
      </c>
      <c r="C279">
        <v>1</v>
      </c>
      <c r="D279">
        <v>100000</v>
      </c>
      <c r="E279" t="s">
        <v>73</v>
      </c>
      <c r="F279">
        <v>3</v>
      </c>
      <c r="G279">
        <v>14261.6</v>
      </c>
      <c r="H279">
        <v>14261.6</v>
      </c>
      <c r="I279">
        <v>71341</v>
      </c>
      <c r="J279">
        <v>263352</v>
      </c>
      <c r="K279">
        <v>0</v>
      </c>
      <c r="L279">
        <v>5.0023</v>
      </c>
      <c r="M279">
        <v>4</v>
      </c>
    </row>
    <row r="280" spans="1:13">
      <c r="A280" t="s">
        <v>8</v>
      </c>
      <c r="B280" t="s">
        <v>25</v>
      </c>
      <c r="C280">
        <v>1</v>
      </c>
      <c r="D280">
        <v>100000</v>
      </c>
      <c r="E280" t="s">
        <v>73</v>
      </c>
      <c r="F280">
        <v>4</v>
      </c>
      <c r="G280">
        <v>14836.7</v>
      </c>
      <c r="H280">
        <v>14836.7</v>
      </c>
      <c r="I280">
        <v>74246</v>
      </c>
      <c r="J280">
        <v>271603</v>
      </c>
      <c r="K280">
        <v>0</v>
      </c>
      <c r="L280">
        <v>5.0042099999999996</v>
      </c>
      <c r="M280">
        <v>4</v>
      </c>
    </row>
    <row r="281" spans="1:13">
      <c r="A281" t="s">
        <v>8</v>
      </c>
      <c r="B281" t="s">
        <v>25</v>
      </c>
      <c r="C281">
        <v>1</v>
      </c>
      <c r="D281">
        <v>100000</v>
      </c>
      <c r="E281" t="s">
        <v>73</v>
      </c>
      <c r="F281">
        <v>5</v>
      </c>
      <c r="G281">
        <v>14111</v>
      </c>
      <c r="H281">
        <v>14111</v>
      </c>
      <c r="I281">
        <v>70626</v>
      </c>
      <c r="J281">
        <v>262368</v>
      </c>
      <c r="K281">
        <v>0</v>
      </c>
      <c r="L281">
        <v>5.0050299999999996</v>
      </c>
      <c r="M281">
        <v>4</v>
      </c>
    </row>
    <row r="282" spans="1:13">
      <c r="A282" t="s">
        <v>8</v>
      </c>
      <c r="B282" t="s">
        <v>25</v>
      </c>
      <c r="C282">
        <v>10</v>
      </c>
      <c r="D282">
        <v>100000</v>
      </c>
      <c r="E282" t="s">
        <v>73</v>
      </c>
      <c r="F282">
        <v>1</v>
      </c>
      <c r="G282">
        <v>12869.6</v>
      </c>
      <c r="H282">
        <v>1286.96</v>
      </c>
      <c r="I282">
        <v>64365</v>
      </c>
      <c r="J282">
        <v>1717480</v>
      </c>
      <c r="K282">
        <v>0</v>
      </c>
      <c r="L282">
        <v>5.0013399999999999</v>
      </c>
      <c r="M282">
        <v>4</v>
      </c>
    </row>
    <row r="283" spans="1:13">
      <c r="A283" t="s">
        <v>8</v>
      </c>
      <c r="B283" t="s">
        <v>25</v>
      </c>
      <c r="C283">
        <v>10</v>
      </c>
      <c r="D283">
        <v>100000</v>
      </c>
      <c r="E283" t="s">
        <v>73</v>
      </c>
      <c r="F283">
        <v>2</v>
      </c>
      <c r="G283">
        <v>12993.6</v>
      </c>
      <c r="H283">
        <v>1299.3599999999999</v>
      </c>
      <c r="I283">
        <v>64979</v>
      </c>
      <c r="J283">
        <v>1705467</v>
      </c>
      <c r="K283">
        <v>0</v>
      </c>
      <c r="L283">
        <v>5.0008400000000002</v>
      </c>
      <c r="M283">
        <v>4</v>
      </c>
    </row>
    <row r="284" spans="1:13">
      <c r="A284" t="s">
        <v>8</v>
      </c>
      <c r="B284" t="s">
        <v>25</v>
      </c>
      <c r="C284">
        <v>10</v>
      </c>
      <c r="D284">
        <v>100000</v>
      </c>
      <c r="E284" t="s">
        <v>73</v>
      </c>
      <c r="F284">
        <v>3</v>
      </c>
      <c r="G284">
        <v>12655.1</v>
      </c>
      <c r="H284">
        <v>1265.51</v>
      </c>
      <c r="I284">
        <v>63285</v>
      </c>
      <c r="J284">
        <v>1690034</v>
      </c>
      <c r="K284">
        <v>0</v>
      </c>
      <c r="L284">
        <v>5.0007400000000004</v>
      </c>
      <c r="M284">
        <v>4</v>
      </c>
    </row>
    <row r="285" spans="1:13">
      <c r="A285" t="s">
        <v>8</v>
      </c>
      <c r="B285" t="s">
        <v>25</v>
      </c>
      <c r="C285">
        <v>10</v>
      </c>
      <c r="D285">
        <v>100000</v>
      </c>
      <c r="E285" t="s">
        <v>73</v>
      </c>
      <c r="F285">
        <v>4</v>
      </c>
      <c r="G285">
        <v>12933.4</v>
      </c>
      <c r="H285">
        <v>1293.3399999999999</v>
      </c>
      <c r="I285">
        <v>64728</v>
      </c>
      <c r="J285">
        <v>1731512</v>
      </c>
      <c r="K285">
        <v>0</v>
      </c>
      <c r="L285">
        <v>5.0047300000000003</v>
      </c>
      <c r="M285">
        <v>4</v>
      </c>
    </row>
    <row r="286" spans="1:13">
      <c r="A286" t="s">
        <v>8</v>
      </c>
      <c r="B286" t="s">
        <v>25</v>
      </c>
      <c r="C286">
        <v>10</v>
      </c>
      <c r="D286">
        <v>100000</v>
      </c>
      <c r="E286" t="s">
        <v>73</v>
      </c>
      <c r="F286">
        <v>5</v>
      </c>
      <c r="G286">
        <v>12834.5</v>
      </c>
      <c r="H286">
        <v>1283.45</v>
      </c>
      <c r="I286">
        <v>64213</v>
      </c>
      <c r="J286">
        <v>1719182</v>
      </c>
      <c r="K286">
        <v>0</v>
      </c>
      <c r="L286">
        <v>5.0031699999999999</v>
      </c>
      <c r="M286">
        <v>4</v>
      </c>
    </row>
    <row r="287" spans="1:13">
      <c r="A287" t="s">
        <v>8</v>
      </c>
      <c r="B287" t="s">
        <v>25</v>
      </c>
      <c r="C287">
        <v>100</v>
      </c>
      <c r="D287">
        <v>100000</v>
      </c>
      <c r="E287" t="s">
        <v>73</v>
      </c>
      <c r="F287">
        <v>1</v>
      </c>
      <c r="G287">
        <v>12392.3</v>
      </c>
      <c r="H287">
        <v>123.923</v>
      </c>
      <c r="I287">
        <v>61990</v>
      </c>
      <c r="J287">
        <v>3102137</v>
      </c>
      <c r="K287">
        <v>0</v>
      </c>
      <c r="L287">
        <v>5.0023200000000001</v>
      </c>
      <c r="M287">
        <v>4</v>
      </c>
    </row>
    <row r="288" spans="1:13">
      <c r="A288" t="s">
        <v>8</v>
      </c>
      <c r="B288" t="s">
        <v>25</v>
      </c>
      <c r="C288">
        <v>100</v>
      </c>
      <c r="D288">
        <v>100000</v>
      </c>
      <c r="E288" t="s">
        <v>73</v>
      </c>
      <c r="F288">
        <v>2</v>
      </c>
      <c r="G288">
        <v>11473.9</v>
      </c>
      <c r="H288">
        <v>114.739</v>
      </c>
      <c r="I288">
        <v>57394</v>
      </c>
      <c r="J288">
        <v>2901173</v>
      </c>
      <c r="K288">
        <v>0</v>
      </c>
      <c r="L288">
        <v>5.0021500000000003</v>
      </c>
      <c r="M288">
        <v>4</v>
      </c>
    </row>
    <row r="289" spans="1:13">
      <c r="A289" t="s">
        <v>8</v>
      </c>
      <c r="B289" t="s">
        <v>25</v>
      </c>
      <c r="C289">
        <v>100</v>
      </c>
      <c r="D289">
        <v>100000</v>
      </c>
      <c r="E289" t="s">
        <v>73</v>
      </c>
      <c r="F289">
        <v>3</v>
      </c>
      <c r="G289">
        <v>12849.5</v>
      </c>
      <c r="H289">
        <v>128.495</v>
      </c>
      <c r="I289">
        <v>64312</v>
      </c>
      <c r="J289">
        <v>3174366</v>
      </c>
      <c r="K289">
        <v>0</v>
      </c>
      <c r="L289">
        <v>5.0050299999999996</v>
      </c>
      <c r="M289">
        <v>4</v>
      </c>
    </row>
    <row r="290" spans="1:13">
      <c r="A290" t="s">
        <v>8</v>
      </c>
      <c r="B290" t="s">
        <v>25</v>
      </c>
      <c r="C290">
        <v>100</v>
      </c>
      <c r="D290">
        <v>100000</v>
      </c>
      <c r="E290" t="s">
        <v>73</v>
      </c>
      <c r="F290">
        <v>4</v>
      </c>
      <c r="G290">
        <v>13043.1</v>
      </c>
      <c r="H290">
        <v>130.43100000000001</v>
      </c>
      <c r="I290">
        <v>65281</v>
      </c>
      <c r="J290">
        <v>3250632</v>
      </c>
      <c r="K290">
        <v>0</v>
      </c>
      <c r="L290">
        <v>5.00502</v>
      </c>
      <c r="M290">
        <v>4</v>
      </c>
    </row>
    <row r="291" spans="1:13">
      <c r="A291" t="s">
        <v>8</v>
      </c>
      <c r="B291" t="s">
        <v>25</v>
      </c>
      <c r="C291">
        <v>100</v>
      </c>
      <c r="D291">
        <v>100000</v>
      </c>
      <c r="E291" t="s">
        <v>73</v>
      </c>
      <c r="F291">
        <v>5</v>
      </c>
      <c r="G291">
        <v>12934.3</v>
      </c>
      <c r="H291">
        <v>129.34299999999999</v>
      </c>
      <c r="I291">
        <v>64716</v>
      </c>
      <c r="J291">
        <v>3212683</v>
      </c>
      <c r="K291">
        <v>0</v>
      </c>
      <c r="L291">
        <v>5.0034400000000003</v>
      </c>
      <c r="M291">
        <v>4</v>
      </c>
    </row>
    <row r="292" spans="1:13">
      <c r="A292" t="s">
        <v>8</v>
      </c>
      <c r="B292" t="s">
        <v>25</v>
      </c>
      <c r="C292">
        <v>500</v>
      </c>
      <c r="D292">
        <v>100000</v>
      </c>
      <c r="E292" t="s">
        <v>73</v>
      </c>
      <c r="F292">
        <v>1</v>
      </c>
      <c r="G292">
        <v>13191.3</v>
      </c>
      <c r="H292">
        <v>26.3825</v>
      </c>
      <c r="I292">
        <v>65996</v>
      </c>
      <c r="J292">
        <v>3455955</v>
      </c>
      <c r="K292">
        <v>0</v>
      </c>
      <c r="L292">
        <v>5.0030099999999997</v>
      </c>
      <c r="M292">
        <v>4</v>
      </c>
    </row>
    <row r="293" spans="1:13">
      <c r="A293" t="s">
        <v>8</v>
      </c>
      <c r="B293" t="s">
        <v>25</v>
      </c>
      <c r="C293">
        <v>500</v>
      </c>
      <c r="D293">
        <v>100000</v>
      </c>
      <c r="E293" t="s">
        <v>73</v>
      </c>
      <c r="F293">
        <v>2</v>
      </c>
      <c r="G293">
        <v>13344.6</v>
      </c>
      <c r="H293">
        <v>26.6892</v>
      </c>
      <c r="I293">
        <v>66724</v>
      </c>
      <c r="J293">
        <v>3497830</v>
      </c>
      <c r="K293">
        <v>0</v>
      </c>
      <c r="L293">
        <v>5.00007</v>
      </c>
      <c r="M293">
        <v>4</v>
      </c>
    </row>
    <row r="294" spans="1:13">
      <c r="A294" t="s">
        <v>8</v>
      </c>
      <c r="B294" t="s">
        <v>25</v>
      </c>
      <c r="C294">
        <v>500</v>
      </c>
      <c r="D294">
        <v>100000</v>
      </c>
      <c r="E294" t="s">
        <v>73</v>
      </c>
      <c r="F294">
        <v>3</v>
      </c>
      <c r="G294">
        <v>13358.5</v>
      </c>
      <c r="H294">
        <v>26.716899999999999</v>
      </c>
      <c r="I294">
        <v>66822</v>
      </c>
      <c r="J294">
        <v>3504282</v>
      </c>
      <c r="K294">
        <v>0</v>
      </c>
      <c r="L294">
        <v>5.0022200000000003</v>
      </c>
      <c r="M294">
        <v>4</v>
      </c>
    </row>
    <row r="295" spans="1:13">
      <c r="A295" t="s">
        <v>8</v>
      </c>
      <c r="B295" t="s">
        <v>25</v>
      </c>
      <c r="C295">
        <v>500</v>
      </c>
      <c r="D295">
        <v>100000</v>
      </c>
      <c r="E295" t="s">
        <v>73</v>
      </c>
      <c r="F295">
        <v>4</v>
      </c>
      <c r="G295">
        <v>13889</v>
      </c>
      <c r="H295">
        <v>27.778099999999998</v>
      </c>
      <c r="I295">
        <v>69515</v>
      </c>
      <c r="J295">
        <v>3584716</v>
      </c>
      <c r="K295">
        <v>0</v>
      </c>
      <c r="L295">
        <v>5.0050299999999996</v>
      </c>
      <c r="M295">
        <v>4</v>
      </c>
    </row>
    <row r="296" spans="1:13">
      <c r="A296" t="s">
        <v>8</v>
      </c>
      <c r="B296" t="s">
        <v>25</v>
      </c>
      <c r="C296">
        <v>500</v>
      </c>
      <c r="D296">
        <v>100000</v>
      </c>
      <c r="E296" t="s">
        <v>73</v>
      </c>
      <c r="F296">
        <v>5</v>
      </c>
      <c r="G296">
        <v>13868.3</v>
      </c>
      <c r="H296">
        <v>27.736599999999999</v>
      </c>
      <c r="I296">
        <v>69394</v>
      </c>
      <c r="J296">
        <v>3567694</v>
      </c>
      <c r="K296">
        <v>0</v>
      </c>
      <c r="L296">
        <v>5.0037900000000004</v>
      </c>
      <c r="M296">
        <v>4</v>
      </c>
    </row>
    <row r="297" spans="1:13">
      <c r="A297" t="s">
        <v>8</v>
      </c>
      <c r="B297" t="s">
        <v>25</v>
      </c>
      <c r="C297">
        <v>1000</v>
      </c>
      <c r="D297">
        <v>100000</v>
      </c>
      <c r="E297" t="s">
        <v>73</v>
      </c>
      <c r="F297">
        <v>1</v>
      </c>
      <c r="G297">
        <v>13272.8</v>
      </c>
      <c r="H297">
        <v>13.2728</v>
      </c>
      <c r="I297">
        <v>66392</v>
      </c>
      <c r="J297">
        <v>3441605</v>
      </c>
      <c r="K297">
        <v>0</v>
      </c>
      <c r="L297">
        <v>5.0021000000000004</v>
      </c>
      <c r="M297">
        <v>4</v>
      </c>
    </row>
    <row r="298" spans="1:13">
      <c r="A298" t="s">
        <v>8</v>
      </c>
      <c r="B298" t="s">
        <v>25</v>
      </c>
      <c r="C298">
        <v>1000</v>
      </c>
      <c r="D298">
        <v>100000</v>
      </c>
      <c r="E298" t="s">
        <v>73</v>
      </c>
      <c r="F298">
        <v>2</v>
      </c>
      <c r="G298">
        <v>14032.4</v>
      </c>
      <c r="H298">
        <v>14.032400000000001</v>
      </c>
      <c r="I298">
        <v>70221</v>
      </c>
      <c r="J298">
        <v>3576337</v>
      </c>
      <c r="K298">
        <v>0</v>
      </c>
      <c r="L298">
        <v>5.0042099999999996</v>
      </c>
      <c r="M298">
        <v>4</v>
      </c>
    </row>
    <row r="299" spans="1:13">
      <c r="A299" t="s">
        <v>8</v>
      </c>
      <c r="B299" t="s">
        <v>25</v>
      </c>
      <c r="C299">
        <v>1000</v>
      </c>
      <c r="D299">
        <v>100000</v>
      </c>
      <c r="E299" t="s">
        <v>73</v>
      </c>
      <c r="F299">
        <v>3</v>
      </c>
      <c r="G299">
        <v>13851.9</v>
      </c>
      <c r="H299">
        <v>13.851900000000001</v>
      </c>
      <c r="I299">
        <v>69329</v>
      </c>
      <c r="J299">
        <v>3565207</v>
      </c>
      <c r="K299">
        <v>0</v>
      </c>
      <c r="L299">
        <v>5.0050299999999996</v>
      </c>
      <c r="M299">
        <v>4</v>
      </c>
    </row>
    <row r="300" spans="1:13">
      <c r="A300" t="s">
        <v>8</v>
      </c>
      <c r="B300" t="s">
        <v>25</v>
      </c>
      <c r="C300">
        <v>1000</v>
      </c>
      <c r="D300">
        <v>100000</v>
      </c>
      <c r="E300" t="s">
        <v>73</v>
      </c>
      <c r="F300">
        <v>4</v>
      </c>
      <c r="G300">
        <v>13645.5</v>
      </c>
      <c r="H300">
        <v>13.6455</v>
      </c>
      <c r="I300">
        <v>68284</v>
      </c>
      <c r="J300">
        <v>3536181</v>
      </c>
      <c r="K300">
        <v>0</v>
      </c>
      <c r="L300">
        <v>5.0041500000000001</v>
      </c>
      <c r="M300">
        <v>4</v>
      </c>
    </row>
    <row r="301" spans="1:13">
      <c r="A301" t="s">
        <v>8</v>
      </c>
      <c r="B301" t="s">
        <v>25</v>
      </c>
      <c r="C301">
        <v>1000</v>
      </c>
      <c r="D301">
        <v>100000</v>
      </c>
      <c r="E301" t="s">
        <v>73</v>
      </c>
      <c r="F301">
        <v>5</v>
      </c>
      <c r="G301">
        <v>14044.6</v>
      </c>
      <c r="H301">
        <v>14.044600000000001</v>
      </c>
      <c r="I301">
        <v>70294</v>
      </c>
      <c r="J301">
        <v>3582145</v>
      </c>
      <c r="K301">
        <v>0</v>
      </c>
      <c r="L301">
        <v>5.0050400000000002</v>
      </c>
      <c r="M301">
        <v>4</v>
      </c>
    </row>
    <row r="302" spans="1:13">
      <c r="A302" t="s">
        <v>9</v>
      </c>
      <c r="B302" t="s">
        <v>25</v>
      </c>
      <c r="C302">
        <v>1</v>
      </c>
      <c r="D302">
        <v>1</v>
      </c>
      <c r="E302" t="s">
        <v>73</v>
      </c>
      <c r="F302">
        <v>1</v>
      </c>
      <c r="G302">
        <v>74951.899999999994</v>
      </c>
      <c r="H302">
        <v>74951.899999999994</v>
      </c>
      <c r="I302">
        <v>374830</v>
      </c>
      <c r="J302">
        <v>2609</v>
      </c>
      <c r="K302">
        <v>0</v>
      </c>
      <c r="L302">
        <v>5.0009399999999999</v>
      </c>
      <c r="M302">
        <v>144</v>
      </c>
    </row>
    <row r="303" spans="1:13">
      <c r="A303" t="s">
        <v>9</v>
      </c>
      <c r="B303" t="s">
        <v>25</v>
      </c>
      <c r="C303">
        <v>1</v>
      </c>
      <c r="D303">
        <v>1</v>
      </c>
      <c r="E303" t="s">
        <v>73</v>
      </c>
      <c r="F303">
        <v>2</v>
      </c>
      <c r="G303">
        <v>75218.8</v>
      </c>
      <c r="H303">
        <v>75218.8</v>
      </c>
      <c r="I303">
        <v>376486</v>
      </c>
      <c r="J303">
        <v>306</v>
      </c>
      <c r="K303">
        <v>0</v>
      </c>
      <c r="L303">
        <v>5.0052099999999999</v>
      </c>
      <c r="M303">
        <v>144</v>
      </c>
    </row>
    <row r="304" spans="1:13">
      <c r="A304" t="s">
        <v>9</v>
      </c>
      <c r="B304" t="s">
        <v>25</v>
      </c>
      <c r="C304">
        <v>1</v>
      </c>
      <c r="D304">
        <v>1</v>
      </c>
      <c r="E304" t="s">
        <v>73</v>
      </c>
      <c r="F304">
        <v>3</v>
      </c>
      <c r="G304">
        <v>76056.7</v>
      </c>
      <c r="H304">
        <v>76056.7</v>
      </c>
      <c r="I304">
        <v>380485</v>
      </c>
      <c r="J304">
        <v>578</v>
      </c>
      <c r="K304">
        <v>0</v>
      </c>
      <c r="L304">
        <v>5.00265</v>
      </c>
      <c r="M304">
        <v>144</v>
      </c>
    </row>
    <row r="305" spans="1:13">
      <c r="A305" t="s">
        <v>9</v>
      </c>
      <c r="B305" t="s">
        <v>25</v>
      </c>
      <c r="C305">
        <v>1</v>
      </c>
      <c r="D305">
        <v>1</v>
      </c>
      <c r="E305" t="s">
        <v>73</v>
      </c>
      <c r="F305">
        <v>4</v>
      </c>
      <c r="G305">
        <v>74990.899999999994</v>
      </c>
      <c r="H305">
        <v>74990.899999999994</v>
      </c>
      <c r="I305">
        <v>375002</v>
      </c>
      <c r="J305">
        <v>613</v>
      </c>
      <c r="K305">
        <v>0</v>
      </c>
      <c r="L305">
        <v>5.0006300000000001</v>
      </c>
      <c r="M305">
        <v>144</v>
      </c>
    </row>
    <row r="306" spans="1:13">
      <c r="A306" t="s">
        <v>9</v>
      </c>
      <c r="B306" t="s">
        <v>25</v>
      </c>
      <c r="C306">
        <v>1</v>
      </c>
      <c r="D306">
        <v>1</v>
      </c>
      <c r="E306" t="s">
        <v>73</v>
      </c>
      <c r="F306">
        <v>5</v>
      </c>
      <c r="G306">
        <v>74276</v>
      </c>
      <c r="H306">
        <v>74276</v>
      </c>
      <c r="I306">
        <v>371753</v>
      </c>
      <c r="J306">
        <v>1459</v>
      </c>
      <c r="K306">
        <v>0</v>
      </c>
      <c r="L306">
        <v>5.00502</v>
      </c>
      <c r="M306">
        <v>144</v>
      </c>
    </row>
    <row r="307" spans="1:13">
      <c r="A307" t="s">
        <v>9</v>
      </c>
      <c r="B307" t="s">
        <v>25</v>
      </c>
      <c r="C307">
        <v>10</v>
      </c>
      <c r="D307">
        <v>1</v>
      </c>
      <c r="E307" t="s">
        <v>73</v>
      </c>
      <c r="F307">
        <v>1</v>
      </c>
      <c r="G307">
        <v>32557.7</v>
      </c>
      <c r="H307">
        <v>3255.77</v>
      </c>
      <c r="I307">
        <v>162952</v>
      </c>
      <c r="J307">
        <v>1902073</v>
      </c>
      <c r="K307">
        <v>0</v>
      </c>
      <c r="L307">
        <v>5.0050299999999996</v>
      </c>
      <c r="M307">
        <v>144</v>
      </c>
    </row>
    <row r="308" spans="1:13">
      <c r="A308" t="s">
        <v>9</v>
      </c>
      <c r="B308" t="s">
        <v>25</v>
      </c>
      <c r="C308">
        <v>10</v>
      </c>
      <c r="D308">
        <v>1</v>
      </c>
      <c r="E308" t="s">
        <v>73</v>
      </c>
      <c r="F308">
        <v>2</v>
      </c>
      <c r="G308">
        <v>66422.2</v>
      </c>
      <c r="H308">
        <v>6642.22</v>
      </c>
      <c r="I308">
        <v>332273</v>
      </c>
      <c r="J308">
        <v>1833514</v>
      </c>
      <c r="K308">
        <v>0</v>
      </c>
      <c r="L308">
        <v>5.00244</v>
      </c>
      <c r="M308">
        <v>144</v>
      </c>
    </row>
    <row r="309" spans="1:13">
      <c r="A309" t="s">
        <v>9</v>
      </c>
      <c r="B309" t="s">
        <v>25</v>
      </c>
      <c r="C309">
        <v>10</v>
      </c>
      <c r="D309">
        <v>1</v>
      </c>
      <c r="E309" t="s">
        <v>73</v>
      </c>
      <c r="F309">
        <v>3</v>
      </c>
      <c r="G309">
        <v>47026.5</v>
      </c>
      <c r="H309">
        <v>4702.6499999999996</v>
      </c>
      <c r="I309">
        <v>235254</v>
      </c>
      <c r="J309">
        <v>2006102</v>
      </c>
      <c r="K309">
        <v>0</v>
      </c>
      <c r="L309">
        <v>5.00258</v>
      </c>
      <c r="M309">
        <v>144</v>
      </c>
    </row>
    <row r="310" spans="1:13">
      <c r="A310" t="s">
        <v>9</v>
      </c>
      <c r="B310" t="s">
        <v>25</v>
      </c>
      <c r="C310">
        <v>10</v>
      </c>
      <c r="D310">
        <v>1</v>
      </c>
      <c r="E310" t="s">
        <v>73</v>
      </c>
      <c r="F310">
        <v>4</v>
      </c>
      <c r="G310">
        <v>33382.699999999997</v>
      </c>
      <c r="H310">
        <v>3338.27</v>
      </c>
      <c r="I310">
        <v>166965</v>
      </c>
      <c r="J310">
        <v>1896486</v>
      </c>
      <c r="K310">
        <v>0</v>
      </c>
      <c r="L310">
        <v>5.0015400000000003</v>
      </c>
      <c r="M310">
        <v>144</v>
      </c>
    </row>
    <row r="311" spans="1:13">
      <c r="A311" t="s">
        <v>9</v>
      </c>
      <c r="B311" t="s">
        <v>25</v>
      </c>
      <c r="C311">
        <v>10</v>
      </c>
      <c r="D311">
        <v>1</v>
      </c>
      <c r="E311" t="s">
        <v>73</v>
      </c>
      <c r="F311">
        <v>5</v>
      </c>
      <c r="G311">
        <v>42571.9</v>
      </c>
      <c r="H311">
        <v>4257.1899999999996</v>
      </c>
      <c r="I311">
        <v>213074</v>
      </c>
      <c r="J311">
        <v>1972212</v>
      </c>
      <c r="K311">
        <v>0</v>
      </c>
      <c r="L311">
        <v>5.0050400000000002</v>
      </c>
      <c r="M311">
        <v>144</v>
      </c>
    </row>
    <row r="312" spans="1:13">
      <c r="A312" t="s">
        <v>9</v>
      </c>
      <c r="B312" t="s">
        <v>25</v>
      </c>
      <c r="C312">
        <v>100</v>
      </c>
      <c r="D312">
        <v>1</v>
      </c>
      <c r="E312" t="s">
        <v>73</v>
      </c>
      <c r="F312">
        <v>1</v>
      </c>
      <c r="G312">
        <v>21696.5</v>
      </c>
      <c r="H312">
        <v>216.965</v>
      </c>
      <c r="I312">
        <v>108507</v>
      </c>
      <c r="J312">
        <v>3493027</v>
      </c>
      <c r="K312">
        <v>0</v>
      </c>
      <c r="L312">
        <v>5.0011200000000002</v>
      </c>
      <c r="M312">
        <v>144</v>
      </c>
    </row>
    <row r="313" spans="1:13">
      <c r="A313" t="s">
        <v>9</v>
      </c>
      <c r="B313" t="s">
        <v>25</v>
      </c>
      <c r="C313">
        <v>100</v>
      </c>
      <c r="D313">
        <v>1</v>
      </c>
      <c r="E313" t="s">
        <v>73</v>
      </c>
      <c r="F313">
        <v>2</v>
      </c>
      <c r="G313">
        <v>21404.3</v>
      </c>
      <c r="H313">
        <v>214.04300000000001</v>
      </c>
      <c r="I313">
        <v>107108</v>
      </c>
      <c r="J313">
        <v>3527835</v>
      </c>
      <c r="K313">
        <v>0</v>
      </c>
      <c r="L313">
        <v>5.0040399999999998</v>
      </c>
      <c r="M313">
        <v>144</v>
      </c>
    </row>
    <row r="314" spans="1:13">
      <c r="A314" t="s">
        <v>9</v>
      </c>
      <c r="B314" t="s">
        <v>25</v>
      </c>
      <c r="C314">
        <v>100</v>
      </c>
      <c r="D314">
        <v>1</v>
      </c>
      <c r="E314" t="s">
        <v>73</v>
      </c>
      <c r="F314">
        <v>3</v>
      </c>
      <c r="G314">
        <v>23136.3</v>
      </c>
      <c r="H314">
        <v>231.363</v>
      </c>
      <c r="I314">
        <v>115759</v>
      </c>
      <c r="J314">
        <v>3546362</v>
      </c>
      <c r="K314">
        <v>0</v>
      </c>
      <c r="L314">
        <v>5.0033500000000002</v>
      </c>
      <c r="M314">
        <v>144</v>
      </c>
    </row>
    <row r="315" spans="1:13">
      <c r="A315" t="s">
        <v>9</v>
      </c>
      <c r="B315" t="s">
        <v>25</v>
      </c>
      <c r="C315">
        <v>100</v>
      </c>
      <c r="D315">
        <v>1</v>
      </c>
      <c r="E315" t="s">
        <v>73</v>
      </c>
      <c r="F315">
        <v>4</v>
      </c>
      <c r="G315">
        <v>22256.7</v>
      </c>
      <c r="H315">
        <v>222.56700000000001</v>
      </c>
      <c r="I315">
        <v>111395</v>
      </c>
      <c r="J315">
        <v>3572436</v>
      </c>
      <c r="K315">
        <v>0</v>
      </c>
      <c r="L315">
        <v>5.0050100000000004</v>
      </c>
      <c r="M315">
        <v>144</v>
      </c>
    </row>
    <row r="316" spans="1:13">
      <c r="A316" t="s">
        <v>9</v>
      </c>
      <c r="B316" t="s">
        <v>25</v>
      </c>
      <c r="C316">
        <v>100</v>
      </c>
      <c r="D316">
        <v>1</v>
      </c>
      <c r="E316" t="s">
        <v>73</v>
      </c>
      <c r="F316">
        <v>5</v>
      </c>
      <c r="G316">
        <v>21729.3</v>
      </c>
      <c r="H316">
        <v>217.29300000000001</v>
      </c>
      <c r="I316">
        <v>108756</v>
      </c>
      <c r="J316">
        <v>3511381</v>
      </c>
      <c r="K316">
        <v>0</v>
      </c>
      <c r="L316">
        <v>5.0050400000000002</v>
      </c>
      <c r="M316">
        <v>144</v>
      </c>
    </row>
    <row r="317" spans="1:13">
      <c r="A317" t="s">
        <v>9</v>
      </c>
      <c r="B317" t="s">
        <v>25</v>
      </c>
      <c r="C317">
        <v>500</v>
      </c>
      <c r="D317">
        <v>1</v>
      </c>
      <c r="E317" t="s">
        <v>73</v>
      </c>
      <c r="F317">
        <v>1</v>
      </c>
      <c r="G317">
        <v>45935.7</v>
      </c>
      <c r="H317">
        <v>91.871399999999994</v>
      </c>
      <c r="I317">
        <v>229872</v>
      </c>
      <c r="J317">
        <v>2894786</v>
      </c>
      <c r="K317">
        <v>0</v>
      </c>
      <c r="L317">
        <v>5.0042200000000001</v>
      </c>
      <c r="M317">
        <v>144</v>
      </c>
    </row>
    <row r="318" spans="1:13">
      <c r="A318" t="s">
        <v>9</v>
      </c>
      <c r="B318" t="s">
        <v>25</v>
      </c>
      <c r="C318">
        <v>500</v>
      </c>
      <c r="D318">
        <v>1</v>
      </c>
      <c r="E318" t="s">
        <v>73</v>
      </c>
      <c r="F318">
        <v>2</v>
      </c>
      <c r="G318">
        <v>46520.2</v>
      </c>
      <c r="H318">
        <v>93.040499999999994</v>
      </c>
      <c r="I318">
        <v>232701</v>
      </c>
      <c r="J318">
        <v>3213589</v>
      </c>
      <c r="K318">
        <v>0</v>
      </c>
      <c r="L318">
        <v>5.0021399999999998</v>
      </c>
      <c r="M318">
        <v>144</v>
      </c>
    </row>
    <row r="319" spans="1:13">
      <c r="A319" t="s">
        <v>9</v>
      </c>
      <c r="B319" t="s">
        <v>25</v>
      </c>
      <c r="C319">
        <v>500</v>
      </c>
      <c r="D319">
        <v>1</v>
      </c>
      <c r="E319" t="s">
        <v>73</v>
      </c>
      <c r="F319">
        <v>3</v>
      </c>
      <c r="G319">
        <v>46993.7</v>
      </c>
      <c r="H319">
        <v>93.987399999999994</v>
      </c>
      <c r="I319">
        <v>235204</v>
      </c>
      <c r="J319">
        <v>3204778</v>
      </c>
      <c r="K319">
        <v>0</v>
      </c>
      <c r="L319">
        <v>5.0050100000000004</v>
      </c>
      <c r="M319">
        <v>144</v>
      </c>
    </row>
    <row r="320" spans="1:13">
      <c r="A320" t="s">
        <v>9</v>
      </c>
      <c r="B320" t="s">
        <v>25</v>
      </c>
      <c r="C320">
        <v>500</v>
      </c>
      <c r="D320">
        <v>1</v>
      </c>
      <c r="E320" t="s">
        <v>73</v>
      </c>
      <c r="F320">
        <v>4</v>
      </c>
      <c r="G320">
        <v>48608</v>
      </c>
      <c r="H320">
        <v>97.216099999999997</v>
      </c>
      <c r="I320">
        <v>243284</v>
      </c>
      <c r="J320">
        <v>3261555</v>
      </c>
      <c r="K320">
        <v>0</v>
      </c>
      <c r="L320">
        <v>5.00502</v>
      </c>
      <c r="M320">
        <v>144</v>
      </c>
    </row>
    <row r="321" spans="1:13">
      <c r="A321" t="s">
        <v>9</v>
      </c>
      <c r="B321" t="s">
        <v>25</v>
      </c>
      <c r="C321">
        <v>500</v>
      </c>
      <c r="D321">
        <v>1</v>
      </c>
      <c r="E321" t="s">
        <v>73</v>
      </c>
      <c r="F321">
        <v>5</v>
      </c>
      <c r="G321">
        <v>47217.7</v>
      </c>
      <c r="H321">
        <v>94.435400000000001</v>
      </c>
      <c r="I321">
        <v>236262</v>
      </c>
      <c r="J321">
        <v>3215423</v>
      </c>
      <c r="K321">
        <v>0</v>
      </c>
      <c r="L321">
        <v>5.0036699999999996</v>
      </c>
      <c r="M321">
        <v>144</v>
      </c>
    </row>
    <row r="322" spans="1:13">
      <c r="A322" t="s">
        <v>9</v>
      </c>
      <c r="B322" t="s">
        <v>25</v>
      </c>
      <c r="C322">
        <v>1000</v>
      </c>
      <c r="D322">
        <v>1</v>
      </c>
      <c r="E322" t="s">
        <v>73</v>
      </c>
      <c r="F322">
        <v>1</v>
      </c>
      <c r="G322">
        <v>71279.199999999997</v>
      </c>
      <c r="H322">
        <v>71.279200000000003</v>
      </c>
      <c r="I322">
        <v>356563</v>
      </c>
      <c r="J322">
        <v>2327665</v>
      </c>
      <c r="K322">
        <v>0</v>
      </c>
      <c r="L322">
        <v>5.0023400000000002</v>
      </c>
      <c r="M322">
        <v>144</v>
      </c>
    </row>
    <row r="323" spans="1:13">
      <c r="A323" t="s">
        <v>9</v>
      </c>
      <c r="B323" t="s">
        <v>25</v>
      </c>
      <c r="C323">
        <v>1000</v>
      </c>
      <c r="D323">
        <v>1</v>
      </c>
      <c r="E323" t="s">
        <v>73</v>
      </c>
      <c r="F323">
        <v>2</v>
      </c>
      <c r="G323">
        <v>71941.3</v>
      </c>
      <c r="H323">
        <v>71.941299999999998</v>
      </c>
      <c r="I323">
        <v>359954</v>
      </c>
      <c r="J323">
        <v>2605526</v>
      </c>
      <c r="K323">
        <v>0</v>
      </c>
      <c r="L323">
        <v>5.0034400000000003</v>
      </c>
      <c r="M323">
        <v>144</v>
      </c>
    </row>
    <row r="324" spans="1:13">
      <c r="A324" t="s">
        <v>9</v>
      </c>
      <c r="B324" t="s">
        <v>25</v>
      </c>
      <c r="C324">
        <v>1000</v>
      </c>
      <c r="D324">
        <v>1</v>
      </c>
      <c r="E324" t="s">
        <v>73</v>
      </c>
      <c r="F324">
        <v>3</v>
      </c>
      <c r="G324">
        <v>70643.600000000006</v>
      </c>
      <c r="H324">
        <v>70.643600000000006</v>
      </c>
      <c r="I324">
        <v>353554</v>
      </c>
      <c r="J324">
        <v>2553754</v>
      </c>
      <c r="K324">
        <v>0</v>
      </c>
      <c r="L324">
        <v>5.0047600000000001</v>
      </c>
      <c r="M324">
        <v>144</v>
      </c>
    </row>
    <row r="325" spans="1:13">
      <c r="A325" t="s">
        <v>9</v>
      </c>
      <c r="B325" t="s">
        <v>25</v>
      </c>
      <c r="C325">
        <v>1000</v>
      </c>
      <c r="D325">
        <v>1</v>
      </c>
      <c r="E325" t="s">
        <v>73</v>
      </c>
      <c r="F325">
        <v>4</v>
      </c>
      <c r="G325">
        <v>69177.7</v>
      </c>
      <c r="H325">
        <v>69.177700000000002</v>
      </c>
      <c r="I325">
        <v>346055</v>
      </c>
      <c r="J325">
        <v>2581415</v>
      </c>
      <c r="K325">
        <v>0</v>
      </c>
      <c r="L325">
        <v>5.0023999999999997</v>
      </c>
      <c r="M325">
        <v>144</v>
      </c>
    </row>
    <row r="326" spans="1:13">
      <c r="A326" t="s">
        <v>9</v>
      </c>
      <c r="B326" t="s">
        <v>25</v>
      </c>
      <c r="C326">
        <v>1000</v>
      </c>
      <c r="D326">
        <v>1</v>
      </c>
      <c r="E326" t="s">
        <v>73</v>
      </c>
      <c r="F326">
        <v>5</v>
      </c>
      <c r="G326">
        <v>71532.600000000006</v>
      </c>
      <c r="H326">
        <v>71.532600000000002</v>
      </c>
      <c r="I326">
        <v>357982</v>
      </c>
      <c r="J326">
        <v>2589004</v>
      </c>
      <c r="K326">
        <v>0</v>
      </c>
      <c r="L326">
        <v>5.0044599999999999</v>
      </c>
      <c r="M326">
        <v>144</v>
      </c>
    </row>
    <row r="327" spans="1:13">
      <c r="A327" t="s">
        <v>9</v>
      </c>
      <c r="B327" t="s">
        <v>25</v>
      </c>
      <c r="C327">
        <v>1</v>
      </c>
      <c r="D327">
        <v>10</v>
      </c>
      <c r="E327" t="s">
        <v>73</v>
      </c>
      <c r="F327">
        <v>1</v>
      </c>
      <c r="G327">
        <v>73188.399999999994</v>
      </c>
      <c r="H327">
        <v>73188.399999999994</v>
      </c>
      <c r="I327">
        <v>366176</v>
      </c>
      <c r="J327">
        <v>1412</v>
      </c>
      <c r="K327">
        <v>0</v>
      </c>
      <c r="L327">
        <v>5.0031999999999996</v>
      </c>
      <c r="M327">
        <v>72</v>
      </c>
    </row>
    <row r="328" spans="1:13">
      <c r="A328" t="s">
        <v>9</v>
      </c>
      <c r="B328" t="s">
        <v>25</v>
      </c>
      <c r="C328">
        <v>1</v>
      </c>
      <c r="D328">
        <v>10</v>
      </c>
      <c r="E328" t="s">
        <v>73</v>
      </c>
      <c r="F328">
        <v>2</v>
      </c>
      <c r="G328">
        <v>74603.8</v>
      </c>
      <c r="H328">
        <v>74603.8</v>
      </c>
      <c r="I328">
        <v>373393</v>
      </c>
      <c r="J328">
        <v>2123</v>
      </c>
      <c r="K328">
        <v>0</v>
      </c>
      <c r="L328">
        <v>5.00502</v>
      </c>
      <c r="M328">
        <v>72</v>
      </c>
    </row>
    <row r="329" spans="1:13">
      <c r="A329" t="s">
        <v>9</v>
      </c>
      <c r="B329" t="s">
        <v>25</v>
      </c>
      <c r="C329">
        <v>1</v>
      </c>
      <c r="D329">
        <v>10</v>
      </c>
      <c r="E329" t="s">
        <v>73</v>
      </c>
      <c r="F329">
        <v>3</v>
      </c>
      <c r="G329">
        <v>77395.100000000006</v>
      </c>
      <c r="H329">
        <v>77395.100000000006</v>
      </c>
      <c r="I329">
        <v>387001</v>
      </c>
      <c r="J329">
        <v>2376</v>
      </c>
      <c r="K329">
        <v>0</v>
      </c>
      <c r="L329">
        <v>5.0003299999999999</v>
      </c>
      <c r="M329">
        <v>72</v>
      </c>
    </row>
    <row r="330" spans="1:13">
      <c r="A330" t="s">
        <v>9</v>
      </c>
      <c r="B330" t="s">
        <v>25</v>
      </c>
      <c r="C330">
        <v>1</v>
      </c>
      <c r="D330">
        <v>10</v>
      </c>
      <c r="E330" t="s">
        <v>73</v>
      </c>
      <c r="F330">
        <v>4</v>
      </c>
      <c r="G330">
        <v>75381.8</v>
      </c>
      <c r="H330">
        <v>75381.8</v>
      </c>
      <c r="I330">
        <v>376984</v>
      </c>
      <c r="J330">
        <v>1885</v>
      </c>
      <c r="K330">
        <v>0</v>
      </c>
      <c r="L330">
        <v>5.0010000000000003</v>
      </c>
      <c r="M330">
        <v>72</v>
      </c>
    </row>
    <row r="331" spans="1:13">
      <c r="A331" t="s">
        <v>9</v>
      </c>
      <c r="B331" t="s">
        <v>25</v>
      </c>
      <c r="C331">
        <v>1</v>
      </c>
      <c r="D331">
        <v>10</v>
      </c>
      <c r="E331" t="s">
        <v>73</v>
      </c>
      <c r="F331">
        <v>5</v>
      </c>
      <c r="G331">
        <v>75974.600000000006</v>
      </c>
      <c r="H331">
        <v>75974.600000000006</v>
      </c>
      <c r="I331">
        <v>380254</v>
      </c>
      <c r="J331">
        <v>2474</v>
      </c>
      <c r="K331">
        <v>0</v>
      </c>
      <c r="L331">
        <v>5.0050100000000004</v>
      </c>
      <c r="M331">
        <v>72</v>
      </c>
    </row>
    <row r="332" spans="1:13">
      <c r="A332" t="s">
        <v>9</v>
      </c>
      <c r="B332" t="s">
        <v>25</v>
      </c>
      <c r="C332">
        <v>10</v>
      </c>
      <c r="D332">
        <v>10</v>
      </c>
      <c r="E332" t="s">
        <v>73</v>
      </c>
      <c r="F332">
        <v>1</v>
      </c>
      <c r="G332">
        <v>41413.199999999997</v>
      </c>
      <c r="H332">
        <v>4141.32</v>
      </c>
      <c r="I332">
        <v>207274</v>
      </c>
      <c r="J332">
        <v>1953762</v>
      </c>
      <c r="K332">
        <v>0</v>
      </c>
      <c r="L332">
        <v>5.0050299999999996</v>
      </c>
      <c r="M332">
        <v>72</v>
      </c>
    </row>
    <row r="333" spans="1:13">
      <c r="A333" t="s">
        <v>9</v>
      </c>
      <c r="B333" t="s">
        <v>25</v>
      </c>
      <c r="C333">
        <v>10</v>
      </c>
      <c r="D333">
        <v>10</v>
      </c>
      <c r="E333" t="s">
        <v>73</v>
      </c>
      <c r="F333">
        <v>2</v>
      </c>
      <c r="G333">
        <v>33853.9</v>
      </c>
      <c r="H333">
        <v>3385.39</v>
      </c>
      <c r="I333">
        <v>169352</v>
      </c>
      <c r="J333">
        <v>2081133</v>
      </c>
      <c r="K333">
        <v>0</v>
      </c>
      <c r="L333">
        <v>5.0024300000000004</v>
      </c>
      <c r="M333">
        <v>72</v>
      </c>
    </row>
    <row r="334" spans="1:13">
      <c r="A334" t="s">
        <v>9</v>
      </c>
      <c r="B334" t="s">
        <v>25</v>
      </c>
      <c r="C334">
        <v>10</v>
      </c>
      <c r="D334">
        <v>10</v>
      </c>
      <c r="E334" t="s">
        <v>73</v>
      </c>
      <c r="F334">
        <v>3</v>
      </c>
      <c r="G334">
        <v>36155.4</v>
      </c>
      <c r="H334">
        <v>3615.54</v>
      </c>
      <c r="I334">
        <v>180823</v>
      </c>
      <c r="J334">
        <v>2013780</v>
      </c>
      <c r="K334">
        <v>0</v>
      </c>
      <c r="L334">
        <v>5.0012699999999999</v>
      </c>
      <c r="M334">
        <v>72</v>
      </c>
    </row>
    <row r="335" spans="1:13">
      <c r="A335" t="s">
        <v>9</v>
      </c>
      <c r="B335" t="s">
        <v>25</v>
      </c>
      <c r="C335">
        <v>10</v>
      </c>
      <c r="D335">
        <v>10</v>
      </c>
      <c r="E335" t="s">
        <v>73</v>
      </c>
      <c r="F335">
        <v>4</v>
      </c>
      <c r="G335">
        <v>37859.4</v>
      </c>
      <c r="H335">
        <v>3785.94</v>
      </c>
      <c r="I335">
        <v>189487</v>
      </c>
      <c r="J335">
        <v>2008191</v>
      </c>
      <c r="K335">
        <v>0</v>
      </c>
      <c r="L335">
        <v>5.00502</v>
      </c>
      <c r="M335">
        <v>72</v>
      </c>
    </row>
    <row r="336" spans="1:13">
      <c r="A336" t="s">
        <v>9</v>
      </c>
      <c r="B336" t="s">
        <v>25</v>
      </c>
      <c r="C336">
        <v>10</v>
      </c>
      <c r="D336">
        <v>10</v>
      </c>
      <c r="E336" t="s">
        <v>73</v>
      </c>
      <c r="F336">
        <v>5</v>
      </c>
      <c r="G336">
        <v>48481.9</v>
      </c>
      <c r="H336">
        <v>4848.1899999999996</v>
      </c>
      <c r="I336">
        <v>242654</v>
      </c>
      <c r="J336">
        <v>1999674</v>
      </c>
      <c r="K336">
        <v>0</v>
      </c>
      <c r="L336">
        <v>5.0050499999999998</v>
      </c>
      <c r="M336">
        <v>72</v>
      </c>
    </row>
    <row r="337" spans="1:13">
      <c r="A337" t="s">
        <v>9</v>
      </c>
      <c r="B337" t="s">
        <v>25</v>
      </c>
      <c r="C337">
        <v>100</v>
      </c>
      <c r="D337">
        <v>10</v>
      </c>
      <c r="E337" t="s">
        <v>73</v>
      </c>
      <c r="F337">
        <v>1</v>
      </c>
      <c r="G337">
        <v>24476.5</v>
      </c>
      <c r="H337">
        <v>244.76499999999999</v>
      </c>
      <c r="I337">
        <v>122419</v>
      </c>
      <c r="J337">
        <v>3597291</v>
      </c>
      <c r="K337">
        <v>0</v>
      </c>
      <c r="L337">
        <v>5.0014900000000004</v>
      </c>
      <c r="M337">
        <v>72</v>
      </c>
    </row>
    <row r="338" spans="1:13">
      <c r="A338" t="s">
        <v>9</v>
      </c>
      <c r="B338" t="s">
        <v>25</v>
      </c>
      <c r="C338">
        <v>100</v>
      </c>
      <c r="D338">
        <v>10</v>
      </c>
      <c r="E338" t="s">
        <v>73</v>
      </c>
      <c r="F338">
        <v>2</v>
      </c>
      <c r="G338">
        <v>23332.2</v>
      </c>
      <c r="H338">
        <v>233.322</v>
      </c>
      <c r="I338">
        <v>116773</v>
      </c>
      <c r="J338">
        <v>3288509</v>
      </c>
      <c r="K338">
        <v>0</v>
      </c>
      <c r="L338">
        <v>5.0048000000000004</v>
      </c>
      <c r="M338">
        <v>72</v>
      </c>
    </row>
    <row r="339" spans="1:13">
      <c r="A339" t="s">
        <v>9</v>
      </c>
      <c r="B339" t="s">
        <v>25</v>
      </c>
      <c r="C339">
        <v>100</v>
      </c>
      <c r="D339">
        <v>10</v>
      </c>
      <c r="E339" t="s">
        <v>73</v>
      </c>
      <c r="F339">
        <v>3</v>
      </c>
      <c r="G339">
        <v>23818.6</v>
      </c>
      <c r="H339">
        <v>238.18600000000001</v>
      </c>
      <c r="I339">
        <v>119202</v>
      </c>
      <c r="J339">
        <v>3646476</v>
      </c>
      <c r="K339">
        <v>0</v>
      </c>
      <c r="L339">
        <v>5.0045700000000002</v>
      </c>
      <c r="M339">
        <v>72</v>
      </c>
    </row>
    <row r="340" spans="1:13">
      <c r="A340" t="s">
        <v>9</v>
      </c>
      <c r="B340" t="s">
        <v>25</v>
      </c>
      <c r="C340">
        <v>100</v>
      </c>
      <c r="D340">
        <v>10</v>
      </c>
      <c r="E340" t="s">
        <v>73</v>
      </c>
      <c r="F340">
        <v>4</v>
      </c>
      <c r="G340">
        <v>24077.1</v>
      </c>
      <c r="H340">
        <v>240.77099999999999</v>
      </c>
      <c r="I340">
        <v>120458</v>
      </c>
      <c r="J340">
        <v>3630467</v>
      </c>
      <c r="K340">
        <v>0</v>
      </c>
      <c r="L340">
        <v>5.0030099999999997</v>
      </c>
      <c r="M340">
        <v>72</v>
      </c>
    </row>
    <row r="341" spans="1:13">
      <c r="A341" t="s">
        <v>9</v>
      </c>
      <c r="B341" t="s">
        <v>25</v>
      </c>
      <c r="C341">
        <v>100</v>
      </c>
      <c r="D341">
        <v>10</v>
      </c>
      <c r="E341" t="s">
        <v>73</v>
      </c>
      <c r="F341">
        <v>5</v>
      </c>
      <c r="G341">
        <v>23348.9</v>
      </c>
      <c r="H341">
        <v>233.489</v>
      </c>
      <c r="I341">
        <v>116799</v>
      </c>
      <c r="J341">
        <v>3682765</v>
      </c>
      <c r="K341">
        <v>0</v>
      </c>
      <c r="L341">
        <v>5.0023299999999997</v>
      </c>
      <c r="M341">
        <v>72</v>
      </c>
    </row>
    <row r="342" spans="1:13">
      <c r="A342" t="s">
        <v>9</v>
      </c>
      <c r="B342" t="s">
        <v>25</v>
      </c>
      <c r="C342">
        <v>500</v>
      </c>
      <c r="D342">
        <v>10</v>
      </c>
      <c r="E342" t="s">
        <v>73</v>
      </c>
      <c r="F342">
        <v>1</v>
      </c>
      <c r="G342">
        <v>40303.800000000003</v>
      </c>
      <c r="H342">
        <v>80.607600000000005</v>
      </c>
      <c r="I342">
        <v>201656</v>
      </c>
      <c r="J342">
        <v>3755304</v>
      </c>
      <c r="K342">
        <v>0</v>
      </c>
      <c r="L342">
        <v>5.0034000000000001</v>
      </c>
      <c r="M342">
        <v>72</v>
      </c>
    </row>
    <row r="343" spans="1:13">
      <c r="A343" t="s">
        <v>9</v>
      </c>
      <c r="B343" t="s">
        <v>25</v>
      </c>
      <c r="C343">
        <v>500</v>
      </c>
      <c r="D343">
        <v>10</v>
      </c>
      <c r="E343" t="s">
        <v>73</v>
      </c>
      <c r="F343">
        <v>2</v>
      </c>
      <c r="G343">
        <v>38992.5</v>
      </c>
      <c r="H343">
        <v>77.984999999999999</v>
      </c>
      <c r="I343">
        <v>194965</v>
      </c>
      <c r="J343">
        <v>3825932</v>
      </c>
      <c r="K343">
        <v>0</v>
      </c>
      <c r="L343">
        <v>5.0000600000000004</v>
      </c>
      <c r="M343">
        <v>72</v>
      </c>
    </row>
    <row r="344" spans="1:13">
      <c r="A344" t="s">
        <v>9</v>
      </c>
      <c r="B344" t="s">
        <v>25</v>
      </c>
      <c r="C344">
        <v>500</v>
      </c>
      <c r="D344">
        <v>10</v>
      </c>
      <c r="E344" t="s">
        <v>73</v>
      </c>
      <c r="F344">
        <v>3</v>
      </c>
      <c r="G344">
        <v>38675.5</v>
      </c>
      <c r="H344">
        <v>77.350999999999999</v>
      </c>
      <c r="I344">
        <v>193448</v>
      </c>
      <c r="J344">
        <v>3736414</v>
      </c>
      <c r="K344">
        <v>0</v>
      </c>
      <c r="L344">
        <v>5.0018200000000004</v>
      </c>
      <c r="M344">
        <v>72</v>
      </c>
    </row>
    <row r="345" spans="1:13">
      <c r="A345" t="s">
        <v>9</v>
      </c>
      <c r="B345" t="s">
        <v>25</v>
      </c>
      <c r="C345">
        <v>500</v>
      </c>
      <c r="D345">
        <v>10</v>
      </c>
      <c r="E345" t="s">
        <v>73</v>
      </c>
      <c r="F345">
        <v>4</v>
      </c>
      <c r="G345">
        <v>39409.599999999999</v>
      </c>
      <c r="H345">
        <v>78.819199999999995</v>
      </c>
      <c r="I345">
        <v>197083</v>
      </c>
      <c r="J345">
        <v>3777261</v>
      </c>
      <c r="K345">
        <v>0</v>
      </c>
      <c r="L345">
        <v>5.0008900000000001</v>
      </c>
      <c r="M345">
        <v>72</v>
      </c>
    </row>
    <row r="346" spans="1:13">
      <c r="A346" t="s">
        <v>9</v>
      </c>
      <c r="B346" t="s">
        <v>25</v>
      </c>
      <c r="C346">
        <v>500</v>
      </c>
      <c r="D346">
        <v>10</v>
      </c>
      <c r="E346" t="s">
        <v>73</v>
      </c>
      <c r="F346">
        <v>5</v>
      </c>
      <c r="G346">
        <v>37661</v>
      </c>
      <c r="H346">
        <v>75.322100000000006</v>
      </c>
      <c r="I346">
        <v>188343</v>
      </c>
      <c r="J346">
        <v>3697716</v>
      </c>
      <c r="K346">
        <v>0</v>
      </c>
      <c r="L346">
        <v>5.0010000000000003</v>
      </c>
      <c r="M346">
        <v>72</v>
      </c>
    </row>
    <row r="347" spans="1:13">
      <c r="A347" t="s">
        <v>9</v>
      </c>
      <c r="B347" t="s">
        <v>25</v>
      </c>
      <c r="C347">
        <v>1000</v>
      </c>
      <c r="D347">
        <v>10</v>
      </c>
      <c r="E347" t="s">
        <v>73</v>
      </c>
      <c r="F347">
        <v>1</v>
      </c>
      <c r="G347">
        <v>44225</v>
      </c>
      <c r="H347">
        <v>44.225000000000001</v>
      </c>
      <c r="I347">
        <v>221312</v>
      </c>
      <c r="J347">
        <v>3610417</v>
      </c>
      <c r="K347">
        <v>0</v>
      </c>
      <c r="L347">
        <v>5.0042299999999997</v>
      </c>
      <c r="M347">
        <v>72</v>
      </c>
    </row>
    <row r="348" spans="1:13">
      <c r="A348" t="s">
        <v>9</v>
      </c>
      <c r="B348" t="s">
        <v>25</v>
      </c>
      <c r="C348">
        <v>1000</v>
      </c>
      <c r="D348">
        <v>10</v>
      </c>
      <c r="E348" t="s">
        <v>73</v>
      </c>
      <c r="F348">
        <v>2</v>
      </c>
      <c r="G348">
        <v>44771.4</v>
      </c>
      <c r="H348">
        <v>44.7714</v>
      </c>
      <c r="I348">
        <v>224045</v>
      </c>
      <c r="J348">
        <v>3633289</v>
      </c>
      <c r="K348">
        <v>0</v>
      </c>
      <c r="L348">
        <v>5.0042</v>
      </c>
      <c r="M348">
        <v>72</v>
      </c>
    </row>
    <row r="349" spans="1:13">
      <c r="A349" t="s">
        <v>9</v>
      </c>
      <c r="B349" t="s">
        <v>25</v>
      </c>
      <c r="C349">
        <v>1000</v>
      </c>
      <c r="D349">
        <v>10</v>
      </c>
      <c r="E349" t="s">
        <v>73</v>
      </c>
      <c r="F349">
        <v>3</v>
      </c>
      <c r="G349">
        <v>41466.300000000003</v>
      </c>
      <c r="H349">
        <v>41.466299999999997</v>
      </c>
      <c r="I349">
        <v>207361</v>
      </c>
      <c r="J349">
        <v>3617405</v>
      </c>
      <c r="K349">
        <v>0</v>
      </c>
      <c r="L349">
        <v>5.0007099999999998</v>
      </c>
      <c r="M349">
        <v>72</v>
      </c>
    </row>
    <row r="350" spans="1:13">
      <c r="A350" t="s">
        <v>9</v>
      </c>
      <c r="B350" t="s">
        <v>25</v>
      </c>
      <c r="C350">
        <v>1000</v>
      </c>
      <c r="D350">
        <v>10</v>
      </c>
      <c r="E350" t="s">
        <v>73</v>
      </c>
      <c r="F350">
        <v>4</v>
      </c>
      <c r="G350">
        <v>42669.5</v>
      </c>
      <c r="H350">
        <v>42.669499999999999</v>
      </c>
      <c r="I350">
        <v>213467</v>
      </c>
      <c r="J350">
        <v>3612550</v>
      </c>
      <c r="K350">
        <v>0</v>
      </c>
      <c r="L350">
        <v>5.0027999999999997</v>
      </c>
      <c r="M350">
        <v>72</v>
      </c>
    </row>
    <row r="351" spans="1:13">
      <c r="A351" t="s">
        <v>9</v>
      </c>
      <c r="B351" t="s">
        <v>25</v>
      </c>
      <c r="C351">
        <v>1000</v>
      </c>
      <c r="D351">
        <v>10</v>
      </c>
      <c r="E351" t="s">
        <v>73</v>
      </c>
      <c r="F351">
        <v>5</v>
      </c>
      <c r="G351">
        <v>43935.7</v>
      </c>
      <c r="H351">
        <v>43.935699999999997</v>
      </c>
      <c r="I351">
        <v>219895</v>
      </c>
      <c r="J351">
        <v>3573549</v>
      </c>
      <c r="K351">
        <v>0</v>
      </c>
      <c r="L351">
        <v>5.0049200000000003</v>
      </c>
      <c r="M351">
        <v>72</v>
      </c>
    </row>
    <row r="352" spans="1:13">
      <c r="A352" t="s">
        <v>9</v>
      </c>
      <c r="B352" t="s">
        <v>25</v>
      </c>
      <c r="C352">
        <v>1</v>
      </c>
      <c r="D352">
        <v>100</v>
      </c>
      <c r="E352" t="s">
        <v>73</v>
      </c>
      <c r="F352">
        <v>1</v>
      </c>
      <c r="G352">
        <v>71982.899999999994</v>
      </c>
      <c r="H352">
        <v>71982.899999999994</v>
      </c>
      <c r="I352">
        <v>360090</v>
      </c>
      <c r="J352">
        <v>6427</v>
      </c>
      <c r="K352">
        <v>0</v>
      </c>
      <c r="L352">
        <v>5.00244</v>
      </c>
      <c r="M352">
        <v>36</v>
      </c>
    </row>
    <row r="353" spans="1:13">
      <c r="A353" t="s">
        <v>9</v>
      </c>
      <c r="B353" t="s">
        <v>25</v>
      </c>
      <c r="C353">
        <v>1</v>
      </c>
      <c r="D353">
        <v>100</v>
      </c>
      <c r="E353" t="s">
        <v>73</v>
      </c>
      <c r="F353">
        <v>2</v>
      </c>
      <c r="G353">
        <v>75451.399999999994</v>
      </c>
      <c r="H353">
        <v>75451.399999999994</v>
      </c>
      <c r="I353">
        <v>377459</v>
      </c>
      <c r="J353">
        <v>4252</v>
      </c>
      <c r="K353">
        <v>0</v>
      </c>
      <c r="L353">
        <v>5.0026799999999998</v>
      </c>
      <c r="M353">
        <v>36</v>
      </c>
    </row>
    <row r="354" spans="1:13">
      <c r="A354" t="s">
        <v>9</v>
      </c>
      <c r="B354" t="s">
        <v>25</v>
      </c>
      <c r="C354">
        <v>1</v>
      </c>
      <c r="D354">
        <v>100</v>
      </c>
      <c r="E354" t="s">
        <v>73</v>
      </c>
      <c r="F354">
        <v>3</v>
      </c>
      <c r="G354">
        <v>73458.7</v>
      </c>
      <c r="H354">
        <v>73458.7</v>
      </c>
      <c r="I354">
        <v>367663</v>
      </c>
      <c r="J354">
        <v>5560</v>
      </c>
      <c r="K354">
        <v>0</v>
      </c>
      <c r="L354">
        <v>5.0050299999999996</v>
      </c>
      <c r="M354">
        <v>36</v>
      </c>
    </row>
    <row r="355" spans="1:13">
      <c r="A355" t="s">
        <v>9</v>
      </c>
      <c r="B355" t="s">
        <v>25</v>
      </c>
      <c r="C355">
        <v>1</v>
      </c>
      <c r="D355">
        <v>100</v>
      </c>
      <c r="E355" t="s">
        <v>73</v>
      </c>
      <c r="F355">
        <v>4</v>
      </c>
      <c r="G355">
        <v>75145.8</v>
      </c>
      <c r="H355">
        <v>75145.8</v>
      </c>
      <c r="I355">
        <v>376106</v>
      </c>
      <c r="J355">
        <v>2813</v>
      </c>
      <c r="K355">
        <v>0</v>
      </c>
      <c r="L355">
        <v>5.00502</v>
      </c>
      <c r="M355">
        <v>36</v>
      </c>
    </row>
    <row r="356" spans="1:13">
      <c r="A356" t="s">
        <v>9</v>
      </c>
      <c r="B356" t="s">
        <v>25</v>
      </c>
      <c r="C356">
        <v>1</v>
      </c>
      <c r="D356">
        <v>100</v>
      </c>
      <c r="E356" t="s">
        <v>73</v>
      </c>
      <c r="F356">
        <v>5</v>
      </c>
      <c r="G356">
        <v>76883.899999999994</v>
      </c>
      <c r="H356">
        <v>76883.899999999994</v>
      </c>
      <c r="I356">
        <v>384806</v>
      </c>
      <c r="J356">
        <v>3523</v>
      </c>
      <c r="K356">
        <v>0</v>
      </c>
      <c r="L356">
        <v>5.00502</v>
      </c>
      <c r="M356">
        <v>36</v>
      </c>
    </row>
    <row r="357" spans="1:13">
      <c r="A357" t="s">
        <v>9</v>
      </c>
      <c r="B357" t="s">
        <v>25</v>
      </c>
      <c r="C357">
        <v>10</v>
      </c>
      <c r="D357">
        <v>100</v>
      </c>
      <c r="E357" t="s">
        <v>73</v>
      </c>
      <c r="F357">
        <v>1</v>
      </c>
      <c r="G357">
        <v>47919.4</v>
      </c>
      <c r="H357">
        <v>4791.9399999999996</v>
      </c>
      <c r="I357">
        <v>239837</v>
      </c>
      <c r="J357">
        <v>1918321</v>
      </c>
      <c r="K357">
        <v>0</v>
      </c>
      <c r="L357">
        <v>5.0050100000000004</v>
      </c>
      <c r="M357">
        <v>36</v>
      </c>
    </row>
    <row r="358" spans="1:13">
      <c r="A358" t="s">
        <v>9</v>
      </c>
      <c r="B358" t="s">
        <v>25</v>
      </c>
      <c r="C358">
        <v>10</v>
      </c>
      <c r="D358">
        <v>100</v>
      </c>
      <c r="E358" t="s">
        <v>73</v>
      </c>
      <c r="F358">
        <v>2</v>
      </c>
      <c r="G358">
        <v>48508.3</v>
      </c>
      <c r="H358">
        <v>4850.83</v>
      </c>
      <c r="I358">
        <v>242785</v>
      </c>
      <c r="J358">
        <v>1760600</v>
      </c>
      <c r="K358">
        <v>0</v>
      </c>
      <c r="L358">
        <v>5.00502</v>
      </c>
      <c r="M358">
        <v>36</v>
      </c>
    </row>
    <row r="359" spans="1:13">
      <c r="A359" t="s">
        <v>9</v>
      </c>
      <c r="B359" t="s">
        <v>25</v>
      </c>
      <c r="C359">
        <v>10</v>
      </c>
      <c r="D359">
        <v>100</v>
      </c>
      <c r="E359" t="s">
        <v>73</v>
      </c>
      <c r="F359">
        <v>3</v>
      </c>
      <c r="G359">
        <v>47881.8</v>
      </c>
      <c r="H359">
        <v>4788.18</v>
      </c>
      <c r="I359">
        <v>239637</v>
      </c>
      <c r="J359">
        <v>1873362</v>
      </c>
      <c r="K359">
        <v>0</v>
      </c>
      <c r="L359">
        <v>5.0047600000000001</v>
      </c>
      <c r="M359">
        <v>36</v>
      </c>
    </row>
    <row r="360" spans="1:13">
      <c r="A360" t="s">
        <v>9</v>
      </c>
      <c r="B360" t="s">
        <v>25</v>
      </c>
      <c r="C360">
        <v>10</v>
      </c>
      <c r="D360">
        <v>100</v>
      </c>
      <c r="E360" t="s">
        <v>73</v>
      </c>
      <c r="F360">
        <v>4</v>
      </c>
      <c r="G360">
        <v>44161.2</v>
      </c>
      <c r="H360">
        <v>4416.12</v>
      </c>
      <c r="I360">
        <v>220866</v>
      </c>
      <c r="J360">
        <v>1942769</v>
      </c>
      <c r="K360">
        <v>0</v>
      </c>
      <c r="L360">
        <v>5.00136</v>
      </c>
      <c r="M360">
        <v>36</v>
      </c>
    </row>
    <row r="361" spans="1:13">
      <c r="A361" t="s">
        <v>9</v>
      </c>
      <c r="B361" t="s">
        <v>25</v>
      </c>
      <c r="C361">
        <v>10</v>
      </c>
      <c r="D361">
        <v>100</v>
      </c>
      <c r="E361" t="s">
        <v>73</v>
      </c>
      <c r="F361">
        <v>5</v>
      </c>
      <c r="G361">
        <v>40954.6</v>
      </c>
      <c r="H361">
        <v>4095.46</v>
      </c>
      <c r="I361">
        <v>204943</v>
      </c>
      <c r="J361">
        <v>1909291</v>
      </c>
      <c r="K361">
        <v>0</v>
      </c>
      <c r="L361">
        <v>5.0041500000000001</v>
      </c>
      <c r="M361">
        <v>36</v>
      </c>
    </row>
    <row r="362" spans="1:13">
      <c r="A362" t="s">
        <v>9</v>
      </c>
      <c r="B362" t="s">
        <v>25</v>
      </c>
      <c r="C362">
        <v>100</v>
      </c>
      <c r="D362">
        <v>100</v>
      </c>
      <c r="E362" t="s">
        <v>73</v>
      </c>
      <c r="F362">
        <v>1</v>
      </c>
      <c r="G362">
        <v>35882.199999999997</v>
      </c>
      <c r="H362">
        <v>358.822</v>
      </c>
      <c r="I362">
        <v>179434</v>
      </c>
      <c r="J362">
        <v>3389145</v>
      </c>
      <c r="K362">
        <v>0</v>
      </c>
      <c r="L362">
        <v>5.0006399999999998</v>
      </c>
      <c r="M362">
        <v>36</v>
      </c>
    </row>
    <row r="363" spans="1:13">
      <c r="A363" t="s">
        <v>9</v>
      </c>
      <c r="B363" t="s">
        <v>25</v>
      </c>
      <c r="C363">
        <v>100</v>
      </c>
      <c r="D363">
        <v>100</v>
      </c>
      <c r="E363" t="s">
        <v>73</v>
      </c>
      <c r="F363">
        <v>2</v>
      </c>
      <c r="G363">
        <v>35916.800000000003</v>
      </c>
      <c r="H363">
        <v>359.16800000000001</v>
      </c>
      <c r="I363">
        <v>179765</v>
      </c>
      <c r="J363">
        <v>3422799</v>
      </c>
      <c r="K363">
        <v>0</v>
      </c>
      <c r="L363">
        <v>5.0050400000000002</v>
      </c>
      <c r="M363">
        <v>36</v>
      </c>
    </row>
    <row r="364" spans="1:13">
      <c r="A364" t="s">
        <v>9</v>
      </c>
      <c r="B364" t="s">
        <v>25</v>
      </c>
      <c r="C364">
        <v>100</v>
      </c>
      <c r="D364">
        <v>100</v>
      </c>
      <c r="E364" t="s">
        <v>73</v>
      </c>
      <c r="F364">
        <v>3</v>
      </c>
      <c r="G364">
        <v>30735.200000000001</v>
      </c>
      <c r="H364">
        <v>307.35199999999998</v>
      </c>
      <c r="I364">
        <v>153731</v>
      </c>
      <c r="J364">
        <v>2692770</v>
      </c>
      <c r="K364">
        <v>0</v>
      </c>
      <c r="L364">
        <v>5.0017800000000001</v>
      </c>
      <c r="M364">
        <v>36</v>
      </c>
    </row>
    <row r="365" spans="1:13">
      <c r="A365" t="s">
        <v>9</v>
      </c>
      <c r="B365" t="s">
        <v>25</v>
      </c>
      <c r="C365">
        <v>100</v>
      </c>
      <c r="D365">
        <v>100</v>
      </c>
      <c r="E365" t="s">
        <v>73</v>
      </c>
      <c r="F365">
        <v>4</v>
      </c>
      <c r="G365">
        <v>39825.699999999997</v>
      </c>
      <c r="H365">
        <v>398.25700000000001</v>
      </c>
      <c r="I365">
        <v>199313</v>
      </c>
      <c r="J365">
        <v>3404121</v>
      </c>
      <c r="K365">
        <v>0</v>
      </c>
      <c r="L365">
        <v>5.0046299999999997</v>
      </c>
      <c r="M365">
        <v>36</v>
      </c>
    </row>
    <row r="366" spans="1:13">
      <c r="A366" t="s">
        <v>9</v>
      </c>
      <c r="B366" t="s">
        <v>25</v>
      </c>
      <c r="C366">
        <v>100</v>
      </c>
      <c r="D366">
        <v>100</v>
      </c>
      <c r="E366" t="s">
        <v>73</v>
      </c>
      <c r="F366">
        <v>5</v>
      </c>
      <c r="G366">
        <v>40151</v>
      </c>
      <c r="H366">
        <v>401.51</v>
      </c>
      <c r="I366">
        <v>200873</v>
      </c>
      <c r="J366">
        <v>3413076</v>
      </c>
      <c r="K366">
        <v>0</v>
      </c>
      <c r="L366">
        <v>5.0029399999999997</v>
      </c>
      <c r="M366">
        <v>36</v>
      </c>
    </row>
    <row r="367" spans="1:13">
      <c r="A367" t="s">
        <v>9</v>
      </c>
      <c r="B367" t="s">
        <v>25</v>
      </c>
      <c r="C367">
        <v>500</v>
      </c>
      <c r="D367">
        <v>100</v>
      </c>
      <c r="E367" t="s">
        <v>73</v>
      </c>
      <c r="F367">
        <v>1</v>
      </c>
      <c r="G367">
        <v>53498</v>
      </c>
      <c r="H367">
        <v>106.996</v>
      </c>
      <c r="I367">
        <v>267668</v>
      </c>
      <c r="J367">
        <v>3685087</v>
      </c>
      <c r="K367">
        <v>0</v>
      </c>
      <c r="L367">
        <v>5.0033200000000004</v>
      </c>
      <c r="M367">
        <v>36</v>
      </c>
    </row>
    <row r="368" spans="1:13">
      <c r="A368" t="s">
        <v>9</v>
      </c>
      <c r="B368" t="s">
        <v>25</v>
      </c>
      <c r="C368">
        <v>500</v>
      </c>
      <c r="D368">
        <v>100</v>
      </c>
      <c r="E368" t="s">
        <v>73</v>
      </c>
      <c r="F368">
        <v>2</v>
      </c>
      <c r="G368">
        <v>54238.6</v>
      </c>
      <c r="H368">
        <v>108.477</v>
      </c>
      <c r="I368">
        <v>271277</v>
      </c>
      <c r="J368">
        <v>3705919</v>
      </c>
      <c r="K368">
        <v>0</v>
      </c>
      <c r="L368">
        <v>5.0015499999999999</v>
      </c>
      <c r="M368">
        <v>36</v>
      </c>
    </row>
    <row r="369" spans="1:13">
      <c r="A369" t="s">
        <v>9</v>
      </c>
      <c r="B369" t="s">
        <v>25</v>
      </c>
      <c r="C369">
        <v>500</v>
      </c>
      <c r="D369">
        <v>100</v>
      </c>
      <c r="E369" t="s">
        <v>73</v>
      </c>
      <c r="F369">
        <v>3</v>
      </c>
      <c r="G369">
        <v>54377.4</v>
      </c>
      <c r="H369">
        <v>108.755</v>
      </c>
      <c r="I369">
        <v>271924</v>
      </c>
      <c r="J369">
        <v>3772494</v>
      </c>
      <c r="K369">
        <v>0</v>
      </c>
      <c r="L369">
        <v>5.00068</v>
      </c>
      <c r="M369">
        <v>36</v>
      </c>
    </row>
    <row r="370" spans="1:13">
      <c r="A370" t="s">
        <v>9</v>
      </c>
      <c r="B370" t="s">
        <v>25</v>
      </c>
      <c r="C370">
        <v>500</v>
      </c>
      <c r="D370">
        <v>100</v>
      </c>
      <c r="E370" t="s">
        <v>73</v>
      </c>
      <c r="F370">
        <v>4</v>
      </c>
      <c r="G370">
        <v>55161.1</v>
      </c>
      <c r="H370">
        <v>110.322</v>
      </c>
      <c r="I370">
        <v>275896</v>
      </c>
      <c r="J370">
        <v>3746244</v>
      </c>
      <c r="K370">
        <v>0</v>
      </c>
      <c r="L370">
        <v>5.0016400000000001</v>
      </c>
      <c r="M370">
        <v>36</v>
      </c>
    </row>
    <row r="371" spans="1:13">
      <c r="A371" t="s">
        <v>9</v>
      </c>
      <c r="B371" t="s">
        <v>25</v>
      </c>
      <c r="C371">
        <v>500</v>
      </c>
      <c r="D371">
        <v>100</v>
      </c>
      <c r="E371" t="s">
        <v>73</v>
      </c>
      <c r="F371">
        <v>5</v>
      </c>
      <c r="G371">
        <v>54106.5</v>
      </c>
      <c r="H371">
        <v>108.21299999999999</v>
      </c>
      <c r="I371">
        <v>270800</v>
      </c>
      <c r="J371">
        <v>3724589</v>
      </c>
      <c r="K371">
        <v>0</v>
      </c>
      <c r="L371">
        <v>5.0049400000000004</v>
      </c>
      <c r="M371">
        <v>36</v>
      </c>
    </row>
    <row r="372" spans="1:13">
      <c r="A372" t="s">
        <v>9</v>
      </c>
      <c r="B372" t="s">
        <v>25</v>
      </c>
      <c r="C372">
        <v>1000</v>
      </c>
      <c r="D372">
        <v>100</v>
      </c>
      <c r="E372" t="s">
        <v>73</v>
      </c>
      <c r="F372">
        <v>1</v>
      </c>
      <c r="G372">
        <v>51788.3</v>
      </c>
      <c r="H372">
        <v>51.7883</v>
      </c>
      <c r="I372">
        <v>259201</v>
      </c>
      <c r="J372">
        <v>3767348</v>
      </c>
      <c r="K372">
        <v>0</v>
      </c>
      <c r="L372">
        <v>5.0050100000000004</v>
      </c>
      <c r="M372">
        <v>36</v>
      </c>
    </row>
    <row r="373" spans="1:13">
      <c r="A373" t="s">
        <v>9</v>
      </c>
      <c r="B373" t="s">
        <v>25</v>
      </c>
      <c r="C373">
        <v>1000</v>
      </c>
      <c r="D373">
        <v>100</v>
      </c>
      <c r="E373" t="s">
        <v>73</v>
      </c>
      <c r="F373">
        <v>2</v>
      </c>
      <c r="G373">
        <v>53820.3</v>
      </c>
      <c r="H373">
        <v>53.820300000000003</v>
      </c>
      <c r="I373">
        <v>269329</v>
      </c>
      <c r="J373">
        <v>3758728</v>
      </c>
      <c r="K373">
        <v>0</v>
      </c>
      <c r="L373">
        <v>5.0042299999999997</v>
      </c>
      <c r="M373">
        <v>36</v>
      </c>
    </row>
    <row r="374" spans="1:13">
      <c r="A374" t="s">
        <v>9</v>
      </c>
      <c r="B374" t="s">
        <v>25</v>
      </c>
      <c r="C374">
        <v>1000</v>
      </c>
      <c r="D374">
        <v>100</v>
      </c>
      <c r="E374" t="s">
        <v>73</v>
      </c>
      <c r="F374">
        <v>3</v>
      </c>
      <c r="G374">
        <v>51863.1</v>
      </c>
      <c r="H374">
        <v>51.863100000000003</v>
      </c>
      <c r="I374">
        <v>259576</v>
      </c>
      <c r="J374">
        <v>3707476</v>
      </c>
      <c r="K374">
        <v>0</v>
      </c>
      <c r="L374">
        <v>5.00502</v>
      </c>
      <c r="M374">
        <v>36</v>
      </c>
    </row>
    <row r="375" spans="1:13">
      <c r="A375" t="s">
        <v>9</v>
      </c>
      <c r="B375" t="s">
        <v>25</v>
      </c>
      <c r="C375">
        <v>1000</v>
      </c>
      <c r="D375">
        <v>100</v>
      </c>
      <c r="E375" t="s">
        <v>73</v>
      </c>
      <c r="F375">
        <v>4</v>
      </c>
      <c r="G375">
        <v>52883.4</v>
      </c>
      <c r="H375">
        <v>52.883400000000002</v>
      </c>
      <c r="I375">
        <v>264438</v>
      </c>
      <c r="J375">
        <v>3769278</v>
      </c>
      <c r="K375">
        <v>0</v>
      </c>
      <c r="L375">
        <v>5.0004</v>
      </c>
      <c r="M375">
        <v>36</v>
      </c>
    </row>
    <row r="376" spans="1:13">
      <c r="A376" t="s">
        <v>9</v>
      </c>
      <c r="B376" t="s">
        <v>25</v>
      </c>
      <c r="C376">
        <v>1000</v>
      </c>
      <c r="D376">
        <v>100</v>
      </c>
      <c r="E376" t="s">
        <v>73</v>
      </c>
      <c r="F376">
        <v>5</v>
      </c>
      <c r="G376">
        <v>52675.8</v>
      </c>
      <c r="H376">
        <v>52.675800000000002</v>
      </c>
      <c r="I376">
        <v>263454</v>
      </c>
      <c r="J376">
        <v>3733116</v>
      </c>
      <c r="K376">
        <v>0</v>
      </c>
      <c r="L376">
        <v>5.0014200000000004</v>
      </c>
      <c r="M376">
        <v>36</v>
      </c>
    </row>
    <row r="377" spans="1:13">
      <c r="A377" t="s">
        <v>9</v>
      </c>
      <c r="B377" t="s">
        <v>25</v>
      </c>
      <c r="C377">
        <v>1</v>
      </c>
      <c r="D377">
        <v>1000</v>
      </c>
      <c r="E377" t="s">
        <v>73</v>
      </c>
      <c r="F377">
        <v>1</v>
      </c>
      <c r="G377">
        <v>59545.5</v>
      </c>
      <c r="H377">
        <v>59545.5</v>
      </c>
      <c r="I377">
        <v>298026</v>
      </c>
      <c r="J377">
        <v>31578</v>
      </c>
      <c r="K377">
        <v>0</v>
      </c>
      <c r="L377">
        <v>5.00502</v>
      </c>
      <c r="M377">
        <v>18</v>
      </c>
    </row>
    <row r="378" spans="1:13">
      <c r="A378" t="s">
        <v>9</v>
      </c>
      <c r="B378" t="s">
        <v>25</v>
      </c>
      <c r="C378">
        <v>1</v>
      </c>
      <c r="D378">
        <v>1000</v>
      </c>
      <c r="E378" t="s">
        <v>73</v>
      </c>
      <c r="F378">
        <v>2</v>
      </c>
      <c r="G378">
        <v>57373.4</v>
      </c>
      <c r="H378">
        <v>57373.4</v>
      </c>
      <c r="I378">
        <v>288210</v>
      </c>
      <c r="J378">
        <v>30987</v>
      </c>
      <c r="K378">
        <v>0</v>
      </c>
      <c r="L378">
        <v>5.0234100000000002</v>
      </c>
      <c r="M378">
        <v>18</v>
      </c>
    </row>
    <row r="379" spans="1:13">
      <c r="A379" t="s">
        <v>9</v>
      </c>
      <c r="B379" t="s">
        <v>25</v>
      </c>
      <c r="C379">
        <v>1</v>
      </c>
      <c r="D379">
        <v>1000</v>
      </c>
      <c r="E379" t="s">
        <v>73</v>
      </c>
      <c r="F379">
        <v>3</v>
      </c>
      <c r="G379">
        <v>55979.6</v>
      </c>
      <c r="H379">
        <v>55979.6</v>
      </c>
      <c r="I379">
        <v>280179</v>
      </c>
      <c r="J379">
        <v>42193</v>
      </c>
      <c r="K379">
        <v>0</v>
      </c>
      <c r="L379">
        <v>5.00502</v>
      </c>
      <c r="M379">
        <v>18</v>
      </c>
    </row>
    <row r="380" spans="1:13">
      <c r="A380" t="s">
        <v>9</v>
      </c>
      <c r="B380" t="s">
        <v>25</v>
      </c>
      <c r="C380">
        <v>1</v>
      </c>
      <c r="D380">
        <v>1000</v>
      </c>
      <c r="E380" t="s">
        <v>73</v>
      </c>
      <c r="F380">
        <v>4</v>
      </c>
      <c r="G380">
        <v>55425.9</v>
      </c>
      <c r="H380">
        <v>55425.9</v>
      </c>
      <c r="I380">
        <v>277409</v>
      </c>
      <c r="J380">
        <v>31390</v>
      </c>
      <c r="K380">
        <v>0</v>
      </c>
      <c r="L380">
        <v>5.0050400000000002</v>
      </c>
      <c r="M380">
        <v>18</v>
      </c>
    </row>
    <row r="381" spans="1:13">
      <c r="A381" t="s">
        <v>9</v>
      </c>
      <c r="B381" t="s">
        <v>25</v>
      </c>
      <c r="C381">
        <v>1</v>
      </c>
      <c r="D381">
        <v>1000</v>
      </c>
      <c r="E381" t="s">
        <v>73</v>
      </c>
      <c r="F381">
        <v>5</v>
      </c>
      <c r="G381">
        <v>56992.7</v>
      </c>
      <c r="H381">
        <v>56992.7</v>
      </c>
      <c r="I381">
        <v>285250</v>
      </c>
      <c r="J381">
        <v>32916</v>
      </c>
      <c r="K381">
        <v>0</v>
      </c>
      <c r="L381">
        <v>5.0050299999999996</v>
      </c>
      <c r="M381">
        <v>18</v>
      </c>
    </row>
    <row r="382" spans="1:13">
      <c r="A382" t="s">
        <v>9</v>
      </c>
      <c r="B382" t="s">
        <v>25</v>
      </c>
      <c r="C382">
        <v>10</v>
      </c>
      <c r="D382">
        <v>1000</v>
      </c>
      <c r="E382" t="s">
        <v>73</v>
      </c>
      <c r="F382">
        <v>1</v>
      </c>
      <c r="G382">
        <v>38009.5</v>
      </c>
      <c r="H382">
        <v>3800.95</v>
      </c>
      <c r="I382">
        <v>190188</v>
      </c>
      <c r="J382">
        <v>1775319</v>
      </c>
      <c r="K382">
        <v>0</v>
      </c>
      <c r="L382">
        <v>5.0037000000000003</v>
      </c>
      <c r="M382">
        <v>18</v>
      </c>
    </row>
    <row r="383" spans="1:13">
      <c r="A383" t="s">
        <v>9</v>
      </c>
      <c r="B383" t="s">
        <v>25</v>
      </c>
      <c r="C383">
        <v>10</v>
      </c>
      <c r="D383">
        <v>1000</v>
      </c>
      <c r="E383" t="s">
        <v>73</v>
      </c>
      <c r="F383">
        <v>2</v>
      </c>
      <c r="G383">
        <v>41316</v>
      </c>
      <c r="H383">
        <v>4131.6000000000004</v>
      </c>
      <c r="I383">
        <v>206788</v>
      </c>
      <c r="J383">
        <v>1770568</v>
      </c>
      <c r="K383">
        <v>0</v>
      </c>
      <c r="L383">
        <v>5.0050299999999996</v>
      </c>
      <c r="M383">
        <v>18</v>
      </c>
    </row>
    <row r="384" spans="1:13">
      <c r="A384" t="s">
        <v>9</v>
      </c>
      <c r="B384" t="s">
        <v>25</v>
      </c>
      <c r="C384">
        <v>10</v>
      </c>
      <c r="D384">
        <v>1000</v>
      </c>
      <c r="E384" t="s">
        <v>73</v>
      </c>
      <c r="F384">
        <v>3</v>
      </c>
      <c r="G384">
        <v>38423.699999999997</v>
      </c>
      <c r="H384">
        <v>3842.37</v>
      </c>
      <c r="I384">
        <v>192245</v>
      </c>
      <c r="J384">
        <v>1794494</v>
      </c>
      <c r="K384">
        <v>0</v>
      </c>
      <c r="L384">
        <v>5.0033000000000003</v>
      </c>
      <c r="M384">
        <v>18</v>
      </c>
    </row>
    <row r="385" spans="1:13">
      <c r="A385" t="s">
        <v>9</v>
      </c>
      <c r="B385" t="s">
        <v>25</v>
      </c>
      <c r="C385">
        <v>10</v>
      </c>
      <c r="D385">
        <v>1000</v>
      </c>
      <c r="E385" t="s">
        <v>73</v>
      </c>
      <c r="F385">
        <v>4</v>
      </c>
      <c r="G385">
        <v>37336.800000000003</v>
      </c>
      <c r="H385">
        <v>3733.68</v>
      </c>
      <c r="I385">
        <v>186834</v>
      </c>
      <c r="J385">
        <v>1880431</v>
      </c>
      <c r="K385">
        <v>0</v>
      </c>
      <c r="L385">
        <v>5.0040199999999997</v>
      </c>
      <c r="M385">
        <v>18</v>
      </c>
    </row>
    <row r="386" spans="1:13">
      <c r="A386" t="s">
        <v>9</v>
      </c>
      <c r="B386" t="s">
        <v>25</v>
      </c>
      <c r="C386">
        <v>10</v>
      </c>
      <c r="D386">
        <v>1000</v>
      </c>
      <c r="E386" t="s">
        <v>73</v>
      </c>
      <c r="F386">
        <v>5</v>
      </c>
      <c r="G386">
        <v>38614.400000000001</v>
      </c>
      <c r="H386">
        <v>3861.44</v>
      </c>
      <c r="I386">
        <v>193123</v>
      </c>
      <c r="J386">
        <v>1839814</v>
      </c>
      <c r="K386">
        <v>0</v>
      </c>
      <c r="L386">
        <v>5.0013199999999998</v>
      </c>
      <c r="M386">
        <v>18</v>
      </c>
    </row>
    <row r="387" spans="1:13">
      <c r="A387" t="s">
        <v>9</v>
      </c>
      <c r="B387" t="s">
        <v>25</v>
      </c>
      <c r="C387">
        <v>100</v>
      </c>
      <c r="D387">
        <v>1000</v>
      </c>
      <c r="E387" t="s">
        <v>73</v>
      </c>
      <c r="F387">
        <v>1</v>
      </c>
      <c r="G387">
        <v>45486.2</v>
      </c>
      <c r="H387">
        <v>454.86200000000002</v>
      </c>
      <c r="I387">
        <v>227443</v>
      </c>
      <c r="J387">
        <v>3448018</v>
      </c>
      <c r="K387">
        <v>0</v>
      </c>
      <c r="L387">
        <v>5.0002599999999999</v>
      </c>
      <c r="M387">
        <v>18</v>
      </c>
    </row>
    <row r="388" spans="1:13">
      <c r="A388" t="s">
        <v>9</v>
      </c>
      <c r="B388" t="s">
        <v>25</v>
      </c>
      <c r="C388">
        <v>100</v>
      </c>
      <c r="D388">
        <v>1000</v>
      </c>
      <c r="E388" t="s">
        <v>73</v>
      </c>
      <c r="F388">
        <v>2</v>
      </c>
      <c r="G388">
        <v>44606.9</v>
      </c>
      <c r="H388">
        <v>446.06900000000002</v>
      </c>
      <c r="I388">
        <v>223064</v>
      </c>
      <c r="J388">
        <v>3458786</v>
      </c>
      <c r="K388">
        <v>0</v>
      </c>
      <c r="L388">
        <v>5.0006599999999999</v>
      </c>
      <c r="M388">
        <v>18</v>
      </c>
    </row>
    <row r="389" spans="1:13">
      <c r="A389" t="s">
        <v>9</v>
      </c>
      <c r="B389" t="s">
        <v>25</v>
      </c>
      <c r="C389">
        <v>100</v>
      </c>
      <c r="D389">
        <v>1000</v>
      </c>
      <c r="E389" t="s">
        <v>73</v>
      </c>
      <c r="F389">
        <v>3</v>
      </c>
      <c r="G389">
        <v>44413.5</v>
      </c>
      <c r="H389">
        <v>444.13499999999999</v>
      </c>
      <c r="I389">
        <v>222295</v>
      </c>
      <c r="J389">
        <v>3459820</v>
      </c>
      <c r="K389">
        <v>0</v>
      </c>
      <c r="L389">
        <v>5.0051199999999998</v>
      </c>
      <c r="M389">
        <v>18</v>
      </c>
    </row>
    <row r="390" spans="1:13">
      <c r="A390" t="s">
        <v>9</v>
      </c>
      <c r="B390" t="s">
        <v>25</v>
      </c>
      <c r="C390">
        <v>100</v>
      </c>
      <c r="D390">
        <v>1000</v>
      </c>
      <c r="E390" t="s">
        <v>73</v>
      </c>
      <c r="F390">
        <v>4</v>
      </c>
      <c r="G390">
        <v>45388.6</v>
      </c>
      <c r="H390">
        <v>453.88600000000002</v>
      </c>
      <c r="I390">
        <v>226984</v>
      </c>
      <c r="J390">
        <v>3447880</v>
      </c>
      <c r="K390">
        <v>0</v>
      </c>
      <c r="L390">
        <v>5.0008999999999997</v>
      </c>
      <c r="M390">
        <v>18</v>
      </c>
    </row>
    <row r="391" spans="1:13">
      <c r="A391" t="s">
        <v>9</v>
      </c>
      <c r="B391" t="s">
        <v>25</v>
      </c>
      <c r="C391">
        <v>100</v>
      </c>
      <c r="D391">
        <v>1000</v>
      </c>
      <c r="E391" t="s">
        <v>73</v>
      </c>
      <c r="F391">
        <v>5</v>
      </c>
      <c r="G391">
        <v>45870.3</v>
      </c>
      <c r="H391">
        <v>458.70299999999997</v>
      </c>
      <c r="I391">
        <v>229515</v>
      </c>
      <c r="J391">
        <v>3457630</v>
      </c>
      <c r="K391">
        <v>0</v>
      </c>
      <c r="L391">
        <v>5.0035600000000002</v>
      </c>
      <c r="M391">
        <v>18</v>
      </c>
    </row>
    <row r="392" spans="1:13">
      <c r="A392" t="s">
        <v>9</v>
      </c>
      <c r="B392" t="s">
        <v>25</v>
      </c>
      <c r="C392">
        <v>500</v>
      </c>
      <c r="D392">
        <v>1000</v>
      </c>
      <c r="E392" t="s">
        <v>73</v>
      </c>
      <c r="F392">
        <v>1</v>
      </c>
      <c r="G392">
        <v>50497</v>
      </c>
      <c r="H392">
        <v>100.994</v>
      </c>
      <c r="I392">
        <v>252565</v>
      </c>
      <c r="J392">
        <v>3672959</v>
      </c>
      <c r="K392">
        <v>0</v>
      </c>
      <c r="L392">
        <v>5.0015799999999997</v>
      </c>
      <c r="M392">
        <v>18</v>
      </c>
    </row>
    <row r="393" spans="1:13">
      <c r="A393" t="s">
        <v>9</v>
      </c>
      <c r="B393" t="s">
        <v>25</v>
      </c>
      <c r="C393">
        <v>500</v>
      </c>
      <c r="D393">
        <v>1000</v>
      </c>
      <c r="E393" t="s">
        <v>73</v>
      </c>
      <c r="F393">
        <v>2</v>
      </c>
      <c r="G393">
        <v>52301.2</v>
      </c>
      <c r="H393">
        <v>104.602</v>
      </c>
      <c r="I393">
        <v>261769</v>
      </c>
      <c r="J393">
        <v>3720399</v>
      </c>
      <c r="K393">
        <v>0</v>
      </c>
      <c r="L393">
        <v>5.0050299999999996</v>
      </c>
      <c r="M393">
        <v>18</v>
      </c>
    </row>
    <row r="394" spans="1:13">
      <c r="A394" t="s">
        <v>9</v>
      </c>
      <c r="B394" t="s">
        <v>25</v>
      </c>
      <c r="C394">
        <v>500</v>
      </c>
      <c r="D394">
        <v>1000</v>
      </c>
      <c r="E394" t="s">
        <v>73</v>
      </c>
      <c r="F394">
        <v>3</v>
      </c>
      <c r="G394">
        <v>54896.6</v>
      </c>
      <c r="H394">
        <v>109.79300000000001</v>
      </c>
      <c r="I394">
        <v>274544</v>
      </c>
      <c r="J394">
        <v>3747334</v>
      </c>
      <c r="K394">
        <v>0</v>
      </c>
      <c r="L394">
        <v>5.0011099999999997</v>
      </c>
      <c r="M394">
        <v>18</v>
      </c>
    </row>
    <row r="395" spans="1:13">
      <c r="A395" t="s">
        <v>9</v>
      </c>
      <c r="B395" t="s">
        <v>25</v>
      </c>
      <c r="C395">
        <v>500</v>
      </c>
      <c r="D395">
        <v>1000</v>
      </c>
      <c r="E395" t="s">
        <v>73</v>
      </c>
      <c r="F395">
        <v>4</v>
      </c>
      <c r="G395">
        <v>53495.8</v>
      </c>
      <c r="H395">
        <v>106.992</v>
      </c>
      <c r="I395">
        <v>267748</v>
      </c>
      <c r="J395">
        <v>3766724</v>
      </c>
      <c r="K395">
        <v>0</v>
      </c>
      <c r="L395">
        <v>5.0050299999999996</v>
      </c>
      <c r="M395">
        <v>18</v>
      </c>
    </row>
    <row r="396" spans="1:13">
      <c r="A396" t="s">
        <v>9</v>
      </c>
      <c r="B396" t="s">
        <v>25</v>
      </c>
      <c r="C396">
        <v>500</v>
      </c>
      <c r="D396">
        <v>1000</v>
      </c>
      <c r="E396" t="s">
        <v>73</v>
      </c>
      <c r="F396">
        <v>5</v>
      </c>
      <c r="G396">
        <v>51430</v>
      </c>
      <c r="H396">
        <v>102.86</v>
      </c>
      <c r="I396">
        <v>257409</v>
      </c>
      <c r="J396">
        <v>3706467</v>
      </c>
      <c r="K396">
        <v>0</v>
      </c>
      <c r="L396">
        <v>5.0050400000000002</v>
      </c>
      <c r="M396">
        <v>18</v>
      </c>
    </row>
    <row r="397" spans="1:13">
      <c r="A397" t="s">
        <v>9</v>
      </c>
      <c r="B397" t="s">
        <v>25</v>
      </c>
      <c r="C397">
        <v>1000</v>
      </c>
      <c r="D397">
        <v>1000</v>
      </c>
      <c r="E397" t="s">
        <v>73</v>
      </c>
      <c r="F397">
        <v>1</v>
      </c>
      <c r="G397">
        <v>54409.3</v>
      </c>
      <c r="H397">
        <v>54.409300000000002</v>
      </c>
      <c r="I397">
        <v>272048</v>
      </c>
      <c r="J397">
        <v>3622452</v>
      </c>
      <c r="K397">
        <v>0</v>
      </c>
      <c r="L397">
        <v>5.0000299999999998</v>
      </c>
      <c r="M397">
        <v>18</v>
      </c>
    </row>
    <row r="398" spans="1:13">
      <c r="A398" t="s">
        <v>9</v>
      </c>
      <c r="B398" t="s">
        <v>25</v>
      </c>
      <c r="C398">
        <v>1000</v>
      </c>
      <c r="D398">
        <v>1000</v>
      </c>
      <c r="E398" t="s">
        <v>73</v>
      </c>
      <c r="F398">
        <v>2</v>
      </c>
      <c r="G398">
        <v>53717.9</v>
      </c>
      <c r="H398">
        <v>53.7179</v>
      </c>
      <c r="I398">
        <v>268643</v>
      </c>
      <c r="J398">
        <v>3661881</v>
      </c>
      <c r="K398">
        <v>0</v>
      </c>
      <c r="L398">
        <v>5.0010000000000003</v>
      </c>
      <c r="M398">
        <v>18</v>
      </c>
    </row>
    <row r="399" spans="1:13">
      <c r="A399" t="s">
        <v>9</v>
      </c>
      <c r="B399" t="s">
        <v>25</v>
      </c>
      <c r="C399">
        <v>1000</v>
      </c>
      <c r="D399">
        <v>1000</v>
      </c>
      <c r="E399" t="s">
        <v>73</v>
      </c>
      <c r="F399">
        <v>3</v>
      </c>
      <c r="G399">
        <v>46825.5</v>
      </c>
      <c r="H399">
        <v>46.825499999999998</v>
      </c>
      <c r="I399">
        <v>234362</v>
      </c>
      <c r="J399">
        <v>3390602</v>
      </c>
      <c r="K399">
        <v>0</v>
      </c>
      <c r="L399">
        <v>5.0050100000000004</v>
      </c>
      <c r="M399">
        <v>18</v>
      </c>
    </row>
    <row r="400" spans="1:13">
      <c r="A400" t="s">
        <v>9</v>
      </c>
      <c r="B400" t="s">
        <v>25</v>
      </c>
      <c r="C400">
        <v>1000</v>
      </c>
      <c r="D400">
        <v>1000</v>
      </c>
      <c r="E400" t="s">
        <v>73</v>
      </c>
      <c r="F400">
        <v>4</v>
      </c>
      <c r="G400">
        <v>54341.7</v>
      </c>
      <c r="H400">
        <v>54.341700000000003</v>
      </c>
      <c r="I400">
        <v>271968</v>
      </c>
      <c r="J400">
        <v>3756045</v>
      </c>
      <c r="K400">
        <v>0</v>
      </c>
      <c r="L400">
        <v>5.0047800000000002</v>
      </c>
      <c r="M400">
        <v>18</v>
      </c>
    </row>
    <row r="401" spans="1:13">
      <c r="A401" t="s">
        <v>9</v>
      </c>
      <c r="B401" t="s">
        <v>25</v>
      </c>
      <c r="C401">
        <v>1000</v>
      </c>
      <c r="D401">
        <v>1000</v>
      </c>
      <c r="E401" t="s">
        <v>73</v>
      </c>
      <c r="F401">
        <v>5</v>
      </c>
      <c r="G401">
        <v>54914.3</v>
      </c>
      <c r="H401">
        <v>54.914299999999997</v>
      </c>
      <c r="I401">
        <v>274715</v>
      </c>
      <c r="J401">
        <v>3697626</v>
      </c>
      <c r="K401">
        <v>0</v>
      </c>
      <c r="L401">
        <v>5.0026099999999998</v>
      </c>
      <c r="M401">
        <v>18</v>
      </c>
    </row>
    <row r="402" spans="1:13">
      <c r="A402" t="s">
        <v>9</v>
      </c>
      <c r="B402" t="s">
        <v>25</v>
      </c>
      <c r="C402">
        <v>1</v>
      </c>
      <c r="D402">
        <v>10000</v>
      </c>
      <c r="E402" t="s">
        <v>73</v>
      </c>
      <c r="F402">
        <v>1</v>
      </c>
      <c r="G402">
        <v>26454.3</v>
      </c>
      <c r="H402">
        <v>26454.3</v>
      </c>
      <c r="I402">
        <v>132404</v>
      </c>
      <c r="J402">
        <v>154562</v>
      </c>
      <c r="K402">
        <v>0</v>
      </c>
      <c r="L402">
        <v>5.00502</v>
      </c>
      <c r="M402">
        <v>9</v>
      </c>
    </row>
    <row r="403" spans="1:13">
      <c r="A403" t="s">
        <v>9</v>
      </c>
      <c r="B403" t="s">
        <v>25</v>
      </c>
      <c r="C403">
        <v>1</v>
      </c>
      <c r="D403">
        <v>10000</v>
      </c>
      <c r="E403" t="s">
        <v>73</v>
      </c>
      <c r="F403">
        <v>2</v>
      </c>
      <c r="G403">
        <v>26619.4</v>
      </c>
      <c r="H403">
        <v>26619.4</v>
      </c>
      <c r="I403">
        <v>133209</v>
      </c>
      <c r="J403">
        <v>151530</v>
      </c>
      <c r="K403">
        <v>0</v>
      </c>
      <c r="L403">
        <v>5.0042</v>
      </c>
      <c r="M403">
        <v>9</v>
      </c>
    </row>
    <row r="404" spans="1:13">
      <c r="A404" t="s">
        <v>9</v>
      </c>
      <c r="B404" t="s">
        <v>25</v>
      </c>
      <c r="C404">
        <v>1</v>
      </c>
      <c r="D404">
        <v>10000</v>
      </c>
      <c r="E404" t="s">
        <v>73</v>
      </c>
      <c r="F404">
        <v>3</v>
      </c>
      <c r="G404">
        <v>26481.5</v>
      </c>
      <c r="H404">
        <v>26481.5</v>
      </c>
      <c r="I404">
        <v>132541</v>
      </c>
      <c r="J404">
        <v>148029</v>
      </c>
      <c r="K404">
        <v>0</v>
      </c>
      <c r="L404">
        <v>5.0050400000000002</v>
      </c>
      <c r="M404">
        <v>9</v>
      </c>
    </row>
    <row r="405" spans="1:13">
      <c r="A405" t="s">
        <v>9</v>
      </c>
      <c r="B405" t="s">
        <v>25</v>
      </c>
      <c r="C405">
        <v>1</v>
      </c>
      <c r="D405">
        <v>10000</v>
      </c>
      <c r="E405" t="s">
        <v>73</v>
      </c>
      <c r="F405">
        <v>4</v>
      </c>
      <c r="G405">
        <v>26558.5</v>
      </c>
      <c r="H405">
        <v>26558.5</v>
      </c>
      <c r="I405">
        <v>132926</v>
      </c>
      <c r="J405">
        <v>146357</v>
      </c>
      <c r="K405">
        <v>0</v>
      </c>
      <c r="L405">
        <v>5.00502</v>
      </c>
      <c r="M405">
        <v>9</v>
      </c>
    </row>
    <row r="406" spans="1:13">
      <c r="A406" t="s">
        <v>9</v>
      </c>
      <c r="B406" t="s">
        <v>25</v>
      </c>
      <c r="C406">
        <v>1</v>
      </c>
      <c r="D406">
        <v>10000</v>
      </c>
      <c r="E406" t="s">
        <v>73</v>
      </c>
      <c r="F406">
        <v>5</v>
      </c>
      <c r="G406">
        <v>25958.1</v>
      </c>
      <c r="H406">
        <v>25958.1</v>
      </c>
      <c r="I406">
        <v>129871</v>
      </c>
      <c r="J406">
        <v>145934</v>
      </c>
      <c r="K406">
        <v>0</v>
      </c>
      <c r="L406">
        <v>5.0030999999999999</v>
      </c>
      <c r="M406">
        <v>9</v>
      </c>
    </row>
    <row r="407" spans="1:13">
      <c r="A407" t="s">
        <v>9</v>
      </c>
      <c r="B407" t="s">
        <v>25</v>
      </c>
      <c r="C407">
        <v>10</v>
      </c>
      <c r="D407">
        <v>10000</v>
      </c>
      <c r="E407" t="s">
        <v>73</v>
      </c>
      <c r="F407">
        <v>1</v>
      </c>
      <c r="G407">
        <v>21794.2</v>
      </c>
      <c r="H407">
        <v>2179.42</v>
      </c>
      <c r="I407">
        <v>109080</v>
      </c>
      <c r="J407">
        <v>1360338</v>
      </c>
      <c r="K407">
        <v>0</v>
      </c>
      <c r="L407">
        <v>5.0050100000000004</v>
      </c>
      <c r="M407">
        <v>9</v>
      </c>
    </row>
    <row r="408" spans="1:13">
      <c r="A408" t="s">
        <v>9</v>
      </c>
      <c r="B408" t="s">
        <v>25</v>
      </c>
      <c r="C408">
        <v>10</v>
      </c>
      <c r="D408">
        <v>10000</v>
      </c>
      <c r="E408" t="s">
        <v>73</v>
      </c>
      <c r="F408">
        <v>2</v>
      </c>
      <c r="G408">
        <v>22379.9</v>
      </c>
      <c r="H408">
        <v>2237.9899999999998</v>
      </c>
      <c r="I408">
        <v>111927</v>
      </c>
      <c r="J408">
        <v>1385647</v>
      </c>
      <c r="K408">
        <v>0</v>
      </c>
      <c r="L408">
        <v>5.0012400000000001</v>
      </c>
      <c r="M408">
        <v>9</v>
      </c>
    </row>
    <row r="409" spans="1:13">
      <c r="A409" t="s">
        <v>9</v>
      </c>
      <c r="B409" t="s">
        <v>25</v>
      </c>
      <c r="C409">
        <v>10</v>
      </c>
      <c r="D409">
        <v>10000</v>
      </c>
      <c r="E409" t="s">
        <v>73</v>
      </c>
      <c r="F409">
        <v>3</v>
      </c>
      <c r="G409">
        <v>23337.4</v>
      </c>
      <c r="H409">
        <v>2333.7399999999998</v>
      </c>
      <c r="I409">
        <v>116804</v>
      </c>
      <c r="J409">
        <v>1435956</v>
      </c>
      <c r="K409">
        <v>0</v>
      </c>
      <c r="L409">
        <v>5.0050100000000004</v>
      </c>
      <c r="M409">
        <v>9</v>
      </c>
    </row>
    <row r="410" spans="1:13">
      <c r="A410" t="s">
        <v>9</v>
      </c>
      <c r="B410" t="s">
        <v>25</v>
      </c>
      <c r="C410">
        <v>10</v>
      </c>
      <c r="D410">
        <v>10000</v>
      </c>
      <c r="E410" t="s">
        <v>73</v>
      </c>
      <c r="F410">
        <v>4</v>
      </c>
      <c r="G410">
        <v>22858.3</v>
      </c>
      <c r="H410">
        <v>2285.83</v>
      </c>
      <c r="I410">
        <v>114406</v>
      </c>
      <c r="J410">
        <v>1401591</v>
      </c>
      <c r="K410">
        <v>0</v>
      </c>
      <c r="L410">
        <v>5.0050100000000004</v>
      </c>
      <c r="M410">
        <v>9</v>
      </c>
    </row>
    <row r="411" spans="1:13">
      <c r="A411" t="s">
        <v>9</v>
      </c>
      <c r="B411" t="s">
        <v>25</v>
      </c>
      <c r="C411">
        <v>10</v>
      </c>
      <c r="D411">
        <v>10000</v>
      </c>
      <c r="E411" t="s">
        <v>73</v>
      </c>
      <c r="F411">
        <v>5</v>
      </c>
      <c r="G411">
        <v>22484</v>
      </c>
      <c r="H411">
        <v>2248.4</v>
      </c>
      <c r="I411">
        <v>112472</v>
      </c>
      <c r="J411">
        <v>1392365</v>
      </c>
      <c r="K411">
        <v>0</v>
      </c>
      <c r="L411">
        <v>5.0023099999999996</v>
      </c>
      <c r="M411">
        <v>9</v>
      </c>
    </row>
    <row r="412" spans="1:13">
      <c r="A412" t="s">
        <v>9</v>
      </c>
      <c r="B412" t="s">
        <v>25</v>
      </c>
      <c r="C412">
        <v>100</v>
      </c>
      <c r="D412">
        <v>10000</v>
      </c>
      <c r="E412" t="s">
        <v>73</v>
      </c>
      <c r="F412">
        <v>1</v>
      </c>
      <c r="G412">
        <v>20801.7</v>
      </c>
      <c r="H412">
        <v>208.017</v>
      </c>
      <c r="I412">
        <v>104022</v>
      </c>
      <c r="J412">
        <v>3071219</v>
      </c>
      <c r="K412">
        <v>0</v>
      </c>
      <c r="L412">
        <v>5.0006599999999999</v>
      </c>
      <c r="M412">
        <v>9</v>
      </c>
    </row>
    <row r="413" spans="1:13">
      <c r="A413" t="s">
        <v>9</v>
      </c>
      <c r="B413" t="s">
        <v>25</v>
      </c>
      <c r="C413">
        <v>100</v>
      </c>
      <c r="D413">
        <v>10000</v>
      </c>
      <c r="E413" t="s">
        <v>73</v>
      </c>
      <c r="F413">
        <v>2</v>
      </c>
      <c r="G413">
        <v>21375.3</v>
      </c>
      <c r="H413">
        <v>213.75299999999999</v>
      </c>
      <c r="I413">
        <v>106942</v>
      </c>
      <c r="J413">
        <v>3090958</v>
      </c>
      <c r="K413">
        <v>0</v>
      </c>
      <c r="L413">
        <v>5.0030700000000001</v>
      </c>
      <c r="M413">
        <v>9</v>
      </c>
    </row>
    <row r="414" spans="1:13">
      <c r="A414" t="s">
        <v>9</v>
      </c>
      <c r="B414" t="s">
        <v>25</v>
      </c>
      <c r="C414">
        <v>100</v>
      </c>
      <c r="D414">
        <v>10000</v>
      </c>
      <c r="E414" t="s">
        <v>73</v>
      </c>
      <c r="F414">
        <v>3</v>
      </c>
      <c r="G414">
        <v>22039.9</v>
      </c>
      <c r="H414">
        <v>220.399</v>
      </c>
      <c r="I414">
        <v>110307</v>
      </c>
      <c r="J414">
        <v>3214647</v>
      </c>
      <c r="K414">
        <v>0</v>
      </c>
      <c r="L414">
        <v>5.0048700000000004</v>
      </c>
      <c r="M414">
        <v>9</v>
      </c>
    </row>
    <row r="415" spans="1:13">
      <c r="A415" t="s">
        <v>9</v>
      </c>
      <c r="B415" t="s">
        <v>25</v>
      </c>
      <c r="C415">
        <v>100</v>
      </c>
      <c r="D415">
        <v>10000</v>
      </c>
      <c r="E415" t="s">
        <v>73</v>
      </c>
      <c r="F415">
        <v>4</v>
      </c>
      <c r="G415">
        <v>21546</v>
      </c>
      <c r="H415">
        <v>215.46</v>
      </c>
      <c r="I415">
        <v>107778</v>
      </c>
      <c r="J415">
        <v>3147509</v>
      </c>
      <c r="K415">
        <v>0</v>
      </c>
      <c r="L415">
        <v>5.00223</v>
      </c>
      <c r="M415">
        <v>9</v>
      </c>
    </row>
    <row r="416" spans="1:13">
      <c r="A416" t="s">
        <v>9</v>
      </c>
      <c r="B416" t="s">
        <v>25</v>
      </c>
      <c r="C416">
        <v>100</v>
      </c>
      <c r="D416">
        <v>10000</v>
      </c>
      <c r="E416" t="s">
        <v>73</v>
      </c>
      <c r="F416">
        <v>5</v>
      </c>
      <c r="G416">
        <v>20891.599999999999</v>
      </c>
      <c r="H416">
        <v>208.916</v>
      </c>
      <c r="I416">
        <v>104559</v>
      </c>
      <c r="J416">
        <v>3089578</v>
      </c>
      <c r="K416">
        <v>0</v>
      </c>
      <c r="L416">
        <v>5.0048300000000001</v>
      </c>
      <c r="M416">
        <v>9</v>
      </c>
    </row>
    <row r="417" spans="1:13">
      <c r="A417" t="s">
        <v>9</v>
      </c>
      <c r="B417" t="s">
        <v>25</v>
      </c>
      <c r="C417">
        <v>500</v>
      </c>
      <c r="D417">
        <v>10000</v>
      </c>
      <c r="E417" t="s">
        <v>73</v>
      </c>
      <c r="F417">
        <v>1</v>
      </c>
      <c r="G417">
        <v>23723.5</v>
      </c>
      <c r="H417">
        <v>47.447000000000003</v>
      </c>
      <c r="I417">
        <v>118750</v>
      </c>
      <c r="J417">
        <v>3679252</v>
      </c>
      <c r="K417">
        <v>0</v>
      </c>
      <c r="L417">
        <v>5.0055899999999998</v>
      </c>
      <c r="M417">
        <v>9</v>
      </c>
    </row>
    <row r="418" spans="1:13">
      <c r="A418" t="s">
        <v>9</v>
      </c>
      <c r="B418" t="s">
        <v>25</v>
      </c>
      <c r="C418">
        <v>500</v>
      </c>
      <c r="D418">
        <v>10000</v>
      </c>
      <c r="E418" t="s">
        <v>73</v>
      </c>
      <c r="F418">
        <v>2</v>
      </c>
      <c r="G418">
        <v>22436.2</v>
      </c>
      <c r="H418">
        <v>44.872500000000002</v>
      </c>
      <c r="I418">
        <v>112284</v>
      </c>
      <c r="J418">
        <v>3649612</v>
      </c>
      <c r="K418">
        <v>0</v>
      </c>
      <c r="L418">
        <v>5.0045799999999998</v>
      </c>
      <c r="M418">
        <v>9</v>
      </c>
    </row>
    <row r="419" spans="1:13">
      <c r="A419" t="s">
        <v>9</v>
      </c>
      <c r="B419" t="s">
        <v>25</v>
      </c>
      <c r="C419">
        <v>500</v>
      </c>
      <c r="D419">
        <v>10000</v>
      </c>
      <c r="E419" t="s">
        <v>73</v>
      </c>
      <c r="F419">
        <v>3</v>
      </c>
      <c r="G419">
        <v>20651.400000000001</v>
      </c>
      <c r="H419">
        <v>41.302799999999998</v>
      </c>
      <c r="I419">
        <v>103262</v>
      </c>
      <c r="J419">
        <v>3318387</v>
      </c>
      <c r="K419">
        <v>0</v>
      </c>
      <c r="L419">
        <v>5.0002399999999998</v>
      </c>
      <c r="M419">
        <v>9</v>
      </c>
    </row>
    <row r="420" spans="1:13">
      <c r="A420" t="s">
        <v>9</v>
      </c>
      <c r="B420" t="s">
        <v>25</v>
      </c>
      <c r="C420">
        <v>500</v>
      </c>
      <c r="D420">
        <v>10000</v>
      </c>
      <c r="E420" t="s">
        <v>73</v>
      </c>
      <c r="F420">
        <v>4</v>
      </c>
      <c r="G420">
        <v>23563.599999999999</v>
      </c>
      <c r="H420">
        <v>47.127299999999998</v>
      </c>
      <c r="I420">
        <v>117923</v>
      </c>
      <c r="J420">
        <v>3686803</v>
      </c>
      <c r="K420">
        <v>0</v>
      </c>
      <c r="L420">
        <v>5.0044500000000003</v>
      </c>
      <c r="M420">
        <v>9</v>
      </c>
    </row>
    <row r="421" spans="1:13">
      <c r="A421" t="s">
        <v>9</v>
      </c>
      <c r="B421" t="s">
        <v>25</v>
      </c>
      <c r="C421">
        <v>500</v>
      </c>
      <c r="D421">
        <v>10000</v>
      </c>
      <c r="E421" t="s">
        <v>73</v>
      </c>
      <c r="F421">
        <v>5</v>
      </c>
      <c r="G421">
        <v>23200.2</v>
      </c>
      <c r="H421">
        <v>46.400399999999998</v>
      </c>
      <c r="I421">
        <v>116057</v>
      </c>
      <c r="J421">
        <v>3651689</v>
      </c>
      <c r="K421">
        <v>0</v>
      </c>
      <c r="L421">
        <v>5.0024199999999999</v>
      </c>
      <c r="M421">
        <v>9</v>
      </c>
    </row>
    <row r="422" spans="1:13">
      <c r="A422" t="s">
        <v>9</v>
      </c>
      <c r="B422" t="s">
        <v>25</v>
      </c>
      <c r="C422">
        <v>1000</v>
      </c>
      <c r="D422">
        <v>10000</v>
      </c>
      <c r="E422" t="s">
        <v>73</v>
      </c>
      <c r="F422">
        <v>1</v>
      </c>
      <c r="G422">
        <v>24171.7</v>
      </c>
      <c r="H422">
        <v>24.171700000000001</v>
      </c>
      <c r="I422">
        <v>120876</v>
      </c>
      <c r="J422">
        <v>3651881</v>
      </c>
      <c r="K422">
        <v>0</v>
      </c>
      <c r="L422">
        <v>5.0007200000000003</v>
      </c>
      <c r="M422">
        <v>9</v>
      </c>
    </row>
    <row r="423" spans="1:13">
      <c r="A423" t="s">
        <v>9</v>
      </c>
      <c r="B423" t="s">
        <v>25</v>
      </c>
      <c r="C423">
        <v>1000</v>
      </c>
      <c r="D423">
        <v>10000</v>
      </c>
      <c r="E423" t="s">
        <v>73</v>
      </c>
      <c r="F423">
        <v>2</v>
      </c>
      <c r="G423">
        <v>23886.1</v>
      </c>
      <c r="H423">
        <v>23.886099999999999</v>
      </c>
      <c r="I423">
        <v>119550</v>
      </c>
      <c r="J423">
        <v>3646622</v>
      </c>
      <c r="K423">
        <v>0</v>
      </c>
      <c r="L423">
        <v>5.0050100000000004</v>
      </c>
      <c r="M423">
        <v>9</v>
      </c>
    </row>
    <row r="424" spans="1:13">
      <c r="A424" t="s">
        <v>9</v>
      </c>
      <c r="B424" t="s">
        <v>25</v>
      </c>
      <c r="C424">
        <v>1000</v>
      </c>
      <c r="D424">
        <v>10000</v>
      </c>
      <c r="E424" t="s">
        <v>73</v>
      </c>
      <c r="F424">
        <v>3</v>
      </c>
      <c r="G424">
        <v>24584.799999999999</v>
      </c>
      <c r="H424">
        <v>24.584800000000001</v>
      </c>
      <c r="I424">
        <v>123023</v>
      </c>
      <c r="J424">
        <v>3683531</v>
      </c>
      <c r="K424">
        <v>0</v>
      </c>
      <c r="L424">
        <v>5.0040300000000002</v>
      </c>
      <c r="M424">
        <v>9</v>
      </c>
    </row>
    <row r="425" spans="1:13">
      <c r="A425" t="s">
        <v>9</v>
      </c>
      <c r="B425" t="s">
        <v>25</v>
      </c>
      <c r="C425">
        <v>1000</v>
      </c>
      <c r="D425">
        <v>10000</v>
      </c>
      <c r="E425" t="s">
        <v>73</v>
      </c>
      <c r="F425">
        <v>4</v>
      </c>
      <c r="G425">
        <v>24077.1</v>
      </c>
      <c r="H425">
        <v>24.077100000000002</v>
      </c>
      <c r="I425">
        <v>120486</v>
      </c>
      <c r="J425">
        <v>3651673</v>
      </c>
      <c r="K425">
        <v>0</v>
      </c>
      <c r="L425">
        <v>5.0041700000000002</v>
      </c>
      <c r="M425">
        <v>9</v>
      </c>
    </row>
    <row r="426" spans="1:13">
      <c r="A426" t="s">
        <v>9</v>
      </c>
      <c r="B426" t="s">
        <v>25</v>
      </c>
      <c r="C426">
        <v>1000</v>
      </c>
      <c r="D426">
        <v>10000</v>
      </c>
      <c r="E426" t="s">
        <v>73</v>
      </c>
      <c r="F426">
        <v>5</v>
      </c>
      <c r="G426">
        <v>24174.1</v>
      </c>
      <c r="H426">
        <v>24.174099999999999</v>
      </c>
      <c r="I426">
        <v>120883</v>
      </c>
      <c r="J426">
        <v>3635313</v>
      </c>
      <c r="K426">
        <v>0</v>
      </c>
      <c r="L426">
        <v>5.0005100000000002</v>
      </c>
      <c r="M426">
        <v>9</v>
      </c>
    </row>
    <row r="427" spans="1:13">
      <c r="A427" t="s">
        <v>9</v>
      </c>
      <c r="B427" t="s">
        <v>25</v>
      </c>
      <c r="C427">
        <v>1</v>
      </c>
      <c r="D427">
        <v>100000</v>
      </c>
      <c r="E427" t="s">
        <v>73</v>
      </c>
      <c r="F427">
        <v>1</v>
      </c>
      <c r="G427">
        <v>4182.28</v>
      </c>
      <c r="H427">
        <v>4182.28</v>
      </c>
      <c r="I427">
        <v>20926</v>
      </c>
      <c r="J427">
        <v>262131</v>
      </c>
      <c r="K427">
        <v>0</v>
      </c>
      <c r="L427">
        <v>5.0034999999999998</v>
      </c>
      <c r="M427">
        <v>4</v>
      </c>
    </row>
    <row r="428" spans="1:13">
      <c r="A428" t="s">
        <v>9</v>
      </c>
      <c r="B428" t="s">
        <v>25</v>
      </c>
      <c r="C428">
        <v>1</v>
      </c>
      <c r="D428">
        <v>100000</v>
      </c>
      <c r="E428" t="s">
        <v>73</v>
      </c>
      <c r="F428">
        <v>2</v>
      </c>
      <c r="G428">
        <v>4280.1499999999996</v>
      </c>
      <c r="H428">
        <v>4280.1499999999996</v>
      </c>
      <c r="I428">
        <v>21419</v>
      </c>
      <c r="J428">
        <v>265729</v>
      </c>
      <c r="K428">
        <v>0</v>
      </c>
      <c r="L428">
        <v>5.0042600000000004</v>
      </c>
      <c r="M428">
        <v>4</v>
      </c>
    </row>
    <row r="429" spans="1:13">
      <c r="A429" t="s">
        <v>9</v>
      </c>
      <c r="B429" t="s">
        <v>25</v>
      </c>
      <c r="C429">
        <v>1</v>
      </c>
      <c r="D429">
        <v>100000</v>
      </c>
      <c r="E429" t="s">
        <v>73</v>
      </c>
      <c r="F429">
        <v>3</v>
      </c>
      <c r="G429">
        <v>4267.6499999999996</v>
      </c>
      <c r="H429">
        <v>4267.6499999999996</v>
      </c>
      <c r="I429">
        <v>21340</v>
      </c>
      <c r="J429">
        <v>264181</v>
      </c>
      <c r="K429">
        <v>0</v>
      </c>
      <c r="L429">
        <v>5.0004099999999996</v>
      </c>
      <c r="M429">
        <v>4</v>
      </c>
    </row>
    <row r="430" spans="1:13">
      <c r="A430" t="s">
        <v>9</v>
      </c>
      <c r="B430" t="s">
        <v>25</v>
      </c>
      <c r="C430">
        <v>1</v>
      </c>
      <c r="D430">
        <v>100000</v>
      </c>
      <c r="E430" t="s">
        <v>73</v>
      </c>
      <c r="F430">
        <v>4</v>
      </c>
      <c r="G430">
        <v>4243.79</v>
      </c>
      <c r="H430">
        <v>4243.79</v>
      </c>
      <c r="I430">
        <v>21229</v>
      </c>
      <c r="J430">
        <v>271471</v>
      </c>
      <c r="K430">
        <v>0</v>
      </c>
      <c r="L430">
        <v>5.00237</v>
      </c>
      <c r="M430">
        <v>4</v>
      </c>
    </row>
    <row r="431" spans="1:13">
      <c r="A431" t="s">
        <v>9</v>
      </c>
      <c r="B431" t="s">
        <v>25</v>
      </c>
      <c r="C431">
        <v>1</v>
      </c>
      <c r="D431">
        <v>100000</v>
      </c>
      <c r="E431" t="s">
        <v>73</v>
      </c>
      <c r="F431">
        <v>5</v>
      </c>
      <c r="G431">
        <v>4189.5</v>
      </c>
      <c r="H431">
        <v>4189.5</v>
      </c>
      <c r="I431">
        <v>20960</v>
      </c>
      <c r="J431">
        <v>262619</v>
      </c>
      <c r="K431">
        <v>0</v>
      </c>
      <c r="L431">
        <v>5.00298</v>
      </c>
      <c r="M431">
        <v>4</v>
      </c>
    </row>
    <row r="432" spans="1:13">
      <c r="A432" t="s">
        <v>9</v>
      </c>
      <c r="B432" t="s">
        <v>25</v>
      </c>
      <c r="C432">
        <v>10</v>
      </c>
      <c r="D432">
        <v>100000</v>
      </c>
      <c r="E432" t="s">
        <v>73</v>
      </c>
      <c r="F432">
        <v>1</v>
      </c>
      <c r="G432">
        <v>4008.54</v>
      </c>
      <c r="H432">
        <v>400.85399999999998</v>
      </c>
      <c r="I432">
        <v>20044</v>
      </c>
      <c r="J432">
        <v>1396570</v>
      </c>
      <c r="K432">
        <v>0</v>
      </c>
      <c r="L432">
        <v>5.0003299999999999</v>
      </c>
      <c r="M432">
        <v>4</v>
      </c>
    </row>
    <row r="433" spans="1:13">
      <c r="A433" t="s">
        <v>9</v>
      </c>
      <c r="B433" t="s">
        <v>25</v>
      </c>
      <c r="C433">
        <v>10</v>
      </c>
      <c r="D433">
        <v>100000</v>
      </c>
      <c r="E433" t="s">
        <v>73</v>
      </c>
      <c r="F433">
        <v>2</v>
      </c>
      <c r="G433">
        <v>3948.85</v>
      </c>
      <c r="H433">
        <v>394.88499999999999</v>
      </c>
      <c r="I433">
        <v>19751</v>
      </c>
      <c r="J433">
        <v>1387058</v>
      </c>
      <c r="K433">
        <v>0</v>
      </c>
      <c r="L433">
        <v>5.0017100000000001</v>
      </c>
      <c r="M433">
        <v>4</v>
      </c>
    </row>
    <row r="434" spans="1:13">
      <c r="A434" t="s">
        <v>9</v>
      </c>
      <c r="B434" t="s">
        <v>25</v>
      </c>
      <c r="C434">
        <v>10</v>
      </c>
      <c r="D434">
        <v>100000</v>
      </c>
      <c r="E434" t="s">
        <v>73</v>
      </c>
      <c r="F434">
        <v>3</v>
      </c>
      <c r="G434">
        <v>3960.12</v>
      </c>
      <c r="H434">
        <v>396.012</v>
      </c>
      <c r="I434">
        <v>19819</v>
      </c>
      <c r="J434">
        <v>1422650</v>
      </c>
      <c r="K434">
        <v>0</v>
      </c>
      <c r="L434">
        <v>5.0046499999999998</v>
      </c>
      <c r="M434">
        <v>4</v>
      </c>
    </row>
    <row r="435" spans="1:13">
      <c r="A435" t="s">
        <v>9</v>
      </c>
      <c r="B435" t="s">
        <v>25</v>
      </c>
      <c r="C435">
        <v>10</v>
      </c>
      <c r="D435">
        <v>100000</v>
      </c>
      <c r="E435" t="s">
        <v>73</v>
      </c>
      <c r="F435">
        <v>4</v>
      </c>
      <c r="G435">
        <v>3923.06</v>
      </c>
      <c r="H435">
        <v>392.30599999999998</v>
      </c>
      <c r="I435">
        <v>19635</v>
      </c>
      <c r="J435">
        <v>1371204</v>
      </c>
      <c r="K435">
        <v>0</v>
      </c>
      <c r="L435">
        <v>5.0050299999999996</v>
      </c>
      <c r="M435">
        <v>4</v>
      </c>
    </row>
    <row r="436" spans="1:13">
      <c r="A436" t="s">
        <v>9</v>
      </c>
      <c r="B436" t="s">
        <v>25</v>
      </c>
      <c r="C436">
        <v>10</v>
      </c>
      <c r="D436">
        <v>100000</v>
      </c>
      <c r="E436" t="s">
        <v>73</v>
      </c>
      <c r="F436">
        <v>5</v>
      </c>
      <c r="G436">
        <v>3563.21</v>
      </c>
      <c r="H436">
        <v>356.32100000000003</v>
      </c>
      <c r="I436">
        <v>17819</v>
      </c>
      <c r="J436">
        <v>1283359</v>
      </c>
      <c r="K436">
        <v>0</v>
      </c>
      <c r="L436">
        <v>5.0008299999999997</v>
      </c>
      <c r="M436">
        <v>4</v>
      </c>
    </row>
    <row r="437" spans="1:13">
      <c r="A437" t="s">
        <v>9</v>
      </c>
      <c r="B437" t="s">
        <v>25</v>
      </c>
      <c r="C437">
        <v>100</v>
      </c>
      <c r="D437">
        <v>100000</v>
      </c>
      <c r="E437" t="s">
        <v>73</v>
      </c>
      <c r="F437">
        <v>1</v>
      </c>
      <c r="G437">
        <v>3977.24</v>
      </c>
      <c r="H437">
        <v>39.772399999999998</v>
      </c>
      <c r="I437">
        <v>19899</v>
      </c>
      <c r="J437">
        <v>3097735</v>
      </c>
      <c r="K437">
        <v>0</v>
      </c>
      <c r="L437">
        <v>5.0032199999999998</v>
      </c>
      <c r="M437">
        <v>4</v>
      </c>
    </row>
    <row r="438" spans="1:13">
      <c r="A438" t="s">
        <v>9</v>
      </c>
      <c r="B438" t="s">
        <v>25</v>
      </c>
      <c r="C438">
        <v>100</v>
      </c>
      <c r="D438">
        <v>100000</v>
      </c>
      <c r="E438" t="s">
        <v>73</v>
      </c>
      <c r="F438">
        <v>2</v>
      </c>
      <c r="G438">
        <v>3938.23</v>
      </c>
      <c r="H438">
        <v>39.382300000000001</v>
      </c>
      <c r="I438">
        <v>19697</v>
      </c>
      <c r="J438">
        <v>3044633</v>
      </c>
      <c r="K438">
        <v>0</v>
      </c>
      <c r="L438">
        <v>5.0014799999999999</v>
      </c>
      <c r="M438">
        <v>4</v>
      </c>
    </row>
    <row r="439" spans="1:13">
      <c r="A439" t="s">
        <v>9</v>
      </c>
      <c r="B439" t="s">
        <v>25</v>
      </c>
      <c r="C439">
        <v>100</v>
      </c>
      <c r="D439">
        <v>100000</v>
      </c>
      <c r="E439" t="s">
        <v>73</v>
      </c>
      <c r="F439">
        <v>3</v>
      </c>
      <c r="G439">
        <v>3975.99</v>
      </c>
      <c r="H439">
        <v>39.759900000000002</v>
      </c>
      <c r="I439">
        <v>19898</v>
      </c>
      <c r="J439">
        <v>3069432</v>
      </c>
      <c r="K439">
        <v>0</v>
      </c>
      <c r="L439">
        <v>5.0045400000000004</v>
      </c>
      <c r="M439">
        <v>4</v>
      </c>
    </row>
    <row r="440" spans="1:13">
      <c r="A440" t="s">
        <v>9</v>
      </c>
      <c r="B440" t="s">
        <v>25</v>
      </c>
      <c r="C440">
        <v>100</v>
      </c>
      <c r="D440">
        <v>100000</v>
      </c>
      <c r="E440" t="s">
        <v>73</v>
      </c>
      <c r="F440">
        <v>4</v>
      </c>
      <c r="G440">
        <v>3918.21</v>
      </c>
      <c r="H440">
        <v>39.182099999999998</v>
      </c>
      <c r="I440">
        <v>19598</v>
      </c>
      <c r="J440">
        <v>3079381</v>
      </c>
      <c r="K440">
        <v>0</v>
      </c>
      <c r="L440">
        <v>5.0017699999999996</v>
      </c>
      <c r="M440">
        <v>4</v>
      </c>
    </row>
    <row r="441" spans="1:13">
      <c r="A441" t="s">
        <v>9</v>
      </c>
      <c r="B441" t="s">
        <v>25</v>
      </c>
      <c r="C441">
        <v>100</v>
      </c>
      <c r="D441">
        <v>100000</v>
      </c>
      <c r="E441" t="s">
        <v>73</v>
      </c>
      <c r="F441">
        <v>5</v>
      </c>
      <c r="G441">
        <v>3901.32</v>
      </c>
      <c r="H441">
        <v>39.013199999999998</v>
      </c>
      <c r="I441">
        <v>19524</v>
      </c>
      <c r="J441">
        <v>3003226</v>
      </c>
      <c r="K441">
        <v>0</v>
      </c>
      <c r="L441">
        <v>5.0044599999999999</v>
      </c>
      <c r="M441">
        <v>4</v>
      </c>
    </row>
    <row r="442" spans="1:13">
      <c r="A442" t="s">
        <v>9</v>
      </c>
      <c r="B442" t="s">
        <v>25</v>
      </c>
      <c r="C442">
        <v>500</v>
      </c>
      <c r="D442">
        <v>100000</v>
      </c>
      <c r="E442" t="s">
        <v>73</v>
      </c>
      <c r="F442">
        <v>1</v>
      </c>
      <c r="G442">
        <v>3717.66</v>
      </c>
      <c r="H442">
        <v>7.4353199999999999</v>
      </c>
      <c r="I442">
        <v>18603</v>
      </c>
      <c r="J442">
        <v>3662659</v>
      </c>
      <c r="K442">
        <v>0</v>
      </c>
      <c r="L442">
        <v>5.0039499999999997</v>
      </c>
      <c r="M442">
        <v>4</v>
      </c>
    </row>
    <row r="443" spans="1:13">
      <c r="A443" t="s">
        <v>9</v>
      </c>
      <c r="B443" t="s">
        <v>25</v>
      </c>
      <c r="C443">
        <v>500</v>
      </c>
      <c r="D443">
        <v>100000</v>
      </c>
      <c r="E443" t="s">
        <v>73</v>
      </c>
      <c r="F443">
        <v>2</v>
      </c>
      <c r="G443">
        <v>3756.02</v>
      </c>
      <c r="H443">
        <v>7.5120500000000003</v>
      </c>
      <c r="I443">
        <v>18792</v>
      </c>
      <c r="J443">
        <v>3669555</v>
      </c>
      <c r="K443">
        <v>0</v>
      </c>
      <c r="L443">
        <v>5.0031600000000003</v>
      </c>
      <c r="M443">
        <v>4</v>
      </c>
    </row>
    <row r="444" spans="1:13">
      <c r="A444" t="s">
        <v>9</v>
      </c>
      <c r="B444" t="s">
        <v>25</v>
      </c>
      <c r="C444">
        <v>500</v>
      </c>
      <c r="D444">
        <v>100000</v>
      </c>
      <c r="E444" t="s">
        <v>73</v>
      </c>
      <c r="F444">
        <v>3</v>
      </c>
      <c r="G444">
        <v>3707.88</v>
      </c>
      <c r="H444">
        <v>7.4157700000000002</v>
      </c>
      <c r="I444">
        <v>18558</v>
      </c>
      <c r="J444">
        <v>3665284</v>
      </c>
      <c r="K444">
        <v>0</v>
      </c>
      <c r="L444">
        <v>5.0050100000000004</v>
      </c>
      <c r="M444">
        <v>4</v>
      </c>
    </row>
    <row r="445" spans="1:13">
      <c r="A445" t="s">
        <v>9</v>
      </c>
      <c r="B445" t="s">
        <v>25</v>
      </c>
      <c r="C445">
        <v>500</v>
      </c>
      <c r="D445">
        <v>100000</v>
      </c>
      <c r="E445" t="s">
        <v>73</v>
      </c>
      <c r="F445">
        <v>4</v>
      </c>
      <c r="G445">
        <v>3742.63</v>
      </c>
      <c r="H445">
        <v>7.4852699999999999</v>
      </c>
      <c r="I445">
        <v>18716</v>
      </c>
      <c r="J445">
        <v>3665653</v>
      </c>
      <c r="K445">
        <v>0</v>
      </c>
      <c r="L445">
        <v>5.0007599999999996</v>
      </c>
      <c r="M445">
        <v>4</v>
      </c>
    </row>
    <row r="446" spans="1:13">
      <c r="A446" t="s">
        <v>9</v>
      </c>
      <c r="B446" t="s">
        <v>25</v>
      </c>
      <c r="C446">
        <v>500</v>
      </c>
      <c r="D446">
        <v>100000</v>
      </c>
      <c r="E446" t="s">
        <v>73</v>
      </c>
      <c r="F446">
        <v>5</v>
      </c>
      <c r="G446">
        <v>3703.33</v>
      </c>
      <c r="H446">
        <v>7.4066700000000001</v>
      </c>
      <c r="I446">
        <v>18530</v>
      </c>
      <c r="J446">
        <v>3668506</v>
      </c>
      <c r="K446">
        <v>0</v>
      </c>
      <c r="L446">
        <v>5.0035999999999996</v>
      </c>
      <c r="M446">
        <v>4</v>
      </c>
    </row>
    <row r="447" spans="1:13">
      <c r="A447" t="s">
        <v>9</v>
      </c>
      <c r="B447" t="s">
        <v>25</v>
      </c>
      <c r="C447">
        <v>1000</v>
      </c>
      <c r="D447">
        <v>100000</v>
      </c>
      <c r="E447" t="s">
        <v>73</v>
      </c>
      <c r="F447">
        <v>1</v>
      </c>
      <c r="G447">
        <v>3763.23</v>
      </c>
      <c r="H447">
        <v>3.7632300000000001</v>
      </c>
      <c r="I447">
        <v>18817</v>
      </c>
      <c r="J447">
        <v>3622628</v>
      </c>
      <c r="K447">
        <v>0</v>
      </c>
      <c r="L447">
        <v>5.0002199999999997</v>
      </c>
      <c r="M447">
        <v>4</v>
      </c>
    </row>
    <row r="448" spans="1:13">
      <c r="A448" t="s">
        <v>9</v>
      </c>
      <c r="B448" t="s">
        <v>25</v>
      </c>
      <c r="C448">
        <v>1000</v>
      </c>
      <c r="D448">
        <v>100000</v>
      </c>
      <c r="E448" t="s">
        <v>73</v>
      </c>
      <c r="F448">
        <v>2</v>
      </c>
      <c r="G448">
        <v>3714.01</v>
      </c>
      <c r="H448">
        <v>3.71401</v>
      </c>
      <c r="I448">
        <v>18583</v>
      </c>
      <c r="J448">
        <v>3667452</v>
      </c>
      <c r="K448">
        <v>0</v>
      </c>
      <c r="L448">
        <v>5.0034900000000002</v>
      </c>
      <c r="M448">
        <v>4</v>
      </c>
    </row>
    <row r="449" spans="1:13">
      <c r="A449" t="s">
        <v>9</v>
      </c>
      <c r="B449" t="s">
        <v>25</v>
      </c>
      <c r="C449">
        <v>1000</v>
      </c>
      <c r="D449">
        <v>100000</v>
      </c>
      <c r="E449" t="s">
        <v>73</v>
      </c>
      <c r="F449">
        <v>3</v>
      </c>
      <c r="G449">
        <v>3722.12</v>
      </c>
      <c r="H449">
        <v>3.7221199999999999</v>
      </c>
      <c r="I449">
        <v>18615</v>
      </c>
      <c r="J449">
        <v>3646301</v>
      </c>
      <c r="K449">
        <v>0</v>
      </c>
      <c r="L449">
        <v>5.0011799999999997</v>
      </c>
      <c r="M449">
        <v>4</v>
      </c>
    </row>
    <row r="450" spans="1:13">
      <c r="A450" t="s">
        <v>9</v>
      </c>
      <c r="B450" t="s">
        <v>25</v>
      </c>
      <c r="C450">
        <v>1000</v>
      </c>
      <c r="D450">
        <v>100000</v>
      </c>
      <c r="E450" t="s">
        <v>73</v>
      </c>
      <c r="F450">
        <v>4</v>
      </c>
      <c r="G450">
        <v>3718.83</v>
      </c>
      <c r="H450">
        <v>3.7188300000000001</v>
      </c>
      <c r="I450">
        <v>18607</v>
      </c>
      <c r="J450">
        <v>3617139</v>
      </c>
      <c r="K450">
        <v>0</v>
      </c>
      <c r="L450">
        <v>5.0034599999999996</v>
      </c>
      <c r="M450">
        <v>4</v>
      </c>
    </row>
    <row r="451" spans="1:13">
      <c r="A451" t="s">
        <v>9</v>
      </c>
      <c r="B451" t="s">
        <v>25</v>
      </c>
      <c r="C451">
        <v>1000</v>
      </c>
      <c r="D451">
        <v>100000</v>
      </c>
      <c r="E451" t="s">
        <v>73</v>
      </c>
      <c r="F451">
        <v>5</v>
      </c>
      <c r="G451">
        <v>3742.93</v>
      </c>
      <c r="H451">
        <v>3.7429299999999999</v>
      </c>
      <c r="I451">
        <v>18728</v>
      </c>
      <c r="J451">
        <v>3626794</v>
      </c>
      <c r="K451">
        <v>0</v>
      </c>
      <c r="L451">
        <v>5.0035600000000002</v>
      </c>
      <c r="M451">
        <v>4</v>
      </c>
    </row>
    <row r="452" spans="1:13">
      <c r="A452" t="s">
        <v>10</v>
      </c>
      <c r="B452" t="s">
        <v>25</v>
      </c>
      <c r="C452">
        <v>1</v>
      </c>
      <c r="D452">
        <v>1</v>
      </c>
      <c r="E452" t="s">
        <v>73</v>
      </c>
      <c r="F452">
        <v>1</v>
      </c>
      <c r="G452">
        <v>73641.899999999994</v>
      </c>
      <c r="H452">
        <v>73641.899999999994</v>
      </c>
      <c r="I452">
        <v>368461</v>
      </c>
      <c r="J452">
        <v>1508</v>
      </c>
      <c r="K452">
        <v>0</v>
      </c>
      <c r="L452">
        <v>5.0034099999999997</v>
      </c>
      <c r="M452">
        <v>144</v>
      </c>
    </row>
    <row r="453" spans="1:13">
      <c r="A453" t="s">
        <v>10</v>
      </c>
      <c r="B453" t="s">
        <v>25</v>
      </c>
      <c r="C453">
        <v>1</v>
      </c>
      <c r="D453">
        <v>1</v>
      </c>
      <c r="E453" t="s">
        <v>73</v>
      </c>
      <c r="F453">
        <v>2</v>
      </c>
      <c r="G453">
        <v>72485.8</v>
      </c>
      <c r="H453">
        <v>72485.8</v>
      </c>
      <c r="I453">
        <v>362793</v>
      </c>
      <c r="J453">
        <v>1466</v>
      </c>
      <c r="K453">
        <v>0</v>
      </c>
      <c r="L453">
        <v>5.00502</v>
      </c>
      <c r="M453">
        <v>144</v>
      </c>
    </row>
    <row r="454" spans="1:13">
      <c r="A454" t="s">
        <v>10</v>
      </c>
      <c r="B454" t="s">
        <v>25</v>
      </c>
      <c r="C454">
        <v>1</v>
      </c>
      <c r="D454">
        <v>1</v>
      </c>
      <c r="E454" t="s">
        <v>73</v>
      </c>
      <c r="F454">
        <v>3</v>
      </c>
      <c r="G454">
        <v>74297.7</v>
      </c>
      <c r="H454">
        <v>74297.7</v>
      </c>
      <c r="I454">
        <v>371603</v>
      </c>
      <c r="J454">
        <v>335</v>
      </c>
      <c r="K454">
        <v>0</v>
      </c>
      <c r="L454">
        <v>5.0015400000000003</v>
      </c>
      <c r="M454">
        <v>144</v>
      </c>
    </row>
    <row r="455" spans="1:13">
      <c r="A455" t="s">
        <v>10</v>
      </c>
      <c r="B455" t="s">
        <v>25</v>
      </c>
      <c r="C455">
        <v>1</v>
      </c>
      <c r="D455">
        <v>1</v>
      </c>
      <c r="E455" t="s">
        <v>73</v>
      </c>
      <c r="F455">
        <v>4</v>
      </c>
      <c r="G455">
        <v>70731.3</v>
      </c>
      <c r="H455">
        <v>70731.3</v>
      </c>
      <c r="I455">
        <v>353801</v>
      </c>
      <c r="J455">
        <v>1697</v>
      </c>
      <c r="K455">
        <v>0</v>
      </c>
      <c r="L455">
        <v>5.0020499999999997</v>
      </c>
      <c r="M455">
        <v>144</v>
      </c>
    </row>
    <row r="456" spans="1:13">
      <c r="A456" t="s">
        <v>10</v>
      </c>
      <c r="B456" t="s">
        <v>25</v>
      </c>
      <c r="C456">
        <v>1</v>
      </c>
      <c r="D456">
        <v>1</v>
      </c>
      <c r="E456" t="s">
        <v>73</v>
      </c>
      <c r="F456">
        <v>5</v>
      </c>
      <c r="G456">
        <v>74826.7</v>
      </c>
      <c r="H456">
        <v>74826.7</v>
      </c>
      <c r="I456">
        <v>374507</v>
      </c>
      <c r="J456">
        <v>1194</v>
      </c>
      <c r="K456">
        <v>0</v>
      </c>
      <c r="L456">
        <v>5.0049900000000003</v>
      </c>
      <c r="M456">
        <v>144</v>
      </c>
    </row>
    <row r="457" spans="1:13">
      <c r="A457" t="s">
        <v>10</v>
      </c>
      <c r="B457" t="s">
        <v>25</v>
      </c>
      <c r="C457">
        <v>10</v>
      </c>
      <c r="D457">
        <v>1</v>
      </c>
      <c r="E457" t="s">
        <v>73</v>
      </c>
      <c r="F457">
        <v>1</v>
      </c>
      <c r="G457">
        <v>44354.7</v>
      </c>
      <c r="H457">
        <v>4435.47</v>
      </c>
      <c r="I457">
        <v>221998</v>
      </c>
      <c r="J457">
        <v>1895581</v>
      </c>
      <c r="K457">
        <v>0</v>
      </c>
      <c r="L457">
        <v>5.0050600000000003</v>
      </c>
      <c r="M457">
        <v>144</v>
      </c>
    </row>
    <row r="458" spans="1:13">
      <c r="A458" t="s">
        <v>10</v>
      </c>
      <c r="B458" t="s">
        <v>25</v>
      </c>
      <c r="C458">
        <v>10</v>
      </c>
      <c r="D458">
        <v>1</v>
      </c>
      <c r="E458" t="s">
        <v>73</v>
      </c>
      <c r="F458">
        <v>2</v>
      </c>
      <c r="G458">
        <v>45494.7</v>
      </c>
      <c r="H458">
        <v>4549.47</v>
      </c>
      <c r="I458">
        <v>227702</v>
      </c>
      <c r="J458">
        <v>2084566</v>
      </c>
      <c r="K458">
        <v>0</v>
      </c>
      <c r="L458">
        <v>5.00502</v>
      </c>
      <c r="M458">
        <v>144</v>
      </c>
    </row>
    <row r="459" spans="1:13">
      <c r="A459" t="s">
        <v>10</v>
      </c>
      <c r="B459" t="s">
        <v>25</v>
      </c>
      <c r="C459">
        <v>10</v>
      </c>
      <c r="D459">
        <v>1</v>
      </c>
      <c r="E459" t="s">
        <v>73</v>
      </c>
      <c r="F459">
        <v>3</v>
      </c>
      <c r="G459">
        <v>36599</v>
      </c>
      <c r="H459">
        <v>3659.9</v>
      </c>
      <c r="I459">
        <v>183165</v>
      </c>
      <c r="J459">
        <v>1997178</v>
      </c>
      <c r="K459">
        <v>0</v>
      </c>
      <c r="L459">
        <v>5.0046499999999998</v>
      </c>
      <c r="M459">
        <v>144</v>
      </c>
    </row>
    <row r="460" spans="1:13">
      <c r="A460" t="s">
        <v>10</v>
      </c>
      <c r="B460" t="s">
        <v>25</v>
      </c>
      <c r="C460">
        <v>10</v>
      </c>
      <c r="D460">
        <v>1</v>
      </c>
      <c r="E460" t="s">
        <v>73</v>
      </c>
      <c r="F460">
        <v>4</v>
      </c>
      <c r="G460">
        <v>41384.199999999997</v>
      </c>
      <c r="H460">
        <v>4138.42</v>
      </c>
      <c r="I460">
        <v>207054</v>
      </c>
      <c r="J460">
        <v>1980113</v>
      </c>
      <c r="K460">
        <v>0</v>
      </c>
      <c r="L460">
        <v>5.0032100000000002</v>
      </c>
      <c r="M460">
        <v>144</v>
      </c>
    </row>
    <row r="461" spans="1:13">
      <c r="A461" t="s">
        <v>10</v>
      </c>
      <c r="B461" t="s">
        <v>25</v>
      </c>
      <c r="C461">
        <v>10</v>
      </c>
      <c r="D461">
        <v>1</v>
      </c>
      <c r="E461" t="s">
        <v>73</v>
      </c>
      <c r="F461">
        <v>5</v>
      </c>
      <c r="G461">
        <v>46504.5</v>
      </c>
      <c r="H461">
        <v>4650.45</v>
      </c>
      <c r="I461">
        <v>232584</v>
      </c>
      <c r="J461">
        <v>1912972</v>
      </c>
      <c r="K461">
        <v>0</v>
      </c>
      <c r="L461">
        <v>5.0013199999999998</v>
      </c>
      <c r="M461">
        <v>144</v>
      </c>
    </row>
    <row r="462" spans="1:13">
      <c r="A462" t="s">
        <v>10</v>
      </c>
      <c r="B462" t="s">
        <v>25</v>
      </c>
      <c r="C462">
        <v>100</v>
      </c>
      <c r="D462">
        <v>1</v>
      </c>
      <c r="E462" t="s">
        <v>73</v>
      </c>
      <c r="F462">
        <v>1</v>
      </c>
      <c r="G462">
        <v>20584.900000000001</v>
      </c>
      <c r="H462">
        <v>205.84899999999999</v>
      </c>
      <c r="I462">
        <v>102955</v>
      </c>
      <c r="J462">
        <v>3225350</v>
      </c>
      <c r="K462">
        <v>0</v>
      </c>
      <c r="L462">
        <v>5.0014799999999999</v>
      </c>
      <c r="M462">
        <v>144</v>
      </c>
    </row>
    <row r="463" spans="1:13">
      <c r="A463" t="s">
        <v>10</v>
      </c>
      <c r="B463" t="s">
        <v>25</v>
      </c>
      <c r="C463">
        <v>100</v>
      </c>
      <c r="D463">
        <v>1</v>
      </c>
      <c r="E463" t="s">
        <v>73</v>
      </c>
      <c r="F463">
        <v>2</v>
      </c>
      <c r="G463">
        <v>22025.599999999999</v>
      </c>
      <c r="H463">
        <v>220.256</v>
      </c>
      <c r="I463">
        <v>110224</v>
      </c>
      <c r="J463">
        <v>3527890</v>
      </c>
      <c r="K463">
        <v>0</v>
      </c>
      <c r="L463">
        <v>5.0043499999999996</v>
      </c>
      <c r="M463">
        <v>144</v>
      </c>
    </row>
    <row r="464" spans="1:13">
      <c r="A464" t="s">
        <v>10</v>
      </c>
      <c r="B464" t="s">
        <v>25</v>
      </c>
      <c r="C464">
        <v>100</v>
      </c>
      <c r="D464">
        <v>1</v>
      </c>
      <c r="E464" t="s">
        <v>73</v>
      </c>
      <c r="F464">
        <v>3</v>
      </c>
      <c r="G464">
        <v>21333</v>
      </c>
      <c r="H464">
        <v>213.33</v>
      </c>
      <c r="I464">
        <v>106772</v>
      </c>
      <c r="J464">
        <v>3677303</v>
      </c>
      <c r="K464">
        <v>0</v>
      </c>
      <c r="L464">
        <v>5.00502</v>
      </c>
      <c r="M464">
        <v>144</v>
      </c>
    </row>
    <row r="465" spans="1:13">
      <c r="A465" t="s">
        <v>10</v>
      </c>
      <c r="B465" t="s">
        <v>25</v>
      </c>
      <c r="C465">
        <v>100</v>
      </c>
      <c r="D465">
        <v>1</v>
      </c>
      <c r="E465" t="s">
        <v>73</v>
      </c>
      <c r="F465">
        <v>4</v>
      </c>
      <c r="G465">
        <v>21620.9</v>
      </c>
      <c r="H465">
        <v>216.209</v>
      </c>
      <c r="I465">
        <v>108123</v>
      </c>
      <c r="J465">
        <v>3579907</v>
      </c>
      <c r="K465">
        <v>0</v>
      </c>
      <c r="L465">
        <v>5.0008499999999998</v>
      </c>
      <c r="M465">
        <v>144</v>
      </c>
    </row>
    <row r="466" spans="1:13">
      <c r="A466" t="s">
        <v>10</v>
      </c>
      <c r="B466" t="s">
        <v>25</v>
      </c>
      <c r="C466">
        <v>100</v>
      </c>
      <c r="D466">
        <v>1</v>
      </c>
      <c r="E466" t="s">
        <v>73</v>
      </c>
      <c r="F466">
        <v>5</v>
      </c>
      <c r="G466">
        <v>22755.9</v>
      </c>
      <c r="H466">
        <v>227.559</v>
      </c>
      <c r="I466">
        <v>113821</v>
      </c>
      <c r="J466">
        <v>3578238</v>
      </c>
      <c r="K466">
        <v>0</v>
      </c>
      <c r="L466">
        <v>5.00183</v>
      </c>
      <c r="M466">
        <v>144</v>
      </c>
    </row>
    <row r="467" spans="1:13">
      <c r="A467" t="s">
        <v>10</v>
      </c>
      <c r="B467" t="s">
        <v>25</v>
      </c>
      <c r="C467">
        <v>500</v>
      </c>
      <c r="D467">
        <v>1</v>
      </c>
      <c r="E467" t="s">
        <v>73</v>
      </c>
      <c r="F467">
        <v>1</v>
      </c>
      <c r="G467">
        <v>47582</v>
      </c>
      <c r="H467">
        <v>95.163899999999998</v>
      </c>
      <c r="I467">
        <v>238059</v>
      </c>
      <c r="J467">
        <v>3178751</v>
      </c>
      <c r="K467">
        <v>0</v>
      </c>
      <c r="L467">
        <v>5.0031299999999996</v>
      </c>
      <c r="M467">
        <v>144</v>
      </c>
    </row>
    <row r="468" spans="1:13">
      <c r="A468" t="s">
        <v>10</v>
      </c>
      <c r="B468" t="s">
        <v>25</v>
      </c>
      <c r="C468">
        <v>500</v>
      </c>
      <c r="D468">
        <v>1</v>
      </c>
      <c r="E468" t="s">
        <v>73</v>
      </c>
      <c r="F468">
        <v>2</v>
      </c>
      <c r="G468">
        <v>46271.199999999997</v>
      </c>
      <c r="H468">
        <v>92.542299999999997</v>
      </c>
      <c r="I468">
        <v>231506</v>
      </c>
      <c r="J468">
        <v>3282185</v>
      </c>
      <c r="K468">
        <v>0</v>
      </c>
      <c r="L468">
        <v>5.0032399999999999</v>
      </c>
      <c r="M468">
        <v>144</v>
      </c>
    </row>
    <row r="469" spans="1:13">
      <c r="A469" t="s">
        <v>10</v>
      </c>
      <c r="B469" t="s">
        <v>25</v>
      </c>
      <c r="C469">
        <v>500</v>
      </c>
      <c r="D469">
        <v>1</v>
      </c>
      <c r="E469" t="s">
        <v>73</v>
      </c>
      <c r="F469">
        <v>3</v>
      </c>
      <c r="G469">
        <v>48514.6</v>
      </c>
      <c r="H469">
        <v>97.0291</v>
      </c>
      <c r="I469">
        <v>242604</v>
      </c>
      <c r="J469">
        <v>3258121</v>
      </c>
      <c r="K469">
        <v>0</v>
      </c>
      <c r="L469">
        <v>5.0006399999999998</v>
      </c>
      <c r="M469">
        <v>144</v>
      </c>
    </row>
    <row r="470" spans="1:13">
      <c r="A470" t="s">
        <v>10</v>
      </c>
      <c r="B470" t="s">
        <v>25</v>
      </c>
      <c r="C470">
        <v>500</v>
      </c>
      <c r="D470">
        <v>1</v>
      </c>
      <c r="E470" t="s">
        <v>73</v>
      </c>
      <c r="F470">
        <v>4</v>
      </c>
      <c r="G470">
        <v>46712</v>
      </c>
      <c r="H470">
        <v>93.424000000000007</v>
      </c>
      <c r="I470">
        <v>233744</v>
      </c>
      <c r="J470">
        <v>3196569</v>
      </c>
      <c r="K470">
        <v>0</v>
      </c>
      <c r="L470">
        <v>5.0039400000000001</v>
      </c>
      <c r="M470">
        <v>144</v>
      </c>
    </row>
    <row r="471" spans="1:13">
      <c r="A471" t="s">
        <v>10</v>
      </c>
      <c r="B471" t="s">
        <v>25</v>
      </c>
      <c r="C471">
        <v>500</v>
      </c>
      <c r="D471">
        <v>1</v>
      </c>
      <c r="E471" t="s">
        <v>73</v>
      </c>
      <c r="F471">
        <v>5</v>
      </c>
      <c r="G471">
        <v>45654.7</v>
      </c>
      <c r="H471">
        <v>91.3095</v>
      </c>
      <c r="I471">
        <v>228488</v>
      </c>
      <c r="J471">
        <v>3207435</v>
      </c>
      <c r="K471">
        <v>0</v>
      </c>
      <c r="L471">
        <v>5.0046900000000001</v>
      </c>
      <c r="M471">
        <v>144</v>
      </c>
    </row>
    <row r="472" spans="1:13">
      <c r="A472" t="s">
        <v>10</v>
      </c>
      <c r="B472" t="s">
        <v>25</v>
      </c>
      <c r="C472">
        <v>1000</v>
      </c>
      <c r="D472">
        <v>1</v>
      </c>
      <c r="E472" t="s">
        <v>73</v>
      </c>
      <c r="F472">
        <v>1</v>
      </c>
      <c r="G472">
        <v>71534.2</v>
      </c>
      <c r="H472">
        <v>71.534199999999998</v>
      </c>
      <c r="I472">
        <v>358002</v>
      </c>
      <c r="J472">
        <v>2599129</v>
      </c>
      <c r="K472">
        <v>0</v>
      </c>
      <c r="L472">
        <v>5.0046299999999997</v>
      </c>
      <c r="M472">
        <v>144</v>
      </c>
    </row>
    <row r="473" spans="1:13">
      <c r="A473" t="s">
        <v>10</v>
      </c>
      <c r="B473" t="s">
        <v>25</v>
      </c>
      <c r="C473">
        <v>1000</v>
      </c>
      <c r="D473">
        <v>1</v>
      </c>
      <c r="E473" t="s">
        <v>73</v>
      </c>
      <c r="F473">
        <v>2</v>
      </c>
      <c r="G473">
        <v>71024.5</v>
      </c>
      <c r="H473">
        <v>71.024500000000003</v>
      </c>
      <c r="I473">
        <v>355174</v>
      </c>
      <c r="J473">
        <v>2595319</v>
      </c>
      <c r="K473">
        <v>0</v>
      </c>
      <c r="L473">
        <v>5.0007299999999999</v>
      </c>
      <c r="M473">
        <v>144</v>
      </c>
    </row>
    <row r="474" spans="1:13">
      <c r="A474" t="s">
        <v>10</v>
      </c>
      <c r="B474" t="s">
        <v>25</v>
      </c>
      <c r="C474">
        <v>1000</v>
      </c>
      <c r="D474">
        <v>1</v>
      </c>
      <c r="E474" t="s">
        <v>73</v>
      </c>
      <c r="F474">
        <v>3</v>
      </c>
      <c r="G474">
        <v>68351.7</v>
      </c>
      <c r="H474">
        <v>68.351699999999994</v>
      </c>
      <c r="I474">
        <v>341867</v>
      </c>
      <c r="J474">
        <v>2619726</v>
      </c>
      <c r="K474">
        <v>0</v>
      </c>
      <c r="L474">
        <v>5.0015900000000002</v>
      </c>
      <c r="M474">
        <v>144</v>
      </c>
    </row>
    <row r="475" spans="1:13">
      <c r="A475" t="s">
        <v>10</v>
      </c>
      <c r="B475" t="s">
        <v>25</v>
      </c>
      <c r="C475">
        <v>1000</v>
      </c>
      <c r="D475">
        <v>1</v>
      </c>
      <c r="E475" t="s">
        <v>73</v>
      </c>
      <c r="F475">
        <v>4</v>
      </c>
      <c r="G475">
        <v>72822.5</v>
      </c>
      <c r="H475">
        <v>72.822500000000005</v>
      </c>
      <c r="I475">
        <v>364478</v>
      </c>
      <c r="J475">
        <v>2575612</v>
      </c>
      <c r="K475">
        <v>0</v>
      </c>
      <c r="L475">
        <v>5.00502</v>
      </c>
      <c r="M475">
        <v>144</v>
      </c>
    </row>
    <row r="476" spans="1:13">
      <c r="A476" t="s">
        <v>10</v>
      </c>
      <c r="B476" t="s">
        <v>25</v>
      </c>
      <c r="C476">
        <v>1000</v>
      </c>
      <c r="D476">
        <v>1</v>
      </c>
      <c r="E476" t="s">
        <v>73</v>
      </c>
      <c r="F476">
        <v>5</v>
      </c>
      <c r="G476">
        <v>70911.600000000006</v>
      </c>
      <c r="H476">
        <v>70.911600000000007</v>
      </c>
      <c r="I476">
        <v>354889</v>
      </c>
      <c r="J476">
        <v>2574997</v>
      </c>
      <c r="K476">
        <v>0</v>
      </c>
      <c r="L476">
        <v>5.00467</v>
      </c>
      <c r="M476">
        <v>144</v>
      </c>
    </row>
    <row r="477" spans="1:13">
      <c r="A477" t="s">
        <v>10</v>
      </c>
      <c r="B477" t="s">
        <v>25</v>
      </c>
      <c r="C477">
        <v>1</v>
      </c>
      <c r="D477">
        <v>10</v>
      </c>
      <c r="E477" t="s">
        <v>73</v>
      </c>
      <c r="F477">
        <v>1</v>
      </c>
      <c r="G477">
        <v>72590.7</v>
      </c>
      <c r="H477">
        <v>72590.7</v>
      </c>
      <c r="I477">
        <v>363244</v>
      </c>
      <c r="J477">
        <v>2204</v>
      </c>
      <c r="K477">
        <v>0</v>
      </c>
      <c r="L477">
        <v>5.0039999999999996</v>
      </c>
      <c r="M477">
        <v>72</v>
      </c>
    </row>
    <row r="478" spans="1:13">
      <c r="A478" t="s">
        <v>10</v>
      </c>
      <c r="B478" t="s">
        <v>25</v>
      </c>
      <c r="C478">
        <v>1</v>
      </c>
      <c r="D478">
        <v>10</v>
      </c>
      <c r="E478" t="s">
        <v>73</v>
      </c>
      <c r="F478">
        <v>2</v>
      </c>
      <c r="G478">
        <v>75407.5</v>
      </c>
      <c r="H478">
        <v>75407.5</v>
      </c>
      <c r="I478">
        <v>377365</v>
      </c>
      <c r="J478">
        <v>2185</v>
      </c>
      <c r="K478">
        <v>0</v>
      </c>
      <c r="L478">
        <v>5.00434</v>
      </c>
      <c r="M478">
        <v>72</v>
      </c>
    </row>
    <row r="479" spans="1:13">
      <c r="A479" t="s">
        <v>10</v>
      </c>
      <c r="B479" t="s">
        <v>25</v>
      </c>
      <c r="C479">
        <v>1</v>
      </c>
      <c r="D479">
        <v>10</v>
      </c>
      <c r="E479" t="s">
        <v>73</v>
      </c>
      <c r="F479">
        <v>3</v>
      </c>
      <c r="G479">
        <v>75695.3</v>
      </c>
      <c r="H479">
        <v>75695.3</v>
      </c>
      <c r="I479">
        <v>378517</v>
      </c>
      <c r="J479">
        <v>2613</v>
      </c>
      <c r="K479">
        <v>0</v>
      </c>
      <c r="L479">
        <v>5.0005300000000004</v>
      </c>
      <c r="M479">
        <v>72</v>
      </c>
    </row>
    <row r="480" spans="1:13">
      <c r="A480" t="s">
        <v>10</v>
      </c>
      <c r="B480" t="s">
        <v>25</v>
      </c>
      <c r="C480">
        <v>1</v>
      </c>
      <c r="D480">
        <v>10</v>
      </c>
      <c r="E480" t="s">
        <v>73</v>
      </c>
      <c r="F480">
        <v>4</v>
      </c>
      <c r="G480">
        <v>77699.899999999994</v>
      </c>
      <c r="H480">
        <v>77699.899999999994</v>
      </c>
      <c r="I480">
        <v>388788</v>
      </c>
      <c r="J480">
        <v>1984</v>
      </c>
      <c r="K480">
        <v>0</v>
      </c>
      <c r="L480">
        <v>5.0037099999999999</v>
      </c>
      <c r="M480">
        <v>72</v>
      </c>
    </row>
    <row r="481" spans="1:13">
      <c r="A481" t="s">
        <v>10</v>
      </c>
      <c r="B481" t="s">
        <v>25</v>
      </c>
      <c r="C481">
        <v>1</v>
      </c>
      <c r="D481">
        <v>10</v>
      </c>
      <c r="E481" t="s">
        <v>73</v>
      </c>
      <c r="F481">
        <v>5</v>
      </c>
      <c r="G481">
        <v>75623.5</v>
      </c>
      <c r="H481">
        <v>75623.5</v>
      </c>
      <c r="I481">
        <v>378372</v>
      </c>
      <c r="J481">
        <v>1250</v>
      </c>
      <c r="K481">
        <v>0</v>
      </c>
      <c r="L481">
        <v>5.0033599999999998</v>
      </c>
      <c r="M481">
        <v>72</v>
      </c>
    </row>
    <row r="482" spans="1:13">
      <c r="A482" t="s">
        <v>10</v>
      </c>
      <c r="B482" t="s">
        <v>25</v>
      </c>
      <c r="C482">
        <v>10</v>
      </c>
      <c r="D482">
        <v>10</v>
      </c>
      <c r="E482" t="s">
        <v>73</v>
      </c>
      <c r="F482">
        <v>1</v>
      </c>
      <c r="G482">
        <v>39763.4</v>
      </c>
      <c r="H482">
        <v>3976.34</v>
      </c>
      <c r="I482">
        <v>199017</v>
      </c>
      <c r="J482">
        <v>1724891</v>
      </c>
      <c r="K482">
        <v>0</v>
      </c>
      <c r="L482">
        <v>5.0050299999999996</v>
      </c>
      <c r="M482">
        <v>72</v>
      </c>
    </row>
    <row r="483" spans="1:13">
      <c r="A483" t="s">
        <v>10</v>
      </c>
      <c r="B483" t="s">
        <v>25</v>
      </c>
      <c r="C483">
        <v>10</v>
      </c>
      <c r="D483">
        <v>10</v>
      </c>
      <c r="E483" t="s">
        <v>73</v>
      </c>
      <c r="F483">
        <v>2</v>
      </c>
      <c r="G483">
        <v>42512.3</v>
      </c>
      <c r="H483">
        <v>4251.2299999999996</v>
      </c>
      <c r="I483">
        <v>212750</v>
      </c>
      <c r="J483">
        <v>1953772</v>
      </c>
      <c r="K483">
        <v>0</v>
      </c>
      <c r="L483">
        <v>5.0044399999999998</v>
      </c>
      <c r="M483">
        <v>72</v>
      </c>
    </row>
    <row r="484" spans="1:13">
      <c r="A484" t="s">
        <v>10</v>
      </c>
      <c r="B484" t="s">
        <v>25</v>
      </c>
      <c r="C484">
        <v>10</v>
      </c>
      <c r="D484">
        <v>10</v>
      </c>
      <c r="E484" t="s">
        <v>73</v>
      </c>
      <c r="F484">
        <v>3</v>
      </c>
      <c r="G484">
        <v>44244.5</v>
      </c>
      <c r="H484">
        <v>4424.45</v>
      </c>
      <c r="I484">
        <v>221442</v>
      </c>
      <c r="J484">
        <v>1907800</v>
      </c>
      <c r="K484">
        <v>0</v>
      </c>
      <c r="L484">
        <v>5.0049599999999996</v>
      </c>
      <c r="M484">
        <v>72</v>
      </c>
    </row>
    <row r="485" spans="1:13">
      <c r="A485" t="s">
        <v>10</v>
      </c>
      <c r="B485" t="s">
        <v>25</v>
      </c>
      <c r="C485">
        <v>10</v>
      </c>
      <c r="D485">
        <v>10</v>
      </c>
      <c r="E485" t="s">
        <v>73</v>
      </c>
      <c r="F485">
        <v>4</v>
      </c>
      <c r="G485">
        <v>39834.800000000003</v>
      </c>
      <c r="H485">
        <v>3983.48</v>
      </c>
      <c r="I485">
        <v>199374</v>
      </c>
      <c r="J485">
        <v>1992642</v>
      </c>
      <c r="K485">
        <v>0</v>
      </c>
      <c r="L485">
        <v>5.0050100000000004</v>
      </c>
      <c r="M485">
        <v>72</v>
      </c>
    </row>
    <row r="486" spans="1:13">
      <c r="A486" t="s">
        <v>10</v>
      </c>
      <c r="B486" t="s">
        <v>25</v>
      </c>
      <c r="C486">
        <v>10</v>
      </c>
      <c r="D486">
        <v>10</v>
      </c>
      <c r="E486" t="s">
        <v>73</v>
      </c>
      <c r="F486">
        <v>5</v>
      </c>
      <c r="G486">
        <v>42626.2</v>
      </c>
      <c r="H486">
        <v>4262.62</v>
      </c>
      <c r="I486">
        <v>213155</v>
      </c>
      <c r="J486">
        <v>1968950</v>
      </c>
      <c r="K486">
        <v>0</v>
      </c>
      <c r="L486">
        <v>5.0005600000000001</v>
      </c>
      <c r="M486">
        <v>72</v>
      </c>
    </row>
    <row r="487" spans="1:13">
      <c r="A487" t="s">
        <v>10</v>
      </c>
      <c r="B487" t="s">
        <v>25</v>
      </c>
      <c r="C487">
        <v>100</v>
      </c>
      <c r="D487">
        <v>10</v>
      </c>
      <c r="E487" t="s">
        <v>73</v>
      </c>
      <c r="F487">
        <v>1</v>
      </c>
      <c r="G487">
        <v>25113.5</v>
      </c>
      <c r="H487">
        <v>251.13499999999999</v>
      </c>
      <c r="I487">
        <v>125694</v>
      </c>
      <c r="J487">
        <v>3568008</v>
      </c>
      <c r="K487">
        <v>0</v>
      </c>
      <c r="L487">
        <v>5.0050299999999996</v>
      </c>
      <c r="M487">
        <v>72</v>
      </c>
    </row>
    <row r="488" spans="1:13">
      <c r="A488" t="s">
        <v>10</v>
      </c>
      <c r="B488" t="s">
        <v>25</v>
      </c>
      <c r="C488">
        <v>100</v>
      </c>
      <c r="D488">
        <v>10</v>
      </c>
      <c r="E488" t="s">
        <v>73</v>
      </c>
      <c r="F488">
        <v>2</v>
      </c>
      <c r="G488">
        <v>24685.3</v>
      </c>
      <c r="H488">
        <v>246.85300000000001</v>
      </c>
      <c r="I488">
        <v>123541</v>
      </c>
      <c r="J488">
        <v>3624036</v>
      </c>
      <c r="K488">
        <v>0</v>
      </c>
      <c r="L488">
        <v>5.0046499999999998</v>
      </c>
      <c r="M488">
        <v>72</v>
      </c>
    </row>
    <row r="489" spans="1:13">
      <c r="A489" t="s">
        <v>10</v>
      </c>
      <c r="B489" t="s">
        <v>25</v>
      </c>
      <c r="C489">
        <v>100</v>
      </c>
      <c r="D489">
        <v>10</v>
      </c>
      <c r="E489" t="s">
        <v>73</v>
      </c>
      <c r="F489">
        <v>3</v>
      </c>
      <c r="G489">
        <v>24106.799999999999</v>
      </c>
      <c r="H489">
        <v>241.06800000000001</v>
      </c>
      <c r="I489">
        <v>120638</v>
      </c>
      <c r="J489">
        <v>3555514</v>
      </c>
      <c r="K489">
        <v>0</v>
      </c>
      <c r="L489">
        <v>5.0043199999999999</v>
      </c>
      <c r="M489">
        <v>72</v>
      </c>
    </row>
    <row r="490" spans="1:13">
      <c r="A490" t="s">
        <v>10</v>
      </c>
      <c r="B490" t="s">
        <v>25</v>
      </c>
      <c r="C490">
        <v>100</v>
      </c>
      <c r="D490">
        <v>10</v>
      </c>
      <c r="E490" t="s">
        <v>73</v>
      </c>
      <c r="F490">
        <v>4</v>
      </c>
      <c r="G490">
        <v>23959.8</v>
      </c>
      <c r="H490">
        <v>239.59800000000001</v>
      </c>
      <c r="I490">
        <v>119919</v>
      </c>
      <c r="J490">
        <v>3679436</v>
      </c>
      <c r="K490">
        <v>0</v>
      </c>
      <c r="L490">
        <v>5.0050100000000004</v>
      </c>
      <c r="M490">
        <v>72</v>
      </c>
    </row>
    <row r="491" spans="1:13">
      <c r="A491" t="s">
        <v>10</v>
      </c>
      <c r="B491" t="s">
        <v>25</v>
      </c>
      <c r="C491">
        <v>100</v>
      </c>
      <c r="D491">
        <v>10</v>
      </c>
      <c r="E491" t="s">
        <v>73</v>
      </c>
      <c r="F491">
        <v>5</v>
      </c>
      <c r="G491">
        <v>25058.2</v>
      </c>
      <c r="H491">
        <v>250.58199999999999</v>
      </c>
      <c r="I491">
        <v>125413</v>
      </c>
      <c r="J491">
        <v>3661497</v>
      </c>
      <c r="K491">
        <v>0</v>
      </c>
      <c r="L491">
        <v>5.0048700000000004</v>
      </c>
      <c r="M491">
        <v>72</v>
      </c>
    </row>
    <row r="492" spans="1:13">
      <c r="A492" t="s">
        <v>10</v>
      </c>
      <c r="B492" t="s">
        <v>25</v>
      </c>
      <c r="C492">
        <v>500</v>
      </c>
      <c r="D492">
        <v>10</v>
      </c>
      <c r="E492" t="s">
        <v>73</v>
      </c>
      <c r="F492">
        <v>1</v>
      </c>
      <c r="G492">
        <v>37009.599999999999</v>
      </c>
      <c r="H492">
        <v>74.019199999999998</v>
      </c>
      <c r="I492">
        <v>185235</v>
      </c>
      <c r="J492">
        <v>3715186</v>
      </c>
      <c r="K492">
        <v>0</v>
      </c>
      <c r="L492">
        <v>5.0050499999999998</v>
      </c>
      <c r="M492">
        <v>72</v>
      </c>
    </row>
    <row r="493" spans="1:13">
      <c r="A493" t="s">
        <v>10</v>
      </c>
      <c r="B493" t="s">
        <v>25</v>
      </c>
      <c r="C493">
        <v>500</v>
      </c>
      <c r="D493">
        <v>10</v>
      </c>
      <c r="E493" t="s">
        <v>73</v>
      </c>
      <c r="F493">
        <v>2</v>
      </c>
      <c r="G493">
        <v>36816</v>
      </c>
      <c r="H493">
        <v>73.632000000000005</v>
      </c>
      <c r="I493">
        <v>184098</v>
      </c>
      <c r="J493">
        <v>3672279</v>
      </c>
      <c r="K493">
        <v>0</v>
      </c>
      <c r="L493">
        <v>5.0004900000000001</v>
      </c>
      <c r="M493">
        <v>72</v>
      </c>
    </row>
    <row r="494" spans="1:13">
      <c r="A494" t="s">
        <v>10</v>
      </c>
      <c r="B494" t="s">
        <v>25</v>
      </c>
      <c r="C494">
        <v>500</v>
      </c>
      <c r="D494">
        <v>10</v>
      </c>
      <c r="E494" t="s">
        <v>73</v>
      </c>
      <c r="F494">
        <v>3</v>
      </c>
      <c r="G494">
        <v>39139.4</v>
      </c>
      <c r="H494">
        <v>78.278700000000001</v>
      </c>
      <c r="I494">
        <v>195868</v>
      </c>
      <c r="J494">
        <v>3712466</v>
      </c>
      <c r="K494">
        <v>0</v>
      </c>
      <c r="L494">
        <v>5.0043699999999998</v>
      </c>
      <c r="M494">
        <v>72</v>
      </c>
    </row>
    <row r="495" spans="1:13">
      <c r="A495" t="s">
        <v>10</v>
      </c>
      <c r="B495" t="s">
        <v>25</v>
      </c>
      <c r="C495">
        <v>500</v>
      </c>
      <c r="D495">
        <v>10</v>
      </c>
      <c r="E495" t="s">
        <v>73</v>
      </c>
      <c r="F495">
        <v>4</v>
      </c>
      <c r="G495">
        <v>38767.4</v>
      </c>
      <c r="H495">
        <v>77.534800000000004</v>
      </c>
      <c r="I495">
        <v>193947</v>
      </c>
      <c r="J495">
        <v>3678597</v>
      </c>
      <c r="K495">
        <v>0</v>
      </c>
      <c r="L495">
        <v>5.0028300000000003</v>
      </c>
      <c r="M495">
        <v>72</v>
      </c>
    </row>
    <row r="496" spans="1:13">
      <c r="A496" t="s">
        <v>10</v>
      </c>
      <c r="B496" t="s">
        <v>25</v>
      </c>
      <c r="C496">
        <v>500</v>
      </c>
      <c r="D496">
        <v>10</v>
      </c>
      <c r="E496" t="s">
        <v>73</v>
      </c>
      <c r="F496">
        <v>5</v>
      </c>
      <c r="G496">
        <v>37629.599999999999</v>
      </c>
      <c r="H496">
        <v>75.259299999999996</v>
      </c>
      <c r="I496">
        <v>188260</v>
      </c>
      <c r="J496">
        <v>3712089</v>
      </c>
      <c r="K496">
        <v>0</v>
      </c>
      <c r="L496">
        <v>5.0029700000000004</v>
      </c>
      <c r="M496">
        <v>72</v>
      </c>
    </row>
    <row r="497" spans="1:13">
      <c r="A497" t="s">
        <v>10</v>
      </c>
      <c r="B497" t="s">
        <v>25</v>
      </c>
      <c r="C497">
        <v>1000</v>
      </c>
      <c r="D497">
        <v>10</v>
      </c>
      <c r="E497" t="s">
        <v>73</v>
      </c>
      <c r="F497">
        <v>1</v>
      </c>
      <c r="G497">
        <v>43134.3</v>
      </c>
      <c r="H497">
        <v>43.134300000000003</v>
      </c>
      <c r="I497">
        <v>215697</v>
      </c>
      <c r="J497">
        <v>3595453</v>
      </c>
      <c r="K497">
        <v>0</v>
      </c>
      <c r="L497">
        <v>5.0005899999999999</v>
      </c>
      <c r="M497">
        <v>72</v>
      </c>
    </row>
    <row r="498" spans="1:13">
      <c r="A498" t="s">
        <v>10</v>
      </c>
      <c r="B498" t="s">
        <v>25</v>
      </c>
      <c r="C498">
        <v>1000</v>
      </c>
      <c r="D498">
        <v>10</v>
      </c>
      <c r="E498" t="s">
        <v>73</v>
      </c>
      <c r="F498">
        <v>2</v>
      </c>
      <c r="G498">
        <v>44512.5</v>
      </c>
      <c r="H498">
        <v>44.512500000000003</v>
      </c>
      <c r="I498">
        <v>222584</v>
      </c>
      <c r="J498">
        <v>3614619</v>
      </c>
      <c r="K498">
        <v>0</v>
      </c>
      <c r="L498">
        <v>5.0004900000000001</v>
      </c>
      <c r="M498">
        <v>72</v>
      </c>
    </row>
    <row r="499" spans="1:13">
      <c r="A499" t="s">
        <v>10</v>
      </c>
      <c r="B499" t="s">
        <v>25</v>
      </c>
      <c r="C499">
        <v>1000</v>
      </c>
      <c r="D499">
        <v>10</v>
      </c>
      <c r="E499" t="s">
        <v>73</v>
      </c>
      <c r="F499">
        <v>3</v>
      </c>
      <c r="G499">
        <v>43856.9</v>
      </c>
      <c r="H499">
        <v>43.856900000000003</v>
      </c>
      <c r="I499">
        <v>219339</v>
      </c>
      <c r="J499">
        <v>3624666</v>
      </c>
      <c r="K499">
        <v>0</v>
      </c>
      <c r="L499">
        <v>5.0012400000000001</v>
      </c>
      <c r="M499">
        <v>72</v>
      </c>
    </row>
    <row r="500" spans="1:13">
      <c r="A500" t="s">
        <v>10</v>
      </c>
      <c r="B500" t="s">
        <v>25</v>
      </c>
      <c r="C500">
        <v>1000</v>
      </c>
      <c r="D500">
        <v>10</v>
      </c>
      <c r="E500" t="s">
        <v>73</v>
      </c>
      <c r="F500">
        <v>4</v>
      </c>
      <c r="G500">
        <v>43973</v>
      </c>
      <c r="H500">
        <v>43.972999999999999</v>
      </c>
      <c r="I500">
        <v>220013</v>
      </c>
      <c r="J500">
        <v>3574253</v>
      </c>
      <c r="K500">
        <v>0</v>
      </c>
      <c r="L500">
        <v>5.0033599999999998</v>
      </c>
      <c r="M500">
        <v>72</v>
      </c>
    </row>
    <row r="501" spans="1:13">
      <c r="A501" t="s">
        <v>10</v>
      </c>
      <c r="B501" t="s">
        <v>25</v>
      </c>
      <c r="C501">
        <v>1000</v>
      </c>
      <c r="D501">
        <v>10</v>
      </c>
      <c r="E501" t="s">
        <v>73</v>
      </c>
      <c r="F501">
        <v>5</v>
      </c>
      <c r="G501">
        <v>43710.6</v>
      </c>
      <c r="H501">
        <v>43.710599999999999</v>
      </c>
      <c r="I501">
        <v>218626</v>
      </c>
      <c r="J501">
        <v>3598011</v>
      </c>
      <c r="K501">
        <v>0</v>
      </c>
      <c r="L501">
        <v>5.0016699999999998</v>
      </c>
      <c r="M501">
        <v>72</v>
      </c>
    </row>
    <row r="502" spans="1:13">
      <c r="A502" t="s">
        <v>10</v>
      </c>
      <c r="B502" t="s">
        <v>25</v>
      </c>
      <c r="C502">
        <v>1</v>
      </c>
      <c r="D502">
        <v>100</v>
      </c>
      <c r="E502" t="s">
        <v>73</v>
      </c>
      <c r="F502">
        <v>1</v>
      </c>
      <c r="G502">
        <v>73077.399999999994</v>
      </c>
      <c r="H502">
        <v>73077.399999999994</v>
      </c>
      <c r="I502">
        <v>365755</v>
      </c>
      <c r="J502">
        <v>9043</v>
      </c>
      <c r="K502">
        <v>0</v>
      </c>
      <c r="L502">
        <v>5.0050299999999996</v>
      </c>
      <c r="M502">
        <v>36</v>
      </c>
    </row>
    <row r="503" spans="1:13">
      <c r="A503" t="s">
        <v>10</v>
      </c>
      <c r="B503" t="s">
        <v>25</v>
      </c>
      <c r="C503">
        <v>1</v>
      </c>
      <c r="D503">
        <v>100</v>
      </c>
      <c r="E503" t="s">
        <v>73</v>
      </c>
      <c r="F503">
        <v>2</v>
      </c>
      <c r="G503">
        <v>67367.399999999994</v>
      </c>
      <c r="H503">
        <v>67367.399999999994</v>
      </c>
      <c r="I503">
        <v>337023</v>
      </c>
      <c r="J503">
        <v>11373</v>
      </c>
      <c r="K503">
        <v>0</v>
      </c>
      <c r="L503">
        <v>5.0027600000000003</v>
      </c>
      <c r="M503">
        <v>36</v>
      </c>
    </row>
    <row r="504" spans="1:13">
      <c r="A504" t="s">
        <v>10</v>
      </c>
      <c r="B504" t="s">
        <v>25</v>
      </c>
      <c r="C504">
        <v>1</v>
      </c>
      <c r="D504">
        <v>100</v>
      </c>
      <c r="E504" t="s">
        <v>73</v>
      </c>
      <c r="F504">
        <v>3</v>
      </c>
      <c r="G504">
        <v>73759.3</v>
      </c>
      <c r="H504">
        <v>73759.3</v>
      </c>
      <c r="I504">
        <v>368892</v>
      </c>
      <c r="J504">
        <v>6454</v>
      </c>
      <c r="K504">
        <v>0</v>
      </c>
      <c r="L504">
        <v>5.0012999999999996</v>
      </c>
      <c r="M504">
        <v>36</v>
      </c>
    </row>
    <row r="505" spans="1:13">
      <c r="A505" t="s">
        <v>10</v>
      </c>
      <c r="B505" t="s">
        <v>25</v>
      </c>
      <c r="C505">
        <v>1</v>
      </c>
      <c r="D505">
        <v>100</v>
      </c>
      <c r="E505" t="s">
        <v>73</v>
      </c>
      <c r="F505">
        <v>4</v>
      </c>
      <c r="G505">
        <v>75909.7</v>
      </c>
      <c r="H505">
        <v>75909.7</v>
      </c>
      <c r="I505">
        <v>379929</v>
      </c>
      <c r="J505">
        <v>4197</v>
      </c>
      <c r="K505">
        <v>0</v>
      </c>
      <c r="L505">
        <v>5.0050100000000004</v>
      </c>
      <c r="M505">
        <v>36</v>
      </c>
    </row>
    <row r="506" spans="1:13">
      <c r="A506" t="s">
        <v>10</v>
      </c>
      <c r="B506" t="s">
        <v>25</v>
      </c>
      <c r="C506">
        <v>1</v>
      </c>
      <c r="D506">
        <v>100</v>
      </c>
      <c r="E506" t="s">
        <v>73</v>
      </c>
      <c r="F506">
        <v>5</v>
      </c>
      <c r="G506">
        <v>75973.100000000006</v>
      </c>
      <c r="H506">
        <v>75973.100000000006</v>
      </c>
      <c r="I506">
        <v>380082</v>
      </c>
      <c r="J506">
        <v>5424</v>
      </c>
      <c r="K506">
        <v>0</v>
      </c>
      <c r="L506">
        <v>5.0028499999999996</v>
      </c>
      <c r="M506">
        <v>36</v>
      </c>
    </row>
    <row r="507" spans="1:13">
      <c r="A507" t="s">
        <v>10</v>
      </c>
      <c r="B507" t="s">
        <v>25</v>
      </c>
      <c r="C507">
        <v>10</v>
      </c>
      <c r="D507">
        <v>100</v>
      </c>
      <c r="E507" t="s">
        <v>73</v>
      </c>
      <c r="F507">
        <v>1</v>
      </c>
      <c r="G507">
        <v>47318.3</v>
      </c>
      <c r="H507">
        <v>4731.83</v>
      </c>
      <c r="I507">
        <v>236807</v>
      </c>
      <c r="J507">
        <v>1910077</v>
      </c>
      <c r="K507">
        <v>0</v>
      </c>
      <c r="L507">
        <v>5.0045500000000001</v>
      </c>
      <c r="M507">
        <v>36</v>
      </c>
    </row>
    <row r="508" spans="1:13">
      <c r="A508" t="s">
        <v>10</v>
      </c>
      <c r="B508" t="s">
        <v>25</v>
      </c>
      <c r="C508">
        <v>10</v>
      </c>
      <c r="D508">
        <v>100</v>
      </c>
      <c r="E508" t="s">
        <v>73</v>
      </c>
      <c r="F508">
        <v>2</v>
      </c>
      <c r="G508">
        <v>46562.1</v>
      </c>
      <c r="H508">
        <v>4656.21</v>
      </c>
      <c r="I508">
        <v>232998</v>
      </c>
      <c r="J508">
        <v>1964228</v>
      </c>
      <c r="K508">
        <v>0</v>
      </c>
      <c r="L508">
        <v>5.0040300000000002</v>
      </c>
      <c r="M508">
        <v>36</v>
      </c>
    </row>
    <row r="509" spans="1:13">
      <c r="A509" t="s">
        <v>10</v>
      </c>
      <c r="B509" t="s">
        <v>25</v>
      </c>
      <c r="C509">
        <v>10</v>
      </c>
      <c r="D509">
        <v>100</v>
      </c>
      <c r="E509" t="s">
        <v>73</v>
      </c>
      <c r="F509">
        <v>3</v>
      </c>
      <c r="G509">
        <v>46505.3</v>
      </c>
      <c r="H509">
        <v>4650.53</v>
      </c>
      <c r="I509">
        <v>232760</v>
      </c>
      <c r="J509">
        <v>1912835</v>
      </c>
      <c r="K509">
        <v>0</v>
      </c>
      <c r="L509">
        <v>5.0050299999999996</v>
      </c>
      <c r="M509">
        <v>36</v>
      </c>
    </row>
    <row r="510" spans="1:13">
      <c r="A510" t="s">
        <v>10</v>
      </c>
      <c r="B510" t="s">
        <v>25</v>
      </c>
      <c r="C510">
        <v>10</v>
      </c>
      <c r="D510">
        <v>100</v>
      </c>
      <c r="E510" t="s">
        <v>73</v>
      </c>
      <c r="F510">
        <v>4</v>
      </c>
      <c r="G510">
        <v>43373.2</v>
      </c>
      <c r="H510">
        <v>4337.32</v>
      </c>
      <c r="I510">
        <v>216893</v>
      </c>
      <c r="J510">
        <v>1949250</v>
      </c>
      <c r="K510">
        <v>0</v>
      </c>
      <c r="L510">
        <v>5.0006199999999996</v>
      </c>
      <c r="M510">
        <v>36</v>
      </c>
    </row>
    <row r="511" spans="1:13">
      <c r="A511" t="s">
        <v>10</v>
      </c>
      <c r="B511" t="s">
        <v>25</v>
      </c>
      <c r="C511">
        <v>10</v>
      </c>
      <c r="D511">
        <v>100</v>
      </c>
      <c r="E511" t="s">
        <v>73</v>
      </c>
      <c r="F511">
        <v>5</v>
      </c>
      <c r="G511">
        <v>45627.4</v>
      </c>
      <c r="H511">
        <v>4562.74</v>
      </c>
      <c r="I511">
        <v>228330</v>
      </c>
      <c r="J511">
        <v>1910911</v>
      </c>
      <c r="K511">
        <v>0</v>
      </c>
      <c r="L511">
        <v>5.0042299999999997</v>
      </c>
      <c r="M511">
        <v>36</v>
      </c>
    </row>
    <row r="512" spans="1:13">
      <c r="A512" t="s">
        <v>10</v>
      </c>
      <c r="B512" t="s">
        <v>25</v>
      </c>
      <c r="C512">
        <v>100</v>
      </c>
      <c r="D512">
        <v>100</v>
      </c>
      <c r="E512" t="s">
        <v>73</v>
      </c>
      <c r="F512">
        <v>1</v>
      </c>
      <c r="G512">
        <v>37132.800000000003</v>
      </c>
      <c r="H512">
        <v>371.32799999999997</v>
      </c>
      <c r="I512">
        <v>185712</v>
      </c>
      <c r="J512">
        <v>3400172</v>
      </c>
      <c r="K512">
        <v>0</v>
      </c>
      <c r="L512">
        <v>5.00129</v>
      </c>
      <c r="M512">
        <v>36</v>
      </c>
    </row>
    <row r="513" spans="1:13">
      <c r="A513" t="s">
        <v>10</v>
      </c>
      <c r="B513" t="s">
        <v>25</v>
      </c>
      <c r="C513">
        <v>100</v>
      </c>
      <c r="D513">
        <v>100</v>
      </c>
      <c r="E513" t="s">
        <v>73</v>
      </c>
      <c r="F513">
        <v>2</v>
      </c>
      <c r="G513">
        <v>36545.1</v>
      </c>
      <c r="H513">
        <v>365.45100000000002</v>
      </c>
      <c r="I513">
        <v>182897</v>
      </c>
      <c r="J513">
        <v>3385896</v>
      </c>
      <c r="K513">
        <v>0</v>
      </c>
      <c r="L513">
        <v>5.0046900000000001</v>
      </c>
      <c r="M513">
        <v>36</v>
      </c>
    </row>
    <row r="514" spans="1:13">
      <c r="A514" t="s">
        <v>10</v>
      </c>
      <c r="B514" t="s">
        <v>25</v>
      </c>
      <c r="C514">
        <v>100</v>
      </c>
      <c r="D514">
        <v>100</v>
      </c>
      <c r="E514" t="s">
        <v>73</v>
      </c>
      <c r="F514">
        <v>3</v>
      </c>
      <c r="G514">
        <v>37692.5</v>
      </c>
      <c r="H514">
        <v>376.92500000000001</v>
      </c>
      <c r="I514">
        <v>188600</v>
      </c>
      <c r="J514">
        <v>3451352</v>
      </c>
      <c r="K514">
        <v>0</v>
      </c>
      <c r="L514">
        <v>5.0036500000000004</v>
      </c>
      <c r="M514">
        <v>36</v>
      </c>
    </row>
    <row r="515" spans="1:13">
      <c r="A515" t="s">
        <v>10</v>
      </c>
      <c r="B515" t="s">
        <v>25</v>
      </c>
      <c r="C515">
        <v>100</v>
      </c>
      <c r="D515">
        <v>100</v>
      </c>
      <c r="E515" t="s">
        <v>73</v>
      </c>
      <c r="F515">
        <v>4</v>
      </c>
      <c r="G515">
        <v>39698.9</v>
      </c>
      <c r="H515">
        <v>396.98899999999998</v>
      </c>
      <c r="I515">
        <v>198535</v>
      </c>
      <c r="J515">
        <v>3418296</v>
      </c>
      <c r="K515">
        <v>0</v>
      </c>
      <c r="L515">
        <v>5.0010199999999996</v>
      </c>
      <c r="M515">
        <v>36</v>
      </c>
    </row>
    <row r="516" spans="1:13">
      <c r="A516" t="s">
        <v>10</v>
      </c>
      <c r="B516" t="s">
        <v>25</v>
      </c>
      <c r="C516">
        <v>100</v>
      </c>
      <c r="D516">
        <v>100</v>
      </c>
      <c r="E516" t="s">
        <v>73</v>
      </c>
      <c r="F516">
        <v>5</v>
      </c>
      <c r="G516">
        <v>36970.699999999997</v>
      </c>
      <c r="H516">
        <v>369.70699999999999</v>
      </c>
      <c r="I516">
        <v>184966</v>
      </c>
      <c r="J516">
        <v>3497662</v>
      </c>
      <c r="K516">
        <v>0</v>
      </c>
      <c r="L516">
        <v>5.0030400000000004</v>
      </c>
      <c r="M516">
        <v>36</v>
      </c>
    </row>
    <row r="517" spans="1:13">
      <c r="A517" t="s">
        <v>10</v>
      </c>
      <c r="B517" t="s">
        <v>25</v>
      </c>
      <c r="C517">
        <v>500</v>
      </c>
      <c r="D517">
        <v>100</v>
      </c>
      <c r="E517" t="s">
        <v>73</v>
      </c>
      <c r="F517">
        <v>1</v>
      </c>
      <c r="G517">
        <v>54488.3</v>
      </c>
      <c r="H517">
        <v>108.977</v>
      </c>
      <c r="I517">
        <v>272573</v>
      </c>
      <c r="J517">
        <v>3694924</v>
      </c>
      <c r="K517">
        <v>0</v>
      </c>
      <c r="L517">
        <v>5.0024199999999999</v>
      </c>
      <c r="M517">
        <v>36</v>
      </c>
    </row>
    <row r="518" spans="1:13">
      <c r="A518" t="s">
        <v>10</v>
      </c>
      <c r="B518" t="s">
        <v>25</v>
      </c>
      <c r="C518">
        <v>500</v>
      </c>
      <c r="D518">
        <v>100</v>
      </c>
      <c r="E518" t="s">
        <v>73</v>
      </c>
      <c r="F518">
        <v>2</v>
      </c>
      <c r="G518">
        <v>55218.8</v>
      </c>
      <c r="H518">
        <v>110.438</v>
      </c>
      <c r="I518">
        <v>276100</v>
      </c>
      <c r="J518">
        <v>3736120</v>
      </c>
      <c r="K518">
        <v>0</v>
      </c>
      <c r="L518">
        <v>5.0000999999999998</v>
      </c>
      <c r="M518">
        <v>36</v>
      </c>
    </row>
    <row r="519" spans="1:13">
      <c r="A519" t="s">
        <v>10</v>
      </c>
      <c r="B519" t="s">
        <v>25</v>
      </c>
      <c r="C519">
        <v>500</v>
      </c>
      <c r="D519">
        <v>100</v>
      </c>
      <c r="E519" t="s">
        <v>73</v>
      </c>
      <c r="F519">
        <v>3</v>
      </c>
      <c r="G519">
        <v>56990.9</v>
      </c>
      <c r="H519">
        <v>113.982</v>
      </c>
      <c r="I519">
        <v>285056</v>
      </c>
      <c r="J519">
        <v>3787537</v>
      </c>
      <c r="K519">
        <v>0</v>
      </c>
      <c r="L519">
        <v>5.0017899999999997</v>
      </c>
      <c r="M519">
        <v>36</v>
      </c>
    </row>
    <row r="520" spans="1:13">
      <c r="A520" t="s">
        <v>10</v>
      </c>
      <c r="B520" t="s">
        <v>25</v>
      </c>
      <c r="C520">
        <v>500</v>
      </c>
      <c r="D520">
        <v>100</v>
      </c>
      <c r="E520" t="s">
        <v>73</v>
      </c>
      <c r="F520">
        <v>4</v>
      </c>
      <c r="G520">
        <v>55451.199999999997</v>
      </c>
      <c r="H520">
        <v>110.902</v>
      </c>
      <c r="I520">
        <v>277454</v>
      </c>
      <c r="J520">
        <v>3746057</v>
      </c>
      <c r="K520">
        <v>0</v>
      </c>
      <c r="L520">
        <v>5.0035699999999999</v>
      </c>
      <c r="M520">
        <v>36</v>
      </c>
    </row>
    <row r="521" spans="1:13">
      <c r="A521" t="s">
        <v>10</v>
      </c>
      <c r="B521" t="s">
        <v>25</v>
      </c>
      <c r="C521">
        <v>500</v>
      </c>
      <c r="D521">
        <v>100</v>
      </c>
      <c r="E521" t="s">
        <v>73</v>
      </c>
      <c r="F521">
        <v>5</v>
      </c>
      <c r="G521">
        <v>55700.4</v>
      </c>
      <c r="H521">
        <v>111.401</v>
      </c>
      <c r="I521">
        <v>278776</v>
      </c>
      <c r="J521">
        <v>3732047</v>
      </c>
      <c r="K521">
        <v>0</v>
      </c>
      <c r="L521">
        <v>5.0049200000000003</v>
      </c>
      <c r="M521">
        <v>36</v>
      </c>
    </row>
    <row r="522" spans="1:13">
      <c r="A522" t="s">
        <v>10</v>
      </c>
      <c r="B522" t="s">
        <v>25</v>
      </c>
      <c r="C522">
        <v>1000</v>
      </c>
      <c r="D522">
        <v>100</v>
      </c>
      <c r="E522" t="s">
        <v>73</v>
      </c>
      <c r="F522">
        <v>1</v>
      </c>
      <c r="G522">
        <v>56071.199999999997</v>
      </c>
      <c r="H522">
        <v>56.071199999999997</v>
      </c>
      <c r="I522">
        <v>280362</v>
      </c>
      <c r="J522">
        <v>3773251</v>
      </c>
      <c r="K522">
        <v>0</v>
      </c>
      <c r="L522">
        <v>5.0001100000000003</v>
      </c>
      <c r="M522">
        <v>36</v>
      </c>
    </row>
    <row r="523" spans="1:13">
      <c r="A523" t="s">
        <v>10</v>
      </c>
      <c r="B523" t="s">
        <v>25</v>
      </c>
      <c r="C523">
        <v>1000</v>
      </c>
      <c r="D523">
        <v>100</v>
      </c>
      <c r="E523" t="s">
        <v>73</v>
      </c>
      <c r="F523">
        <v>2</v>
      </c>
      <c r="G523">
        <v>56465.7</v>
      </c>
      <c r="H523">
        <v>56.465699999999998</v>
      </c>
      <c r="I523">
        <v>282612</v>
      </c>
      <c r="J523">
        <v>3791913</v>
      </c>
      <c r="K523">
        <v>0</v>
      </c>
      <c r="L523">
        <v>5.00502</v>
      </c>
      <c r="M523">
        <v>36</v>
      </c>
    </row>
    <row r="524" spans="1:13">
      <c r="A524" t="s">
        <v>10</v>
      </c>
      <c r="B524" t="s">
        <v>25</v>
      </c>
      <c r="C524">
        <v>1000</v>
      </c>
      <c r="D524">
        <v>100</v>
      </c>
      <c r="E524" t="s">
        <v>73</v>
      </c>
      <c r="F524">
        <v>3</v>
      </c>
      <c r="G524">
        <v>52617.8</v>
      </c>
      <c r="H524">
        <v>52.617800000000003</v>
      </c>
      <c r="I524">
        <v>263161</v>
      </c>
      <c r="J524">
        <v>3785708</v>
      </c>
      <c r="K524">
        <v>0</v>
      </c>
      <c r="L524">
        <v>5.0013699999999996</v>
      </c>
      <c r="M524">
        <v>36</v>
      </c>
    </row>
    <row r="525" spans="1:13">
      <c r="A525" t="s">
        <v>10</v>
      </c>
      <c r="B525" t="s">
        <v>25</v>
      </c>
      <c r="C525">
        <v>1000</v>
      </c>
      <c r="D525">
        <v>100</v>
      </c>
      <c r="E525" t="s">
        <v>73</v>
      </c>
      <c r="F525">
        <v>4</v>
      </c>
      <c r="G525">
        <v>53561.9</v>
      </c>
      <c r="H525">
        <v>53.561900000000001</v>
      </c>
      <c r="I525">
        <v>267991</v>
      </c>
      <c r="J525">
        <v>3774548</v>
      </c>
      <c r="K525">
        <v>0</v>
      </c>
      <c r="L525">
        <v>5.0033899999999996</v>
      </c>
      <c r="M525">
        <v>36</v>
      </c>
    </row>
    <row r="526" spans="1:13">
      <c r="A526" t="s">
        <v>10</v>
      </c>
      <c r="B526" t="s">
        <v>25</v>
      </c>
      <c r="C526">
        <v>1000</v>
      </c>
      <c r="D526">
        <v>100</v>
      </c>
      <c r="E526" t="s">
        <v>73</v>
      </c>
      <c r="F526">
        <v>5</v>
      </c>
      <c r="G526">
        <v>54932.800000000003</v>
      </c>
      <c r="H526">
        <v>54.9328</v>
      </c>
      <c r="I526">
        <v>274925</v>
      </c>
      <c r="J526">
        <v>3741118</v>
      </c>
      <c r="K526">
        <v>0</v>
      </c>
      <c r="L526">
        <v>5.0047499999999996</v>
      </c>
      <c r="M526">
        <v>36</v>
      </c>
    </row>
    <row r="527" spans="1:13">
      <c r="A527" t="s">
        <v>10</v>
      </c>
      <c r="B527" t="s">
        <v>25</v>
      </c>
      <c r="C527">
        <v>1</v>
      </c>
      <c r="D527">
        <v>1000</v>
      </c>
      <c r="E527" t="s">
        <v>73</v>
      </c>
      <c r="F527">
        <v>1</v>
      </c>
      <c r="G527">
        <v>60246.3</v>
      </c>
      <c r="H527">
        <v>60246.3</v>
      </c>
      <c r="I527">
        <v>301534</v>
      </c>
      <c r="J527">
        <v>27953</v>
      </c>
      <c r="K527">
        <v>0</v>
      </c>
      <c r="L527">
        <v>5.00502</v>
      </c>
      <c r="M527">
        <v>18</v>
      </c>
    </row>
    <row r="528" spans="1:13">
      <c r="A528" t="s">
        <v>10</v>
      </c>
      <c r="B528" t="s">
        <v>25</v>
      </c>
      <c r="C528">
        <v>1</v>
      </c>
      <c r="D528">
        <v>1000</v>
      </c>
      <c r="E528" t="s">
        <v>73</v>
      </c>
      <c r="F528">
        <v>2</v>
      </c>
      <c r="G528">
        <v>57844.800000000003</v>
      </c>
      <c r="H528">
        <v>57844.800000000003</v>
      </c>
      <c r="I528">
        <v>289482</v>
      </c>
      <c r="J528">
        <v>37730</v>
      </c>
      <c r="K528">
        <v>0</v>
      </c>
      <c r="L528">
        <v>5.0044599999999999</v>
      </c>
      <c r="M528">
        <v>18</v>
      </c>
    </row>
    <row r="529" spans="1:13">
      <c r="A529" t="s">
        <v>10</v>
      </c>
      <c r="B529" t="s">
        <v>25</v>
      </c>
      <c r="C529">
        <v>1</v>
      </c>
      <c r="D529">
        <v>1000</v>
      </c>
      <c r="E529" t="s">
        <v>73</v>
      </c>
      <c r="F529">
        <v>3</v>
      </c>
      <c r="G529">
        <v>58232.9</v>
      </c>
      <c r="H529">
        <v>58232.9</v>
      </c>
      <c r="I529">
        <v>291166</v>
      </c>
      <c r="J529">
        <v>30499</v>
      </c>
      <c r="K529">
        <v>0</v>
      </c>
      <c r="L529">
        <v>5.0000299999999998</v>
      </c>
      <c r="M529">
        <v>18</v>
      </c>
    </row>
    <row r="530" spans="1:13">
      <c r="A530" t="s">
        <v>10</v>
      </c>
      <c r="B530" t="s">
        <v>25</v>
      </c>
      <c r="C530">
        <v>1</v>
      </c>
      <c r="D530">
        <v>1000</v>
      </c>
      <c r="E530" t="s">
        <v>73</v>
      </c>
      <c r="F530">
        <v>4</v>
      </c>
      <c r="G530">
        <v>59853.599999999999</v>
      </c>
      <c r="H530">
        <v>59853.599999999999</v>
      </c>
      <c r="I530">
        <v>299570</v>
      </c>
      <c r="J530">
        <v>34001</v>
      </c>
      <c r="K530">
        <v>0</v>
      </c>
      <c r="L530">
        <v>5.0050499999999998</v>
      </c>
      <c r="M530">
        <v>18</v>
      </c>
    </row>
    <row r="531" spans="1:13">
      <c r="A531" t="s">
        <v>10</v>
      </c>
      <c r="B531" t="s">
        <v>25</v>
      </c>
      <c r="C531">
        <v>1</v>
      </c>
      <c r="D531">
        <v>1000</v>
      </c>
      <c r="E531" t="s">
        <v>73</v>
      </c>
      <c r="F531">
        <v>5</v>
      </c>
      <c r="G531">
        <v>59166.400000000001</v>
      </c>
      <c r="H531">
        <v>59166.400000000001</v>
      </c>
      <c r="I531">
        <v>296046</v>
      </c>
      <c r="J531">
        <v>32537</v>
      </c>
      <c r="K531">
        <v>0</v>
      </c>
      <c r="L531">
        <v>5.0036199999999997</v>
      </c>
      <c r="M531">
        <v>18</v>
      </c>
    </row>
    <row r="532" spans="1:13">
      <c r="A532" t="s">
        <v>10</v>
      </c>
      <c r="B532" t="s">
        <v>25</v>
      </c>
      <c r="C532">
        <v>10</v>
      </c>
      <c r="D532">
        <v>1000</v>
      </c>
      <c r="E532" t="s">
        <v>73</v>
      </c>
      <c r="F532">
        <v>1</v>
      </c>
      <c r="G532">
        <v>39432.1</v>
      </c>
      <c r="H532">
        <v>3943.21</v>
      </c>
      <c r="I532">
        <v>197169</v>
      </c>
      <c r="J532">
        <v>1735072</v>
      </c>
      <c r="K532">
        <v>0</v>
      </c>
      <c r="L532">
        <v>5.0002199999999997</v>
      </c>
      <c r="M532">
        <v>18</v>
      </c>
    </row>
    <row r="533" spans="1:13">
      <c r="A533" t="s">
        <v>10</v>
      </c>
      <c r="B533" t="s">
        <v>25</v>
      </c>
      <c r="C533">
        <v>10</v>
      </c>
      <c r="D533">
        <v>1000</v>
      </c>
      <c r="E533" t="s">
        <v>73</v>
      </c>
      <c r="F533">
        <v>2</v>
      </c>
      <c r="G533">
        <v>38878.199999999997</v>
      </c>
      <c r="H533">
        <v>3887.82</v>
      </c>
      <c r="I533">
        <v>194476</v>
      </c>
      <c r="J533">
        <v>1794258</v>
      </c>
      <c r="K533">
        <v>0</v>
      </c>
      <c r="L533">
        <v>5.0021800000000001</v>
      </c>
      <c r="M533">
        <v>18</v>
      </c>
    </row>
    <row r="534" spans="1:13">
      <c r="A534" t="s">
        <v>10</v>
      </c>
      <c r="B534" t="s">
        <v>25</v>
      </c>
      <c r="C534">
        <v>10</v>
      </c>
      <c r="D534">
        <v>1000</v>
      </c>
      <c r="E534" t="s">
        <v>73</v>
      </c>
      <c r="F534">
        <v>3</v>
      </c>
      <c r="G534">
        <v>40486.800000000003</v>
      </c>
      <c r="H534">
        <v>4048.68</v>
      </c>
      <c r="I534">
        <v>202637</v>
      </c>
      <c r="J534">
        <v>1682883</v>
      </c>
      <c r="K534">
        <v>0</v>
      </c>
      <c r="L534">
        <v>5.00502</v>
      </c>
      <c r="M534">
        <v>18</v>
      </c>
    </row>
    <row r="535" spans="1:13">
      <c r="A535" t="s">
        <v>10</v>
      </c>
      <c r="B535" t="s">
        <v>25</v>
      </c>
      <c r="C535">
        <v>10</v>
      </c>
      <c r="D535">
        <v>1000</v>
      </c>
      <c r="E535" t="s">
        <v>73</v>
      </c>
      <c r="F535">
        <v>4</v>
      </c>
      <c r="G535">
        <v>40938.400000000001</v>
      </c>
      <c r="H535">
        <v>4093.84</v>
      </c>
      <c r="I535">
        <v>204718</v>
      </c>
      <c r="J535">
        <v>1741061</v>
      </c>
      <c r="K535">
        <v>0</v>
      </c>
      <c r="L535">
        <v>5.0006399999999998</v>
      </c>
      <c r="M535">
        <v>18</v>
      </c>
    </row>
    <row r="536" spans="1:13">
      <c r="A536" t="s">
        <v>10</v>
      </c>
      <c r="B536" t="s">
        <v>25</v>
      </c>
      <c r="C536">
        <v>10</v>
      </c>
      <c r="D536">
        <v>1000</v>
      </c>
      <c r="E536" t="s">
        <v>73</v>
      </c>
      <c r="F536">
        <v>5</v>
      </c>
      <c r="G536">
        <v>38924</v>
      </c>
      <c r="H536">
        <v>3892.4</v>
      </c>
      <c r="I536">
        <v>194675</v>
      </c>
      <c r="J536">
        <v>1797387</v>
      </c>
      <c r="K536">
        <v>0</v>
      </c>
      <c r="L536">
        <v>5.0014200000000004</v>
      </c>
      <c r="M536">
        <v>18</v>
      </c>
    </row>
    <row r="537" spans="1:13">
      <c r="A537" t="s">
        <v>10</v>
      </c>
      <c r="B537" t="s">
        <v>25</v>
      </c>
      <c r="C537">
        <v>100</v>
      </c>
      <c r="D537">
        <v>1000</v>
      </c>
      <c r="E537" t="s">
        <v>73</v>
      </c>
      <c r="F537">
        <v>1</v>
      </c>
      <c r="G537">
        <v>43225.9</v>
      </c>
      <c r="H537">
        <v>432.25900000000001</v>
      </c>
      <c r="I537">
        <v>216138</v>
      </c>
      <c r="J537">
        <v>3356245</v>
      </c>
      <c r="K537">
        <v>0</v>
      </c>
      <c r="L537">
        <v>5.0002000000000004</v>
      </c>
      <c r="M537">
        <v>18</v>
      </c>
    </row>
    <row r="538" spans="1:13">
      <c r="A538" t="s">
        <v>10</v>
      </c>
      <c r="B538" t="s">
        <v>25</v>
      </c>
      <c r="C538">
        <v>100</v>
      </c>
      <c r="D538">
        <v>1000</v>
      </c>
      <c r="E538" t="s">
        <v>73</v>
      </c>
      <c r="F538">
        <v>2</v>
      </c>
      <c r="G538">
        <v>43530.400000000001</v>
      </c>
      <c r="H538">
        <v>435.30399999999997</v>
      </c>
      <c r="I538">
        <v>217819</v>
      </c>
      <c r="J538">
        <v>3382827</v>
      </c>
      <c r="K538">
        <v>0</v>
      </c>
      <c r="L538">
        <v>5.0038299999999998</v>
      </c>
      <c r="M538">
        <v>18</v>
      </c>
    </row>
    <row r="539" spans="1:13">
      <c r="A539" t="s">
        <v>10</v>
      </c>
      <c r="B539" t="s">
        <v>25</v>
      </c>
      <c r="C539">
        <v>100</v>
      </c>
      <c r="D539">
        <v>1000</v>
      </c>
      <c r="E539" t="s">
        <v>73</v>
      </c>
      <c r="F539">
        <v>3</v>
      </c>
      <c r="G539">
        <v>43865.5</v>
      </c>
      <c r="H539">
        <v>438.65499999999997</v>
      </c>
      <c r="I539">
        <v>219355</v>
      </c>
      <c r="J539">
        <v>3387380</v>
      </c>
      <c r="K539">
        <v>0</v>
      </c>
      <c r="L539">
        <v>5.0006199999999996</v>
      </c>
      <c r="M539">
        <v>18</v>
      </c>
    </row>
    <row r="540" spans="1:13">
      <c r="A540" t="s">
        <v>10</v>
      </c>
      <c r="B540" t="s">
        <v>25</v>
      </c>
      <c r="C540">
        <v>100</v>
      </c>
      <c r="D540">
        <v>1000</v>
      </c>
      <c r="E540" t="s">
        <v>73</v>
      </c>
      <c r="F540">
        <v>4</v>
      </c>
      <c r="G540">
        <v>41771.800000000003</v>
      </c>
      <c r="H540">
        <v>417.71800000000002</v>
      </c>
      <c r="I540">
        <v>209062</v>
      </c>
      <c r="J540">
        <v>3299205</v>
      </c>
      <c r="K540">
        <v>0</v>
      </c>
      <c r="L540">
        <v>5.0048599999999999</v>
      </c>
      <c r="M540">
        <v>18</v>
      </c>
    </row>
    <row r="541" spans="1:13">
      <c r="A541" t="s">
        <v>10</v>
      </c>
      <c r="B541" t="s">
        <v>25</v>
      </c>
      <c r="C541">
        <v>100</v>
      </c>
      <c r="D541">
        <v>1000</v>
      </c>
      <c r="E541" t="s">
        <v>73</v>
      </c>
      <c r="F541">
        <v>5</v>
      </c>
      <c r="G541">
        <v>43758.3</v>
      </c>
      <c r="H541">
        <v>437.58300000000003</v>
      </c>
      <c r="I541">
        <v>219011</v>
      </c>
      <c r="J541">
        <v>3404341</v>
      </c>
      <c r="K541">
        <v>0</v>
      </c>
      <c r="L541">
        <v>5.00502</v>
      </c>
      <c r="M541">
        <v>18</v>
      </c>
    </row>
    <row r="542" spans="1:13">
      <c r="A542" t="s">
        <v>10</v>
      </c>
      <c r="B542" t="s">
        <v>25</v>
      </c>
      <c r="C542">
        <v>500</v>
      </c>
      <c r="D542">
        <v>1000</v>
      </c>
      <c r="E542" t="s">
        <v>73</v>
      </c>
      <c r="F542">
        <v>1</v>
      </c>
      <c r="G542">
        <v>51555.199999999997</v>
      </c>
      <c r="H542">
        <v>103.11</v>
      </c>
      <c r="I542">
        <v>258025</v>
      </c>
      <c r="J542">
        <v>3742890</v>
      </c>
      <c r="K542">
        <v>0</v>
      </c>
      <c r="L542">
        <v>5.0048300000000001</v>
      </c>
      <c r="M542">
        <v>18</v>
      </c>
    </row>
    <row r="543" spans="1:13">
      <c r="A543" t="s">
        <v>10</v>
      </c>
      <c r="B543" t="s">
        <v>25</v>
      </c>
      <c r="C543">
        <v>500</v>
      </c>
      <c r="D543">
        <v>1000</v>
      </c>
      <c r="E543" t="s">
        <v>73</v>
      </c>
      <c r="F543">
        <v>2</v>
      </c>
      <c r="G543">
        <v>51710</v>
      </c>
      <c r="H543">
        <v>103.42</v>
      </c>
      <c r="I543">
        <v>258554</v>
      </c>
      <c r="J543">
        <v>3685244</v>
      </c>
      <c r="K543">
        <v>0</v>
      </c>
      <c r="L543">
        <v>5.0000799999999996</v>
      </c>
      <c r="M543">
        <v>18</v>
      </c>
    </row>
    <row r="544" spans="1:13">
      <c r="A544" t="s">
        <v>10</v>
      </c>
      <c r="B544" t="s">
        <v>25</v>
      </c>
      <c r="C544">
        <v>500</v>
      </c>
      <c r="D544">
        <v>1000</v>
      </c>
      <c r="E544" t="s">
        <v>73</v>
      </c>
      <c r="F544">
        <v>3</v>
      </c>
      <c r="G544">
        <v>46992.3</v>
      </c>
      <c r="H544">
        <v>93.9846</v>
      </c>
      <c r="I544">
        <v>235110</v>
      </c>
      <c r="J544">
        <v>3380512</v>
      </c>
      <c r="K544">
        <v>0</v>
      </c>
      <c r="L544">
        <v>5.0031600000000003</v>
      </c>
      <c r="M544">
        <v>18</v>
      </c>
    </row>
    <row r="545" spans="1:13">
      <c r="A545" t="s">
        <v>10</v>
      </c>
      <c r="B545" t="s">
        <v>25</v>
      </c>
      <c r="C545">
        <v>500</v>
      </c>
      <c r="D545">
        <v>1000</v>
      </c>
      <c r="E545" t="s">
        <v>73</v>
      </c>
      <c r="F545">
        <v>4</v>
      </c>
      <c r="G545">
        <v>50827.5</v>
      </c>
      <c r="H545">
        <v>101.655</v>
      </c>
      <c r="I545">
        <v>254323</v>
      </c>
      <c r="J545">
        <v>3686776</v>
      </c>
      <c r="K545">
        <v>0</v>
      </c>
      <c r="L545">
        <v>5.0036500000000004</v>
      </c>
      <c r="M545">
        <v>18</v>
      </c>
    </row>
    <row r="546" spans="1:13">
      <c r="A546" t="s">
        <v>10</v>
      </c>
      <c r="B546" t="s">
        <v>25</v>
      </c>
      <c r="C546">
        <v>500</v>
      </c>
      <c r="D546">
        <v>1000</v>
      </c>
      <c r="E546" t="s">
        <v>73</v>
      </c>
      <c r="F546">
        <v>5</v>
      </c>
      <c r="G546">
        <v>51720.9</v>
      </c>
      <c r="H546">
        <v>103.44199999999999</v>
      </c>
      <c r="I546">
        <v>258864</v>
      </c>
      <c r="J546">
        <v>3708091</v>
      </c>
      <c r="K546">
        <v>0</v>
      </c>
      <c r="L546">
        <v>5.0050100000000004</v>
      </c>
      <c r="M546">
        <v>18</v>
      </c>
    </row>
    <row r="547" spans="1:13">
      <c r="A547" t="s">
        <v>10</v>
      </c>
      <c r="B547" t="s">
        <v>25</v>
      </c>
      <c r="C547">
        <v>1000</v>
      </c>
      <c r="D547">
        <v>1000</v>
      </c>
      <c r="E547" t="s">
        <v>73</v>
      </c>
      <c r="F547">
        <v>1</v>
      </c>
      <c r="G547">
        <v>53812.4</v>
      </c>
      <c r="H547">
        <v>53.812399999999997</v>
      </c>
      <c r="I547">
        <v>269135</v>
      </c>
      <c r="J547">
        <v>3699427</v>
      </c>
      <c r="K547">
        <v>0</v>
      </c>
      <c r="L547">
        <v>5.00136</v>
      </c>
      <c r="M547">
        <v>18</v>
      </c>
    </row>
    <row r="548" spans="1:13">
      <c r="A548" t="s">
        <v>10</v>
      </c>
      <c r="B548" t="s">
        <v>25</v>
      </c>
      <c r="C548">
        <v>1000</v>
      </c>
      <c r="D548">
        <v>1000</v>
      </c>
      <c r="E548" t="s">
        <v>73</v>
      </c>
      <c r="F548">
        <v>2</v>
      </c>
      <c r="G548">
        <v>52656.9</v>
      </c>
      <c r="H548">
        <v>52.6569</v>
      </c>
      <c r="I548">
        <v>263420</v>
      </c>
      <c r="J548">
        <v>3688545</v>
      </c>
      <c r="K548">
        <v>0</v>
      </c>
      <c r="L548">
        <v>5.0025700000000004</v>
      </c>
      <c r="M548">
        <v>18</v>
      </c>
    </row>
    <row r="549" spans="1:13">
      <c r="A549" t="s">
        <v>10</v>
      </c>
      <c r="B549" t="s">
        <v>25</v>
      </c>
      <c r="C549">
        <v>1000</v>
      </c>
      <c r="D549">
        <v>1000</v>
      </c>
      <c r="E549" t="s">
        <v>73</v>
      </c>
      <c r="F549">
        <v>3</v>
      </c>
      <c r="G549">
        <v>54725.5</v>
      </c>
      <c r="H549">
        <v>54.725499999999997</v>
      </c>
      <c r="I549">
        <v>273903</v>
      </c>
      <c r="J549">
        <v>3712052</v>
      </c>
      <c r="K549">
        <v>0</v>
      </c>
      <c r="L549">
        <v>5.0050400000000002</v>
      </c>
      <c r="M549">
        <v>18</v>
      </c>
    </row>
    <row r="550" spans="1:13">
      <c r="A550" t="s">
        <v>10</v>
      </c>
      <c r="B550" t="s">
        <v>25</v>
      </c>
      <c r="C550">
        <v>1000</v>
      </c>
      <c r="D550">
        <v>1000</v>
      </c>
      <c r="E550" t="s">
        <v>73</v>
      </c>
      <c r="F550">
        <v>4</v>
      </c>
      <c r="G550">
        <v>55063.6</v>
      </c>
      <c r="H550">
        <v>55.063600000000001</v>
      </c>
      <c r="I550">
        <v>275436</v>
      </c>
      <c r="J550">
        <v>3735747</v>
      </c>
      <c r="K550">
        <v>0</v>
      </c>
      <c r="L550">
        <v>5.0021399999999998</v>
      </c>
      <c r="M550">
        <v>18</v>
      </c>
    </row>
    <row r="551" spans="1:13">
      <c r="A551" t="s">
        <v>10</v>
      </c>
      <c r="B551" t="s">
        <v>25</v>
      </c>
      <c r="C551">
        <v>1000</v>
      </c>
      <c r="D551">
        <v>1000</v>
      </c>
      <c r="E551" t="s">
        <v>73</v>
      </c>
      <c r="F551">
        <v>5</v>
      </c>
      <c r="G551">
        <v>55116.6</v>
      </c>
      <c r="H551">
        <v>55.116599999999998</v>
      </c>
      <c r="I551">
        <v>275773</v>
      </c>
      <c r="J551">
        <v>3722774</v>
      </c>
      <c r="K551">
        <v>0</v>
      </c>
      <c r="L551">
        <v>5.00345</v>
      </c>
      <c r="M551">
        <v>18</v>
      </c>
    </row>
    <row r="552" spans="1:13">
      <c r="A552" t="s">
        <v>10</v>
      </c>
      <c r="B552" t="s">
        <v>25</v>
      </c>
      <c r="C552">
        <v>1</v>
      </c>
      <c r="D552">
        <v>10000</v>
      </c>
      <c r="E552" t="s">
        <v>73</v>
      </c>
      <c r="F552">
        <v>1</v>
      </c>
      <c r="G552">
        <v>26553.1</v>
      </c>
      <c r="H552">
        <v>26553.1</v>
      </c>
      <c r="I552">
        <v>132821</v>
      </c>
      <c r="J552">
        <v>154127</v>
      </c>
      <c r="K552">
        <v>0</v>
      </c>
      <c r="L552">
        <v>5.0020899999999999</v>
      </c>
      <c r="M552">
        <v>9</v>
      </c>
    </row>
    <row r="553" spans="1:13">
      <c r="A553" t="s">
        <v>10</v>
      </c>
      <c r="B553" t="s">
        <v>25</v>
      </c>
      <c r="C553">
        <v>1</v>
      </c>
      <c r="D553">
        <v>10000</v>
      </c>
      <c r="E553" t="s">
        <v>73</v>
      </c>
      <c r="F553">
        <v>2</v>
      </c>
      <c r="G553">
        <v>25820.3</v>
      </c>
      <c r="H553">
        <v>25820.3</v>
      </c>
      <c r="I553">
        <v>129193</v>
      </c>
      <c r="J553">
        <v>153858</v>
      </c>
      <c r="K553">
        <v>0</v>
      </c>
      <c r="L553">
        <v>5.0035400000000001</v>
      </c>
      <c r="M553">
        <v>9</v>
      </c>
    </row>
    <row r="554" spans="1:13">
      <c r="A554" t="s">
        <v>10</v>
      </c>
      <c r="B554" t="s">
        <v>25</v>
      </c>
      <c r="C554">
        <v>1</v>
      </c>
      <c r="D554">
        <v>10000</v>
      </c>
      <c r="E554" t="s">
        <v>73</v>
      </c>
      <c r="F554">
        <v>3</v>
      </c>
      <c r="G554">
        <v>26203.4</v>
      </c>
      <c r="H554">
        <v>26203.4</v>
      </c>
      <c r="I554">
        <v>131149</v>
      </c>
      <c r="J554">
        <v>150120</v>
      </c>
      <c r="K554">
        <v>0</v>
      </c>
      <c r="L554">
        <v>5.0050400000000002</v>
      </c>
      <c r="M554">
        <v>9</v>
      </c>
    </row>
    <row r="555" spans="1:13">
      <c r="A555" t="s">
        <v>10</v>
      </c>
      <c r="B555" t="s">
        <v>25</v>
      </c>
      <c r="C555">
        <v>1</v>
      </c>
      <c r="D555">
        <v>10000</v>
      </c>
      <c r="E555" t="s">
        <v>73</v>
      </c>
      <c r="F555">
        <v>4</v>
      </c>
      <c r="G555">
        <v>26683.7</v>
      </c>
      <c r="H555">
        <v>26683.7</v>
      </c>
      <c r="I555">
        <v>133518</v>
      </c>
      <c r="J555">
        <v>150323</v>
      </c>
      <c r="K555">
        <v>0</v>
      </c>
      <c r="L555">
        <v>5.0037200000000004</v>
      </c>
      <c r="M555">
        <v>9</v>
      </c>
    </row>
    <row r="556" spans="1:13">
      <c r="A556" t="s">
        <v>10</v>
      </c>
      <c r="B556" t="s">
        <v>25</v>
      </c>
      <c r="C556">
        <v>1</v>
      </c>
      <c r="D556">
        <v>10000</v>
      </c>
      <c r="E556" t="s">
        <v>73</v>
      </c>
      <c r="F556">
        <v>5</v>
      </c>
      <c r="G556">
        <v>26725.8</v>
      </c>
      <c r="H556">
        <v>26725.8</v>
      </c>
      <c r="I556">
        <v>133718</v>
      </c>
      <c r="J556">
        <v>149773</v>
      </c>
      <c r="K556">
        <v>0</v>
      </c>
      <c r="L556">
        <v>5.0033399999999997</v>
      </c>
      <c r="M556">
        <v>9</v>
      </c>
    </row>
    <row r="557" spans="1:13">
      <c r="A557" t="s">
        <v>10</v>
      </c>
      <c r="B557" t="s">
        <v>25</v>
      </c>
      <c r="C557">
        <v>10</v>
      </c>
      <c r="D557">
        <v>10000</v>
      </c>
      <c r="E557" t="s">
        <v>73</v>
      </c>
      <c r="F557">
        <v>1</v>
      </c>
      <c r="G557">
        <v>23265.200000000001</v>
      </c>
      <c r="H557">
        <v>2326.52</v>
      </c>
      <c r="I557">
        <v>116443</v>
      </c>
      <c r="J557">
        <v>1410741</v>
      </c>
      <c r="K557">
        <v>0</v>
      </c>
      <c r="L557">
        <v>5.00502</v>
      </c>
      <c r="M557">
        <v>9</v>
      </c>
    </row>
    <row r="558" spans="1:13">
      <c r="A558" t="s">
        <v>10</v>
      </c>
      <c r="B558" t="s">
        <v>25</v>
      </c>
      <c r="C558">
        <v>10</v>
      </c>
      <c r="D558">
        <v>10000</v>
      </c>
      <c r="E558" t="s">
        <v>73</v>
      </c>
      <c r="F558">
        <v>2</v>
      </c>
      <c r="G558">
        <v>22683.3</v>
      </c>
      <c r="H558">
        <v>2268.33</v>
      </c>
      <c r="I558">
        <v>113478</v>
      </c>
      <c r="J558">
        <v>1383038</v>
      </c>
      <c r="K558">
        <v>0</v>
      </c>
      <c r="L558">
        <v>5.0027100000000004</v>
      </c>
      <c r="M558">
        <v>9</v>
      </c>
    </row>
    <row r="559" spans="1:13">
      <c r="A559" t="s">
        <v>10</v>
      </c>
      <c r="B559" t="s">
        <v>25</v>
      </c>
      <c r="C559">
        <v>10</v>
      </c>
      <c r="D559">
        <v>10000</v>
      </c>
      <c r="E559" t="s">
        <v>73</v>
      </c>
      <c r="F559">
        <v>3</v>
      </c>
      <c r="G559">
        <v>22777.599999999999</v>
      </c>
      <c r="H559">
        <v>2277.7600000000002</v>
      </c>
      <c r="I559">
        <v>113972</v>
      </c>
      <c r="J559">
        <v>1415128</v>
      </c>
      <c r="K559">
        <v>0</v>
      </c>
      <c r="L559">
        <v>5.0037000000000003</v>
      </c>
      <c r="M559">
        <v>9</v>
      </c>
    </row>
    <row r="560" spans="1:13">
      <c r="A560" t="s">
        <v>10</v>
      </c>
      <c r="B560" t="s">
        <v>25</v>
      </c>
      <c r="C560">
        <v>10</v>
      </c>
      <c r="D560">
        <v>10000</v>
      </c>
      <c r="E560" t="s">
        <v>73</v>
      </c>
      <c r="F560">
        <v>4</v>
      </c>
      <c r="G560">
        <v>23908.799999999999</v>
      </c>
      <c r="H560">
        <v>2390.88</v>
      </c>
      <c r="I560">
        <v>119664</v>
      </c>
      <c r="J560">
        <v>1482832</v>
      </c>
      <c r="K560">
        <v>0</v>
      </c>
      <c r="L560">
        <v>5.0050100000000004</v>
      </c>
      <c r="M560">
        <v>9</v>
      </c>
    </row>
    <row r="561" spans="1:13">
      <c r="A561" t="s">
        <v>10</v>
      </c>
      <c r="B561" t="s">
        <v>25</v>
      </c>
      <c r="C561">
        <v>10</v>
      </c>
      <c r="D561">
        <v>10000</v>
      </c>
      <c r="E561" t="s">
        <v>73</v>
      </c>
      <c r="F561">
        <v>5</v>
      </c>
      <c r="G561">
        <v>22569.599999999999</v>
      </c>
      <c r="H561">
        <v>2256.96</v>
      </c>
      <c r="I561">
        <v>112935</v>
      </c>
      <c r="J561">
        <v>1400369</v>
      </c>
      <c r="K561">
        <v>0</v>
      </c>
      <c r="L561">
        <v>5.0038600000000004</v>
      </c>
      <c r="M561">
        <v>9</v>
      </c>
    </row>
    <row r="562" spans="1:13">
      <c r="A562" t="s">
        <v>10</v>
      </c>
      <c r="B562" t="s">
        <v>25</v>
      </c>
      <c r="C562">
        <v>100</v>
      </c>
      <c r="D562">
        <v>10000</v>
      </c>
      <c r="E562" t="s">
        <v>73</v>
      </c>
      <c r="F562">
        <v>1</v>
      </c>
      <c r="G562">
        <v>21086</v>
      </c>
      <c r="H562">
        <v>210.86</v>
      </c>
      <c r="I562">
        <v>105514</v>
      </c>
      <c r="J562">
        <v>3115714</v>
      </c>
      <c r="K562">
        <v>0</v>
      </c>
      <c r="L562">
        <v>5.0039800000000003</v>
      </c>
      <c r="M562">
        <v>9</v>
      </c>
    </row>
    <row r="563" spans="1:13">
      <c r="A563" t="s">
        <v>10</v>
      </c>
      <c r="B563" t="s">
        <v>25</v>
      </c>
      <c r="C563">
        <v>100</v>
      </c>
      <c r="D563">
        <v>10000</v>
      </c>
      <c r="E563" t="s">
        <v>73</v>
      </c>
      <c r="F563">
        <v>2</v>
      </c>
      <c r="G563">
        <v>22001.200000000001</v>
      </c>
      <c r="H563">
        <v>220.012</v>
      </c>
      <c r="I563">
        <v>110094</v>
      </c>
      <c r="J563">
        <v>3194880</v>
      </c>
      <c r="K563">
        <v>0</v>
      </c>
      <c r="L563">
        <v>5.0040100000000001</v>
      </c>
      <c r="M563">
        <v>9</v>
      </c>
    </row>
    <row r="564" spans="1:13">
      <c r="A564" t="s">
        <v>10</v>
      </c>
      <c r="B564" t="s">
        <v>25</v>
      </c>
      <c r="C564">
        <v>100</v>
      </c>
      <c r="D564">
        <v>10000</v>
      </c>
      <c r="E564" t="s">
        <v>73</v>
      </c>
      <c r="F564">
        <v>3</v>
      </c>
      <c r="G564">
        <v>21038.1</v>
      </c>
      <c r="H564">
        <v>210.381</v>
      </c>
      <c r="I564">
        <v>105267</v>
      </c>
      <c r="J564">
        <v>3022044</v>
      </c>
      <c r="K564">
        <v>0</v>
      </c>
      <c r="L564">
        <v>5.0036399999999999</v>
      </c>
      <c r="M564">
        <v>9</v>
      </c>
    </row>
    <row r="565" spans="1:13">
      <c r="A565" t="s">
        <v>10</v>
      </c>
      <c r="B565" t="s">
        <v>25</v>
      </c>
      <c r="C565">
        <v>100</v>
      </c>
      <c r="D565">
        <v>10000</v>
      </c>
      <c r="E565" t="s">
        <v>73</v>
      </c>
      <c r="F565">
        <v>4</v>
      </c>
      <c r="G565">
        <v>22171.8</v>
      </c>
      <c r="H565">
        <v>221.71799999999999</v>
      </c>
      <c r="I565">
        <v>110914</v>
      </c>
      <c r="J565">
        <v>3226500</v>
      </c>
      <c r="K565">
        <v>0</v>
      </c>
      <c r="L565">
        <v>5.0024800000000003</v>
      </c>
      <c r="M565">
        <v>9</v>
      </c>
    </row>
    <row r="566" spans="1:13">
      <c r="A566" t="s">
        <v>10</v>
      </c>
      <c r="B566" t="s">
        <v>25</v>
      </c>
      <c r="C566">
        <v>100</v>
      </c>
      <c r="D566">
        <v>10000</v>
      </c>
      <c r="E566" t="s">
        <v>73</v>
      </c>
      <c r="F566">
        <v>5</v>
      </c>
      <c r="G566">
        <v>22392.3</v>
      </c>
      <c r="H566">
        <v>223.923</v>
      </c>
      <c r="I566">
        <v>112074</v>
      </c>
      <c r="J566">
        <v>3234333</v>
      </c>
      <c r="K566">
        <v>0</v>
      </c>
      <c r="L566">
        <v>5.00502</v>
      </c>
      <c r="M566">
        <v>9</v>
      </c>
    </row>
    <row r="567" spans="1:13">
      <c r="A567" t="s">
        <v>10</v>
      </c>
      <c r="B567" t="s">
        <v>25</v>
      </c>
      <c r="C567">
        <v>500</v>
      </c>
      <c r="D567">
        <v>10000</v>
      </c>
      <c r="E567" t="s">
        <v>73</v>
      </c>
      <c r="F567">
        <v>1</v>
      </c>
      <c r="G567">
        <v>23532.400000000001</v>
      </c>
      <c r="H567">
        <v>47.064900000000002</v>
      </c>
      <c r="I567">
        <v>117714</v>
      </c>
      <c r="J567">
        <v>3698469</v>
      </c>
      <c r="K567">
        <v>0</v>
      </c>
      <c r="L567">
        <v>5.0022000000000002</v>
      </c>
      <c r="M567">
        <v>9</v>
      </c>
    </row>
    <row r="568" spans="1:13">
      <c r="A568" t="s">
        <v>10</v>
      </c>
      <c r="B568" t="s">
        <v>25</v>
      </c>
      <c r="C568">
        <v>500</v>
      </c>
      <c r="D568">
        <v>10000</v>
      </c>
      <c r="E568" t="s">
        <v>73</v>
      </c>
      <c r="F568">
        <v>2</v>
      </c>
      <c r="G568">
        <v>22831</v>
      </c>
      <c r="H568">
        <v>45.661900000000003</v>
      </c>
      <c r="I568">
        <v>114168</v>
      </c>
      <c r="J568">
        <v>3629873</v>
      </c>
      <c r="K568">
        <v>0</v>
      </c>
      <c r="L568">
        <v>5.0005800000000002</v>
      </c>
      <c r="M568">
        <v>9</v>
      </c>
    </row>
    <row r="569" spans="1:13">
      <c r="A569" t="s">
        <v>10</v>
      </c>
      <c r="B569" t="s">
        <v>25</v>
      </c>
      <c r="C569">
        <v>500</v>
      </c>
      <c r="D569">
        <v>10000</v>
      </c>
      <c r="E569" t="s">
        <v>73</v>
      </c>
      <c r="F569">
        <v>3</v>
      </c>
      <c r="G569">
        <v>22843.200000000001</v>
      </c>
      <c r="H569">
        <v>45.686399999999999</v>
      </c>
      <c r="I569">
        <v>114291</v>
      </c>
      <c r="J569">
        <v>3642967</v>
      </c>
      <c r="K569">
        <v>0</v>
      </c>
      <c r="L569">
        <v>5.0032899999999998</v>
      </c>
      <c r="M569">
        <v>9</v>
      </c>
    </row>
    <row r="570" spans="1:13">
      <c r="A570" t="s">
        <v>10</v>
      </c>
      <c r="B570" t="s">
        <v>25</v>
      </c>
      <c r="C570">
        <v>500</v>
      </c>
      <c r="D570">
        <v>10000</v>
      </c>
      <c r="E570" t="s">
        <v>73</v>
      </c>
      <c r="F570">
        <v>4</v>
      </c>
      <c r="G570">
        <v>23546.1</v>
      </c>
      <c r="H570">
        <v>47.092199999999998</v>
      </c>
      <c r="I570">
        <v>117755</v>
      </c>
      <c r="J570">
        <v>3696713</v>
      </c>
      <c r="K570">
        <v>0</v>
      </c>
      <c r="L570">
        <v>5.0010399999999997</v>
      </c>
      <c r="M570">
        <v>9</v>
      </c>
    </row>
    <row r="571" spans="1:13">
      <c r="A571" t="s">
        <v>10</v>
      </c>
      <c r="B571" t="s">
        <v>25</v>
      </c>
      <c r="C571">
        <v>500</v>
      </c>
      <c r="D571">
        <v>10000</v>
      </c>
      <c r="E571" t="s">
        <v>73</v>
      </c>
      <c r="F571">
        <v>5</v>
      </c>
      <c r="G571">
        <v>23268.799999999999</v>
      </c>
      <c r="H571">
        <v>46.537700000000001</v>
      </c>
      <c r="I571">
        <v>116380</v>
      </c>
      <c r="J571">
        <v>3665672</v>
      </c>
      <c r="K571">
        <v>0</v>
      </c>
      <c r="L571">
        <v>5.0015400000000003</v>
      </c>
      <c r="M571">
        <v>9</v>
      </c>
    </row>
    <row r="572" spans="1:13">
      <c r="A572" t="s">
        <v>10</v>
      </c>
      <c r="B572" t="s">
        <v>25</v>
      </c>
      <c r="C572">
        <v>1000</v>
      </c>
      <c r="D572">
        <v>10000</v>
      </c>
      <c r="E572" t="s">
        <v>73</v>
      </c>
      <c r="F572">
        <v>1</v>
      </c>
      <c r="G572">
        <v>24025.4</v>
      </c>
      <c r="H572">
        <v>24.025400000000001</v>
      </c>
      <c r="I572">
        <v>120172</v>
      </c>
      <c r="J572">
        <v>3628317</v>
      </c>
      <c r="K572">
        <v>0</v>
      </c>
      <c r="L572">
        <v>5.0018700000000003</v>
      </c>
      <c r="M572">
        <v>9</v>
      </c>
    </row>
    <row r="573" spans="1:13">
      <c r="A573" t="s">
        <v>10</v>
      </c>
      <c r="B573" t="s">
        <v>25</v>
      </c>
      <c r="C573">
        <v>1000</v>
      </c>
      <c r="D573">
        <v>10000</v>
      </c>
      <c r="E573" t="s">
        <v>73</v>
      </c>
      <c r="F573">
        <v>2</v>
      </c>
      <c r="G573">
        <v>24141.599999999999</v>
      </c>
      <c r="H573">
        <v>24.1416</v>
      </c>
      <c r="I573">
        <v>120790</v>
      </c>
      <c r="J573">
        <v>3620126</v>
      </c>
      <c r="K573">
        <v>0</v>
      </c>
      <c r="L573">
        <v>5.0033899999999996</v>
      </c>
      <c r="M573">
        <v>9</v>
      </c>
    </row>
    <row r="574" spans="1:13">
      <c r="A574" t="s">
        <v>10</v>
      </c>
      <c r="B574" t="s">
        <v>25</v>
      </c>
      <c r="C574">
        <v>1000</v>
      </c>
      <c r="D574">
        <v>10000</v>
      </c>
      <c r="E574" t="s">
        <v>73</v>
      </c>
      <c r="F574">
        <v>3</v>
      </c>
      <c r="G574">
        <v>23929.599999999999</v>
      </c>
      <c r="H574">
        <v>23.929600000000001</v>
      </c>
      <c r="I574">
        <v>119768</v>
      </c>
      <c r="J574">
        <v>3647917</v>
      </c>
      <c r="K574">
        <v>0</v>
      </c>
      <c r="L574">
        <v>5.0050100000000004</v>
      </c>
      <c r="M574">
        <v>9</v>
      </c>
    </row>
    <row r="575" spans="1:13">
      <c r="A575" t="s">
        <v>10</v>
      </c>
      <c r="B575" t="s">
        <v>25</v>
      </c>
      <c r="C575">
        <v>1000</v>
      </c>
      <c r="D575">
        <v>10000</v>
      </c>
      <c r="E575" t="s">
        <v>73</v>
      </c>
      <c r="F575">
        <v>4</v>
      </c>
      <c r="G575">
        <v>24091.5</v>
      </c>
      <c r="H575">
        <v>24.0915</v>
      </c>
      <c r="I575">
        <v>120579</v>
      </c>
      <c r="J575">
        <v>3664568</v>
      </c>
      <c r="K575">
        <v>0</v>
      </c>
      <c r="L575">
        <v>5.0050400000000002</v>
      </c>
      <c r="M575">
        <v>9</v>
      </c>
    </row>
    <row r="576" spans="1:13">
      <c r="A576" t="s">
        <v>10</v>
      </c>
      <c r="B576" t="s">
        <v>25</v>
      </c>
      <c r="C576">
        <v>1000</v>
      </c>
      <c r="D576">
        <v>10000</v>
      </c>
      <c r="E576" t="s">
        <v>73</v>
      </c>
      <c r="F576">
        <v>5</v>
      </c>
      <c r="G576">
        <v>23279</v>
      </c>
      <c r="H576">
        <v>23.279</v>
      </c>
      <c r="I576">
        <v>116399</v>
      </c>
      <c r="J576">
        <v>3578236</v>
      </c>
      <c r="K576">
        <v>0</v>
      </c>
      <c r="L576">
        <v>5.0001699999999998</v>
      </c>
      <c r="M576">
        <v>9</v>
      </c>
    </row>
    <row r="577" spans="1:13">
      <c r="A577" t="s">
        <v>10</v>
      </c>
      <c r="B577" t="s">
        <v>25</v>
      </c>
      <c r="C577">
        <v>1</v>
      </c>
      <c r="D577">
        <v>100000</v>
      </c>
      <c r="E577" t="s">
        <v>73</v>
      </c>
      <c r="F577">
        <v>1</v>
      </c>
      <c r="G577">
        <v>4291.4799999999996</v>
      </c>
      <c r="H577">
        <v>4291.4799999999996</v>
      </c>
      <c r="I577">
        <v>21478</v>
      </c>
      <c r="J577">
        <v>271998</v>
      </c>
      <c r="K577">
        <v>0</v>
      </c>
      <c r="L577">
        <v>5.00481</v>
      </c>
      <c r="M577">
        <v>4</v>
      </c>
    </row>
    <row r="578" spans="1:13">
      <c r="A578" t="s">
        <v>10</v>
      </c>
      <c r="B578" t="s">
        <v>25</v>
      </c>
      <c r="C578">
        <v>1</v>
      </c>
      <c r="D578">
        <v>100000</v>
      </c>
      <c r="E578" t="s">
        <v>73</v>
      </c>
      <c r="F578">
        <v>2</v>
      </c>
      <c r="G578">
        <v>4267.7299999999996</v>
      </c>
      <c r="H578">
        <v>4267.7299999999996</v>
      </c>
      <c r="I578">
        <v>21357</v>
      </c>
      <c r="J578">
        <v>264036</v>
      </c>
      <c r="K578">
        <v>0</v>
      </c>
      <c r="L578">
        <v>5.0042999999999997</v>
      </c>
      <c r="M578">
        <v>4</v>
      </c>
    </row>
    <row r="579" spans="1:13">
      <c r="A579" t="s">
        <v>10</v>
      </c>
      <c r="B579" t="s">
        <v>25</v>
      </c>
      <c r="C579">
        <v>1</v>
      </c>
      <c r="D579">
        <v>100000</v>
      </c>
      <c r="E579" t="s">
        <v>73</v>
      </c>
      <c r="F579">
        <v>3</v>
      </c>
      <c r="G579">
        <v>4193.1899999999996</v>
      </c>
      <c r="H579">
        <v>4193.1899999999996</v>
      </c>
      <c r="I579">
        <v>20987</v>
      </c>
      <c r="J579">
        <v>262350</v>
      </c>
      <c r="K579">
        <v>0</v>
      </c>
      <c r="L579">
        <v>5.00502</v>
      </c>
      <c r="M579">
        <v>4</v>
      </c>
    </row>
    <row r="580" spans="1:13">
      <c r="A580" t="s">
        <v>10</v>
      </c>
      <c r="B580" t="s">
        <v>25</v>
      </c>
      <c r="C580">
        <v>1</v>
      </c>
      <c r="D580">
        <v>100000</v>
      </c>
      <c r="E580" t="s">
        <v>73</v>
      </c>
      <c r="F580">
        <v>4</v>
      </c>
      <c r="G580">
        <v>4357.8</v>
      </c>
      <c r="H580">
        <v>4357.8</v>
      </c>
      <c r="I580">
        <v>21811</v>
      </c>
      <c r="J580">
        <v>275862</v>
      </c>
      <c r="K580">
        <v>0</v>
      </c>
      <c r="L580">
        <v>5.0050499999999998</v>
      </c>
      <c r="M580">
        <v>4</v>
      </c>
    </row>
    <row r="581" spans="1:13">
      <c r="A581" t="s">
        <v>10</v>
      </c>
      <c r="B581" t="s">
        <v>25</v>
      </c>
      <c r="C581">
        <v>1</v>
      </c>
      <c r="D581">
        <v>100000</v>
      </c>
      <c r="E581" t="s">
        <v>73</v>
      </c>
      <c r="F581">
        <v>5</v>
      </c>
      <c r="G581">
        <v>3875.29</v>
      </c>
      <c r="H581">
        <v>3875.29</v>
      </c>
      <c r="I581">
        <v>19384</v>
      </c>
      <c r="J581">
        <v>250248</v>
      </c>
      <c r="K581">
        <v>0</v>
      </c>
      <c r="L581">
        <v>5.0019400000000003</v>
      </c>
      <c r="M581">
        <v>4</v>
      </c>
    </row>
    <row r="582" spans="1:13">
      <c r="A582" t="s">
        <v>10</v>
      </c>
      <c r="B582" t="s">
        <v>25</v>
      </c>
      <c r="C582">
        <v>10</v>
      </c>
      <c r="D582">
        <v>100000</v>
      </c>
      <c r="E582" t="s">
        <v>73</v>
      </c>
      <c r="F582">
        <v>1</v>
      </c>
      <c r="G582">
        <v>3990.79</v>
      </c>
      <c r="H582">
        <v>399.07900000000001</v>
      </c>
      <c r="I582">
        <v>19974</v>
      </c>
      <c r="J582">
        <v>1370942</v>
      </c>
      <c r="K582">
        <v>0</v>
      </c>
      <c r="L582">
        <v>5.00502</v>
      </c>
      <c r="M582">
        <v>4</v>
      </c>
    </row>
    <row r="583" spans="1:13">
      <c r="A583" t="s">
        <v>10</v>
      </c>
      <c r="B583" t="s">
        <v>25</v>
      </c>
      <c r="C583">
        <v>10</v>
      </c>
      <c r="D583">
        <v>100000</v>
      </c>
      <c r="E583" t="s">
        <v>73</v>
      </c>
      <c r="F583">
        <v>2</v>
      </c>
      <c r="G583">
        <v>4124.67</v>
      </c>
      <c r="H583">
        <v>412.46699999999998</v>
      </c>
      <c r="I583">
        <v>20625</v>
      </c>
      <c r="J583">
        <v>1243981</v>
      </c>
      <c r="K583">
        <v>0</v>
      </c>
      <c r="L583">
        <v>5.0004</v>
      </c>
      <c r="M583">
        <v>4</v>
      </c>
    </row>
    <row r="584" spans="1:13">
      <c r="A584" t="s">
        <v>10</v>
      </c>
      <c r="B584" t="s">
        <v>25</v>
      </c>
      <c r="C584">
        <v>10</v>
      </c>
      <c r="D584">
        <v>100000</v>
      </c>
      <c r="E584" t="s">
        <v>73</v>
      </c>
      <c r="F584">
        <v>3</v>
      </c>
      <c r="G584">
        <v>3968.12</v>
      </c>
      <c r="H584">
        <v>396.81200000000001</v>
      </c>
      <c r="I584">
        <v>19843</v>
      </c>
      <c r="J584">
        <v>1358972</v>
      </c>
      <c r="K584">
        <v>0</v>
      </c>
      <c r="L584">
        <v>5.0006000000000004</v>
      </c>
      <c r="M584">
        <v>4</v>
      </c>
    </row>
    <row r="585" spans="1:13">
      <c r="A585" t="s">
        <v>10</v>
      </c>
      <c r="B585" t="s">
        <v>25</v>
      </c>
      <c r="C585">
        <v>10</v>
      </c>
      <c r="D585">
        <v>100000</v>
      </c>
      <c r="E585" t="s">
        <v>73</v>
      </c>
      <c r="F585">
        <v>4</v>
      </c>
      <c r="G585">
        <v>3989.98</v>
      </c>
      <c r="H585">
        <v>398.99799999999999</v>
      </c>
      <c r="I585">
        <v>19970</v>
      </c>
      <c r="J585">
        <v>1419151</v>
      </c>
      <c r="K585">
        <v>0</v>
      </c>
      <c r="L585">
        <v>5.0050400000000002</v>
      </c>
      <c r="M585">
        <v>4</v>
      </c>
    </row>
    <row r="586" spans="1:13">
      <c r="A586" t="s">
        <v>10</v>
      </c>
      <c r="B586" t="s">
        <v>25</v>
      </c>
      <c r="C586">
        <v>10</v>
      </c>
      <c r="D586">
        <v>100000</v>
      </c>
      <c r="E586" t="s">
        <v>73</v>
      </c>
      <c r="F586">
        <v>5</v>
      </c>
      <c r="G586">
        <v>3979.21</v>
      </c>
      <c r="H586">
        <v>397.92099999999999</v>
      </c>
      <c r="I586">
        <v>19916</v>
      </c>
      <c r="J586">
        <v>1399474</v>
      </c>
      <c r="K586">
        <v>0</v>
      </c>
      <c r="L586">
        <v>5.0050100000000004</v>
      </c>
      <c r="M586">
        <v>4</v>
      </c>
    </row>
    <row r="587" spans="1:13">
      <c r="A587" t="s">
        <v>10</v>
      </c>
      <c r="B587" t="s">
        <v>25</v>
      </c>
      <c r="C587">
        <v>100</v>
      </c>
      <c r="D587">
        <v>100000</v>
      </c>
      <c r="E587" t="s">
        <v>73</v>
      </c>
      <c r="F587">
        <v>1</v>
      </c>
      <c r="G587">
        <v>3988.19</v>
      </c>
      <c r="H587">
        <v>39.881900000000002</v>
      </c>
      <c r="I587">
        <v>19961</v>
      </c>
      <c r="J587">
        <v>3086920</v>
      </c>
      <c r="K587">
        <v>0</v>
      </c>
      <c r="L587">
        <v>5.0050299999999996</v>
      </c>
      <c r="M587">
        <v>4</v>
      </c>
    </row>
    <row r="588" spans="1:13">
      <c r="A588" t="s">
        <v>10</v>
      </c>
      <c r="B588" t="s">
        <v>25</v>
      </c>
      <c r="C588">
        <v>100</v>
      </c>
      <c r="D588">
        <v>100000</v>
      </c>
      <c r="E588" t="s">
        <v>73</v>
      </c>
      <c r="F588">
        <v>2</v>
      </c>
      <c r="G588">
        <v>3962.59</v>
      </c>
      <c r="H588">
        <v>39.625900000000001</v>
      </c>
      <c r="I588">
        <v>19815</v>
      </c>
      <c r="J588">
        <v>2994170</v>
      </c>
      <c r="K588">
        <v>0</v>
      </c>
      <c r="L588">
        <v>5.0005100000000002</v>
      </c>
      <c r="M588">
        <v>4</v>
      </c>
    </row>
    <row r="589" spans="1:13">
      <c r="A589" t="s">
        <v>10</v>
      </c>
      <c r="B589" t="s">
        <v>25</v>
      </c>
      <c r="C589">
        <v>100</v>
      </c>
      <c r="D589">
        <v>100000</v>
      </c>
      <c r="E589" t="s">
        <v>73</v>
      </c>
      <c r="F589">
        <v>3</v>
      </c>
      <c r="G589">
        <v>4005.53</v>
      </c>
      <c r="H589">
        <v>40.055300000000003</v>
      </c>
      <c r="I589">
        <v>20029</v>
      </c>
      <c r="J589">
        <v>3047706</v>
      </c>
      <c r="K589">
        <v>0</v>
      </c>
      <c r="L589">
        <v>5.0003399999999996</v>
      </c>
      <c r="M589">
        <v>4</v>
      </c>
    </row>
    <row r="590" spans="1:13">
      <c r="A590" t="s">
        <v>10</v>
      </c>
      <c r="B590" t="s">
        <v>25</v>
      </c>
      <c r="C590">
        <v>100</v>
      </c>
      <c r="D590">
        <v>100000</v>
      </c>
      <c r="E590" t="s">
        <v>73</v>
      </c>
      <c r="F590">
        <v>4</v>
      </c>
      <c r="G590">
        <v>4010.25</v>
      </c>
      <c r="H590">
        <v>40.102499999999999</v>
      </c>
      <c r="I590">
        <v>20068</v>
      </c>
      <c r="J590">
        <v>3134474</v>
      </c>
      <c r="K590">
        <v>0</v>
      </c>
      <c r="L590">
        <v>5.0041799999999999</v>
      </c>
      <c r="M590">
        <v>4</v>
      </c>
    </row>
    <row r="591" spans="1:13">
      <c r="A591" t="s">
        <v>10</v>
      </c>
      <c r="B591" t="s">
        <v>25</v>
      </c>
      <c r="C591">
        <v>100</v>
      </c>
      <c r="D591">
        <v>100000</v>
      </c>
      <c r="E591" t="s">
        <v>73</v>
      </c>
      <c r="F591">
        <v>5</v>
      </c>
      <c r="G591">
        <v>4015.94</v>
      </c>
      <c r="H591">
        <v>40.159399999999998</v>
      </c>
      <c r="I591">
        <v>20089</v>
      </c>
      <c r="J591">
        <v>3029059</v>
      </c>
      <c r="K591">
        <v>0</v>
      </c>
      <c r="L591">
        <v>5.0023099999999996</v>
      </c>
      <c r="M591">
        <v>4</v>
      </c>
    </row>
    <row r="592" spans="1:13">
      <c r="A592" t="s">
        <v>10</v>
      </c>
      <c r="B592" t="s">
        <v>25</v>
      </c>
      <c r="C592">
        <v>500</v>
      </c>
      <c r="D592">
        <v>100000</v>
      </c>
      <c r="E592" t="s">
        <v>73</v>
      </c>
      <c r="F592">
        <v>1</v>
      </c>
      <c r="G592">
        <v>3687.91</v>
      </c>
      <c r="H592">
        <v>7.37582</v>
      </c>
      <c r="I592">
        <v>18456</v>
      </c>
      <c r="J592">
        <v>3625553</v>
      </c>
      <c r="K592">
        <v>0</v>
      </c>
      <c r="L592">
        <v>5.0044599999999999</v>
      </c>
      <c r="M592">
        <v>4</v>
      </c>
    </row>
    <row r="593" spans="1:13">
      <c r="A593" t="s">
        <v>10</v>
      </c>
      <c r="B593" t="s">
        <v>25</v>
      </c>
      <c r="C593">
        <v>500</v>
      </c>
      <c r="D593">
        <v>100000</v>
      </c>
      <c r="E593" t="s">
        <v>73</v>
      </c>
      <c r="F593">
        <v>2</v>
      </c>
      <c r="G593">
        <v>3692.88</v>
      </c>
      <c r="H593">
        <v>7.3857699999999999</v>
      </c>
      <c r="I593">
        <v>18483</v>
      </c>
      <c r="J593">
        <v>3630622</v>
      </c>
      <c r="K593">
        <v>0</v>
      </c>
      <c r="L593">
        <v>5.0050299999999996</v>
      </c>
      <c r="M593">
        <v>4</v>
      </c>
    </row>
    <row r="594" spans="1:13">
      <c r="A594" t="s">
        <v>10</v>
      </c>
      <c r="B594" t="s">
        <v>25</v>
      </c>
      <c r="C594">
        <v>500</v>
      </c>
      <c r="D594">
        <v>100000</v>
      </c>
      <c r="E594" t="s">
        <v>73</v>
      </c>
      <c r="F594">
        <v>3</v>
      </c>
      <c r="G594">
        <v>3767.22</v>
      </c>
      <c r="H594">
        <v>7.5344499999999996</v>
      </c>
      <c r="I594">
        <v>18855</v>
      </c>
      <c r="J594">
        <v>3710041</v>
      </c>
      <c r="K594">
        <v>0</v>
      </c>
      <c r="L594">
        <v>5.0050100000000004</v>
      </c>
      <c r="M594">
        <v>4</v>
      </c>
    </row>
    <row r="595" spans="1:13">
      <c r="A595" t="s">
        <v>10</v>
      </c>
      <c r="B595" t="s">
        <v>25</v>
      </c>
      <c r="C595">
        <v>500</v>
      </c>
      <c r="D595">
        <v>100000</v>
      </c>
      <c r="E595" t="s">
        <v>73</v>
      </c>
      <c r="F595">
        <v>4</v>
      </c>
      <c r="G595">
        <v>3785.45</v>
      </c>
      <c r="H595">
        <v>7.5709099999999996</v>
      </c>
      <c r="I595">
        <v>18937</v>
      </c>
      <c r="J595">
        <v>3682895</v>
      </c>
      <c r="K595">
        <v>0</v>
      </c>
      <c r="L595">
        <v>5.0025700000000004</v>
      </c>
      <c r="M595">
        <v>4</v>
      </c>
    </row>
    <row r="596" spans="1:13">
      <c r="A596" t="s">
        <v>10</v>
      </c>
      <c r="B596" t="s">
        <v>25</v>
      </c>
      <c r="C596">
        <v>500</v>
      </c>
      <c r="D596">
        <v>100000</v>
      </c>
      <c r="E596" t="s">
        <v>73</v>
      </c>
      <c r="F596">
        <v>5</v>
      </c>
      <c r="G596">
        <v>3751.79</v>
      </c>
      <c r="H596">
        <v>7.5035800000000004</v>
      </c>
      <c r="I596">
        <v>18768</v>
      </c>
      <c r="J596">
        <v>3663903</v>
      </c>
      <c r="K596">
        <v>0</v>
      </c>
      <c r="L596">
        <v>5.0024100000000002</v>
      </c>
      <c r="M596">
        <v>4</v>
      </c>
    </row>
    <row r="597" spans="1:13">
      <c r="A597" t="s">
        <v>10</v>
      </c>
      <c r="B597" t="s">
        <v>25</v>
      </c>
      <c r="C597">
        <v>1000</v>
      </c>
      <c r="D597">
        <v>100000</v>
      </c>
      <c r="E597" t="s">
        <v>73</v>
      </c>
      <c r="F597">
        <v>1</v>
      </c>
      <c r="G597">
        <v>3796.99</v>
      </c>
      <c r="H597">
        <v>3.7969900000000001</v>
      </c>
      <c r="I597">
        <v>18996</v>
      </c>
      <c r="J597">
        <v>3679258</v>
      </c>
      <c r="K597">
        <v>0</v>
      </c>
      <c r="L597">
        <v>5.0029199999999996</v>
      </c>
      <c r="M597">
        <v>4</v>
      </c>
    </row>
    <row r="598" spans="1:13">
      <c r="A598" t="s">
        <v>10</v>
      </c>
      <c r="B598" t="s">
        <v>25</v>
      </c>
      <c r="C598">
        <v>1000</v>
      </c>
      <c r="D598">
        <v>100000</v>
      </c>
      <c r="E598" t="s">
        <v>73</v>
      </c>
      <c r="F598">
        <v>2</v>
      </c>
      <c r="G598">
        <v>3768.48</v>
      </c>
      <c r="H598">
        <v>3.7684799999999998</v>
      </c>
      <c r="I598">
        <v>18852</v>
      </c>
      <c r="J598">
        <v>3642172</v>
      </c>
      <c r="K598">
        <v>0</v>
      </c>
      <c r="L598">
        <v>5.0025500000000003</v>
      </c>
      <c r="M598">
        <v>4</v>
      </c>
    </row>
    <row r="599" spans="1:13">
      <c r="A599" t="s">
        <v>10</v>
      </c>
      <c r="B599" t="s">
        <v>25</v>
      </c>
      <c r="C599">
        <v>1000</v>
      </c>
      <c r="D599">
        <v>100000</v>
      </c>
      <c r="E599" t="s">
        <v>73</v>
      </c>
      <c r="F599">
        <v>3</v>
      </c>
      <c r="G599">
        <v>3818.42</v>
      </c>
      <c r="H599">
        <v>3.8184200000000001</v>
      </c>
      <c r="I599">
        <v>19108</v>
      </c>
      <c r="J599">
        <v>3661240</v>
      </c>
      <c r="K599">
        <v>0</v>
      </c>
      <c r="L599">
        <v>5.0041700000000002</v>
      </c>
      <c r="M599">
        <v>4</v>
      </c>
    </row>
    <row r="600" spans="1:13">
      <c r="A600" t="s">
        <v>10</v>
      </c>
      <c r="B600" t="s">
        <v>25</v>
      </c>
      <c r="C600">
        <v>1000</v>
      </c>
      <c r="D600">
        <v>100000</v>
      </c>
      <c r="E600" t="s">
        <v>73</v>
      </c>
      <c r="F600">
        <v>4</v>
      </c>
      <c r="G600">
        <v>3787.8</v>
      </c>
      <c r="H600">
        <v>3.7877999999999998</v>
      </c>
      <c r="I600">
        <v>18958</v>
      </c>
      <c r="J600">
        <v>3628325</v>
      </c>
      <c r="K600">
        <v>0</v>
      </c>
      <c r="L600">
        <v>5.00502</v>
      </c>
      <c r="M600">
        <v>4</v>
      </c>
    </row>
    <row r="601" spans="1:13">
      <c r="A601" t="s">
        <v>10</v>
      </c>
      <c r="B601" t="s">
        <v>25</v>
      </c>
      <c r="C601">
        <v>1000</v>
      </c>
      <c r="D601">
        <v>100000</v>
      </c>
      <c r="E601" t="s">
        <v>73</v>
      </c>
      <c r="F601">
        <v>5</v>
      </c>
      <c r="G601">
        <v>3788.56</v>
      </c>
      <c r="H601">
        <v>3.7885599999999999</v>
      </c>
      <c r="I601">
        <v>18951</v>
      </c>
      <c r="J601">
        <v>3643487</v>
      </c>
      <c r="K601">
        <v>0</v>
      </c>
      <c r="L601">
        <v>5.0021699999999996</v>
      </c>
      <c r="M601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66BF-A488-CF4C-8BAF-27CF01D9AF51}">
  <dimension ref="A1:AB751"/>
  <sheetViews>
    <sheetView workbookViewId="0">
      <pane ySplit="1" topLeftCell="A2" activePane="bottomLeft" state="frozen"/>
      <selection pane="bottomLeft" activeCell="AA3" sqref="AA3"/>
    </sheetView>
  </sheetViews>
  <sheetFormatPr baseColWidth="10" defaultRowHeight="16"/>
  <cols>
    <col min="7" max="7" width="42.83203125" customWidth="1"/>
    <col min="11" max="11" width="15.83203125" bestFit="1" customWidth="1"/>
    <col min="12" max="12" width="15" bestFit="1" customWidth="1"/>
    <col min="13" max="13" width="8.1640625" bestFit="1" customWidth="1"/>
    <col min="14" max="14" width="13.6640625" bestFit="1" customWidth="1"/>
  </cols>
  <sheetData>
    <row r="1" spans="1:28" ht="21" thickBot="1">
      <c r="A1" t="s">
        <v>94</v>
      </c>
      <c r="B1" t="s">
        <v>0</v>
      </c>
      <c r="C1" t="s">
        <v>72</v>
      </c>
      <c r="D1" t="s">
        <v>95</v>
      </c>
      <c r="E1" t="s">
        <v>96</v>
      </c>
      <c r="F1" s="28" t="s">
        <v>76</v>
      </c>
      <c r="G1" s="7" t="s">
        <v>103</v>
      </c>
      <c r="K1" t="str">
        <f>A1</f>
        <v>test_type</v>
      </c>
      <c r="L1" t="str">
        <f t="shared" ref="L1" si="0">B1</f>
        <v>protocol</v>
      </c>
      <c r="M1" t="str">
        <f t="shared" ref="M1" si="1">C1</f>
        <v>iteration</v>
      </c>
      <c r="N1" t="str">
        <f t="shared" ref="N1" si="2">D1</f>
        <v>phase</v>
      </c>
      <c r="O1" t="str">
        <f t="shared" ref="O1" si="3">E1</f>
        <v>duration_us</v>
      </c>
      <c r="U1" t="s">
        <v>92</v>
      </c>
      <c r="V1" t="s">
        <v>93</v>
      </c>
      <c r="X1" t="s">
        <v>9</v>
      </c>
      <c r="Z1" t="s">
        <v>10</v>
      </c>
    </row>
    <row r="2" spans="1:28" ht="17" thickTop="1">
      <c r="A2" t="s">
        <v>97</v>
      </c>
      <c r="B2" t="s">
        <v>8</v>
      </c>
      <c r="C2">
        <v>1</v>
      </c>
      <c r="D2" t="s">
        <v>98</v>
      </c>
      <c r="E2">
        <v>887</v>
      </c>
      <c r="K2" t="str" cm="1">
        <f t="array" aca="1" ref="K2" ca="1">INDIRECT(_xlfn.CONCAT("A",$Q2))</f>
        <v>connection_phase</v>
      </c>
      <c r="L2" t="str" cm="1">
        <f t="array" aca="1" ref="L2" ca="1">INDIRECT(_xlfn.CONCAT("B",$Q2))</f>
        <v>PVA</v>
      </c>
      <c r="M2" cm="1">
        <f t="array" aca="1" ref="M2" ca="1">INDIRECT(_xlfn.CONCAT("C",$Q2))</f>
        <v>1</v>
      </c>
      <c r="N2" t="str" cm="1">
        <f t="array" aca="1" ref="N2" ca="1">INDIRECT(_xlfn.CONCAT("D",$Q2))</f>
        <v>create_channel</v>
      </c>
      <c r="O2" cm="1">
        <f t="array" aca="1" ref="O2" ca="1">INDIRECT(_xlfn.CONCAT("E",$Q2))</f>
        <v>307</v>
      </c>
      <c r="Q2">
        <v>5</v>
      </c>
      <c r="U2" t="str" cm="1">
        <f t="array" aca="1" ref="U2" ca="1">INDIRECT(CONCATENATE("csv_phase!N",2+$AB2))</f>
        <v>search</v>
      </c>
      <c r="V2" s="34">
        <f ca="1">AVERAGE(INDIRECT(CONCATENATE("csv_phase!O",2+($AB2))):INDIRECT(CONCATENATE("csv_phase!O",2+($AB2)+49)))/1000</f>
        <v>2.9871999999999996</v>
      </c>
      <c r="W2">
        <f ca="1">_xlfn.STDEV.S(INDIRECT(CONCATENATE("csv_phase!O",2+($AB2))):INDIRECT(CONCATENATE("csv_phase!O",2+($AB2)+49)))/1000</f>
        <v>2.5096778311820285</v>
      </c>
      <c r="X2" s="34">
        <f ca="1">AVERAGE(INDIRECT(CONCATENATE("csv_phase!O",2+($AB2)+250)):INDIRECT(CONCATENATE("csv_phase!O",2+($AB2)+49+250)))/1000</f>
        <v>1.97126</v>
      </c>
      <c r="Y2">
        <f ca="1">_xlfn.STDEV.S(INDIRECT(CONCATENATE("csv_phase!O",2+($AB2)+250)):INDIRECT(CONCATENATE("csv_phase!O",2+($AB2)+49+250)))/1000</f>
        <v>1.3914741531108332</v>
      </c>
      <c r="Z2" s="34">
        <f ca="1">AVERAGE(INDIRECT(CONCATENATE("csv_phase!O",2+($AB2)+500)):INDIRECT(CONCATENATE("csv_phase!O",2+($AB2)+49+500)))/1000</f>
        <v>4.2835799999999997</v>
      </c>
      <c r="AA2">
        <f ca="1">_xlfn.STDEV.S(INDIRECT(CONCATENATE("csv_phase!O",2+($AB2)+500)):INDIRECT(CONCATENATE("csv_phase!O",2+($AB2)+49+500)))/1000</f>
        <v>2.7539697217223109</v>
      </c>
      <c r="AB2">
        <v>50</v>
      </c>
    </row>
    <row r="3" spans="1:28">
      <c r="A3" t="s">
        <v>97</v>
      </c>
      <c r="B3" t="s">
        <v>8</v>
      </c>
      <c r="C3">
        <v>1</v>
      </c>
      <c r="D3" t="s">
        <v>99</v>
      </c>
      <c r="E3">
        <v>119</v>
      </c>
      <c r="K3" t="str" cm="1">
        <f t="array" aca="1" ref="K3" ca="1">INDIRECT(_xlfn.CONCAT("A",$Q3))</f>
        <v>connection_phase</v>
      </c>
      <c r="L3" t="str" cm="1">
        <f t="array" aca="1" ref="L3" ca="1">INDIRECT(_xlfn.CONCAT("B",$Q3))</f>
        <v>PVA</v>
      </c>
      <c r="M3" cm="1">
        <f t="array" aca="1" ref="M3" ca="1">INDIRECT(_xlfn.CONCAT("C",$Q3))</f>
        <v>2</v>
      </c>
      <c r="N3" t="str" cm="1">
        <f t="array" aca="1" ref="N3" ca="1">INDIRECT(_xlfn.CONCAT("D",$Q3))</f>
        <v>create_channel</v>
      </c>
      <c r="O3" cm="1">
        <f t="array" aca="1" ref="O3" ca="1">INDIRECT(_xlfn.CONCAT("E",$Q3))</f>
        <v>261</v>
      </c>
      <c r="Q3">
        <v>10</v>
      </c>
      <c r="U3" t="str" cm="1">
        <f t="array" aca="1" ref="U3" ca="1">INDIRECT(CONCATENATE("csv_phase!N",2+$AB3))</f>
        <v>tcp_connect</v>
      </c>
      <c r="V3" s="34">
        <f ca="1">AVERAGE(INDIRECT(CONCATENATE("csv_phase!O",2+($AB3))):INDIRECT(CONCATENATE("csv_phase!O",2+($AB3)+49)))/1000</f>
        <v>0.12035999999999999</v>
      </c>
      <c r="W3">
        <f ca="1">_xlfn.STDEV.S(INDIRECT(CONCATENATE("csv_phase!O",2+($AB3))):INDIRECT(CONCATENATE("csv_phase!O",2+($AB3)+49)))/1000</f>
        <v>0.11792850826337324</v>
      </c>
      <c r="X3" s="34">
        <f ca="1">AVERAGE(INDIRECT(CONCATENATE("csv_phase!O",2+($AB3)+250)):INDIRECT(CONCATENATE("csv_phase!O",2+($AB3)+49+250)))/1000</f>
        <v>5.2226800000000004</v>
      </c>
      <c r="Y3">
        <f ca="1">_xlfn.STDEV.S(INDIRECT(CONCATENATE("csv_phase!O",2+($AB3)+250)):INDIRECT(CONCATENATE("csv_phase!O",2+($AB3)+49+250)))/1000</f>
        <v>3.2408030841450524</v>
      </c>
      <c r="Z3" s="34">
        <f ca="1">AVERAGE(INDIRECT(CONCATENATE("csv_phase!O",2+($AB3)+500)):INDIRECT(CONCATENATE("csv_phase!O",2+($AB3)+49+500)))/1000</f>
        <v>13.750540000000001</v>
      </c>
      <c r="AA3">
        <f ca="1">_xlfn.STDEV.S(INDIRECT(CONCATENATE("csv_phase!O",2+($AB3)+500)):INDIRECT(CONCATENATE("csv_phase!O",2+($AB3)+49+500)))/1000</f>
        <v>3.3204095899912893</v>
      </c>
      <c r="AB3">
        <v>100</v>
      </c>
    </row>
    <row r="4" spans="1:28">
      <c r="A4" t="s">
        <v>97</v>
      </c>
      <c r="B4" t="s">
        <v>8</v>
      </c>
      <c r="C4">
        <v>1</v>
      </c>
      <c r="D4" t="s">
        <v>100</v>
      </c>
      <c r="E4">
        <v>128</v>
      </c>
      <c r="K4" t="str" cm="1">
        <f t="array" aca="1" ref="K4" ca="1">INDIRECT(_xlfn.CONCAT("A",$Q4))</f>
        <v>connection_phase</v>
      </c>
      <c r="L4" t="str" cm="1">
        <f t="array" aca="1" ref="L4" ca="1">INDIRECT(_xlfn.CONCAT("B",$Q4))</f>
        <v>PVA</v>
      </c>
      <c r="M4" cm="1">
        <f t="array" aca="1" ref="M4" ca="1">INDIRECT(_xlfn.CONCAT("C",$Q4))</f>
        <v>3</v>
      </c>
      <c r="N4" t="str" cm="1">
        <f t="array" aca="1" ref="N4" ca="1">INDIRECT(_xlfn.CONCAT("D",$Q4))</f>
        <v>create_channel</v>
      </c>
      <c r="O4" cm="1">
        <f t="array" aca="1" ref="O4" ca="1">INDIRECT(_xlfn.CONCAT("E",$Q4))</f>
        <v>270</v>
      </c>
      <c r="Q4">
        <v>15</v>
      </c>
      <c r="U4" t="str" cm="1">
        <f t="array" aca="1" ref="U4" ca="1">INDIRECT(CONCATENATE("csv_phase!N",2+$AB4))</f>
        <v>validation</v>
      </c>
      <c r="V4" s="34">
        <f ca="1">AVERAGE(INDIRECT(CONCATENATE("csv_phase!O",2+($AB4))):INDIRECT(CONCATENATE("csv_phase!O",2+($AB4)+49)))/1000</f>
        <v>0.29077999999999998</v>
      </c>
      <c r="W4">
        <f ca="1">_xlfn.STDEV.S(INDIRECT(CONCATENATE("csv_phase!O",2+($AB4))):INDIRECT(CONCATENATE("csv_phase!O",2+($AB4)+49)))/1000</f>
        <v>0.19501567597901207</v>
      </c>
      <c r="X4" s="34">
        <f ca="1">AVERAGE(INDIRECT(CONCATENATE("csv_phase!O",2+($AB4)+250)):INDIRECT(CONCATENATE("csv_phase!O",2+($AB4)+49+250)))/1000</f>
        <v>0.53795999999999999</v>
      </c>
      <c r="Y4">
        <f ca="1">_xlfn.STDEV.S(INDIRECT(CONCATENATE("csv_phase!O",2+($AB4)+250)):INDIRECT(CONCATENATE("csv_phase!O",2+($AB4)+49+250)))/1000</f>
        <v>0.36862579665452561</v>
      </c>
      <c r="Z4" s="34">
        <f ca="1">AVERAGE(INDIRECT(CONCATENATE("csv_phase!O",2+($AB4)+500)):INDIRECT(CONCATENATE("csv_phase!O",2+($AB4)+49+500)))/1000</f>
        <v>0.74075999999999997</v>
      </c>
      <c r="AA4">
        <f ca="1">_xlfn.STDEV.S(INDIRECT(CONCATENATE("csv_phase!O",2+($AB4)+500)):INDIRECT(CONCATENATE("csv_phase!O",2+($AB4)+49+500)))/1000</f>
        <v>0.28725957542520564</v>
      </c>
      <c r="AB4">
        <v>200</v>
      </c>
    </row>
    <row r="5" spans="1:28">
      <c r="A5" t="s">
        <v>97</v>
      </c>
      <c r="B5" t="s">
        <v>8</v>
      </c>
      <c r="C5">
        <v>1</v>
      </c>
      <c r="D5" t="s">
        <v>101</v>
      </c>
      <c r="E5">
        <v>307</v>
      </c>
      <c r="K5" t="str" cm="1">
        <f t="array" aca="1" ref="K5" ca="1">INDIRECT(_xlfn.CONCAT("A",$Q5))</f>
        <v>connection_phase</v>
      </c>
      <c r="L5" t="str" cm="1">
        <f t="array" aca="1" ref="L5" ca="1">INDIRECT(_xlfn.CONCAT("B",$Q5))</f>
        <v>PVA</v>
      </c>
      <c r="M5" cm="1">
        <f t="array" aca="1" ref="M5" ca="1">INDIRECT(_xlfn.CONCAT("C",$Q5))</f>
        <v>4</v>
      </c>
      <c r="N5" t="str" cm="1">
        <f t="array" aca="1" ref="N5" ca="1">INDIRECT(_xlfn.CONCAT("D",$Q5))</f>
        <v>create_channel</v>
      </c>
      <c r="O5" cm="1">
        <f t="array" aca="1" ref="O5" ca="1">INDIRECT(_xlfn.CONCAT("E",$Q5))</f>
        <v>260</v>
      </c>
      <c r="Q5">
        <v>20</v>
      </c>
      <c r="U5" t="str" cm="1">
        <f t="array" aca="1" ref="U5" ca="1">INDIRECT(CONCATENATE("csv_phase!N",2+$AB5))</f>
        <v>create_channel</v>
      </c>
      <c r="V5" s="34">
        <f ca="1">AVERAGE(INDIRECT(CONCATENATE("csv_phase!O",2+($AB5))):INDIRECT(CONCATENATE("csv_phase!O",2+($AB5)+49)))/1000</f>
        <v>0.46160000000000001</v>
      </c>
      <c r="W5">
        <f ca="1">_xlfn.STDEV.S(INDIRECT(CONCATENATE("csv_phase!O",2+($AB5))):INDIRECT(CONCATENATE("csv_phase!O",2+($AB5)+49)))/1000</f>
        <v>0.37529237581775998</v>
      </c>
      <c r="X5" s="34">
        <f ca="1">AVERAGE(INDIRECT(CONCATENATE("csv_phase!O",2+($AB5)+250)):INDIRECT(CONCATENATE("csv_phase!O",2+($AB5)+49+250)))/1000</f>
        <v>0.34066000000000002</v>
      </c>
      <c r="Y5">
        <f ca="1">_xlfn.STDEV.S(INDIRECT(CONCATENATE("csv_phase!O",2+($AB5)+250)):INDIRECT(CONCATENATE("csv_phase!O",2+($AB5)+49+250)))/1000</f>
        <v>6.4353808380399821E-2</v>
      </c>
      <c r="Z5" s="34">
        <f ca="1">AVERAGE(INDIRECT(CONCATENATE("csv_phase!O",2+($AB5)+500)):INDIRECT(CONCATENATE("csv_phase!O",2+($AB5)+49+500)))/1000</f>
        <v>15.26008</v>
      </c>
      <c r="AA5">
        <f ca="1">_xlfn.STDEV.S(INDIRECT(CONCATENATE("csv_phase!O",2+($AB5)+500)):INDIRECT(CONCATENATE("csv_phase!O",2+($AB5)+49+500)))/1000</f>
        <v>2.4466083883029364</v>
      </c>
      <c r="AB5">
        <v>0</v>
      </c>
    </row>
    <row r="6" spans="1:28">
      <c r="A6" t="s">
        <v>97</v>
      </c>
      <c r="B6" t="s">
        <v>8</v>
      </c>
      <c r="C6">
        <v>1</v>
      </c>
      <c r="D6" t="s">
        <v>102</v>
      </c>
      <c r="E6">
        <v>1441</v>
      </c>
      <c r="K6" t="str" cm="1">
        <f t="array" aca="1" ref="K6" ca="1">INDIRECT(_xlfn.CONCAT("A",$Q6))</f>
        <v>connection_phase</v>
      </c>
      <c r="L6" t="str" cm="1">
        <f t="array" aca="1" ref="L6" ca="1">INDIRECT(_xlfn.CONCAT("B",$Q6))</f>
        <v>PVA</v>
      </c>
      <c r="M6" cm="1">
        <f t="array" aca="1" ref="M6" ca="1">INDIRECT(_xlfn.CONCAT("C",$Q6))</f>
        <v>5</v>
      </c>
      <c r="N6" t="str" cm="1">
        <f t="array" aca="1" ref="N6" ca="1">INDIRECT(_xlfn.CONCAT("D",$Q6))</f>
        <v>create_channel</v>
      </c>
      <c r="O6" cm="1">
        <f t="array" aca="1" ref="O6" ca="1">INDIRECT(_xlfn.CONCAT("E",$Q6))</f>
        <v>247</v>
      </c>
      <c r="Q6">
        <v>25</v>
      </c>
      <c r="U6" t="s">
        <v>104</v>
      </c>
      <c r="V6">
        <f ca="1">SUM(V2:V5)</f>
        <v>3.859939999999999</v>
      </c>
      <c r="X6">
        <f ca="1">SUM(X2:X5)</f>
        <v>8.0725600000000011</v>
      </c>
      <c r="Z6">
        <f ca="1">SUM(Z2:Z5)</f>
        <v>34.034960000000005</v>
      </c>
    </row>
    <row r="7" spans="1:28">
      <c r="A7" t="s">
        <v>97</v>
      </c>
      <c r="B7" t="s">
        <v>8</v>
      </c>
      <c r="C7">
        <v>2</v>
      </c>
      <c r="D7" t="s">
        <v>98</v>
      </c>
      <c r="E7">
        <v>857</v>
      </c>
      <c r="K7" t="str" cm="1">
        <f t="array" aca="1" ref="K7" ca="1">INDIRECT(_xlfn.CONCAT("A",$Q7))</f>
        <v>connection_phase</v>
      </c>
      <c r="L7" t="str" cm="1">
        <f t="array" aca="1" ref="L7" ca="1">INDIRECT(_xlfn.CONCAT("B",$Q7))</f>
        <v>PVA</v>
      </c>
      <c r="M7" cm="1">
        <f t="array" aca="1" ref="M7" ca="1">INDIRECT(_xlfn.CONCAT("C",$Q7))</f>
        <v>6</v>
      </c>
      <c r="N7" t="str" cm="1">
        <f t="array" aca="1" ref="N7" ca="1">INDIRECT(_xlfn.CONCAT("D",$Q7))</f>
        <v>create_channel</v>
      </c>
      <c r="O7" cm="1">
        <f t="array" aca="1" ref="O7" ca="1">INDIRECT(_xlfn.CONCAT("E",$Q7))</f>
        <v>175</v>
      </c>
      <c r="Q7">
        <v>30</v>
      </c>
    </row>
    <row r="8" spans="1:28">
      <c r="A8" t="s">
        <v>97</v>
      </c>
      <c r="B8" t="s">
        <v>8</v>
      </c>
      <c r="C8">
        <v>2</v>
      </c>
      <c r="D8" t="s">
        <v>99</v>
      </c>
      <c r="E8">
        <v>101</v>
      </c>
      <c r="K8" t="str" cm="1">
        <f t="array" aca="1" ref="K8" ca="1">INDIRECT(_xlfn.CONCAT("A",$Q8))</f>
        <v>connection_phase</v>
      </c>
      <c r="L8" t="str" cm="1">
        <f t="array" aca="1" ref="L8" ca="1">INDIRECT(_xlfn.CONCAT("B",$Q8))</f>
        <v>PVA</v>
      </c>
      <c r="M8" cm="1">
        <f t="array" aca="1" ref="M8" ca="1">INDIRECT(_xlfn.CONCAT("C",$Q8))</f>
        <v>7</v>
      </c>
      <c r="N8" t="str" cm="1">
        <f t="array" aca="1" ref="N8" ca="1">INDIRECT(_xlfn.CONCAT("D",$Q8))</f>
        <v>create_channel</v>
      </c>
      <c r="O8" cm="1">
        <f t="array" aca="1" ref="O8" ca="1">INDIRECT(_xlfn.CONCAT("E",$Q8))</f>
        <v>304</v>
      </c>
      <c r="Q8">
        <v>35</v>
      </c>
    </row>
    <row r="9" spans="1:28">
      <c r="A9" t="s">
        <v>97</v>
      </c>
      <c r="B9" t="s">
        <v>8</v>
      </c>
      <c r="C9">
        <v>2</v>
      </c>
      <c r="D9" t="s">
        <v>100</v>
      </c>
      <c r="E9">
        <v>119</v>
      </c>
      <c r="K9" t="str" cm="1">
        <f t="array" aca="1" ref="K9" ca="1">INDIRECT(_xlfn.CONCAT("A",$Q9))</f>
        <v>connection_phase</v>
      </c>
      <c r="L9" t="str" cm="1">
        <f t="array" aca="1" ref="L9" ca="1">INDIRECT(_xlfn.CONCAT("B",$Q9))</f>
        <v>PVA</v>
      </c>
      <c r="M9" cm="1">
        <f t="array" aca="1" ref="M9" ca="1">INDIRECT(_xlfn.CONCAT("C",$Q9))</f>
        <v>8</v>
      </c>
      <c r="N9" t="str" cm="1">
        <f t="array" aca="1" ref="N9" ca="1">INDIRECT(_xlfn.CONCAT("D",$Q9))</f>
        <v>create_channel</v>
      </c>
      <c r="O9" cm="1">
        <f t="array" aca="1" ref="O9" ca="1">INDIRECT(_xlfn.CONCAT("E",$Q9))</f>
        <v>249</v>
      </c>
      <c r="Q9">
        <v>40</v>
      </c>
    </row>
    <row r="10" spans="1:28">
      <c r="A10" t="s">
        <v>97</v>
      </c>
      <c r="B10" t="s">
        <v>8</v>
      </c>
      <c r="C10">
        <v>2</v>
      </c>
      <c r="D10" t="s">
        <v>101</v>
      </c>
      <c r="E10">
        <v>261</v>
      </c>
      <c r="K10" t="str" cm="1">
        <f t="array" aca="1" ref="K10" ca="1">INDIRECT(_xlfn.CONCAT("A",$Q10))</f>
        <v>connection_phase</v>
      </c>
      <c r="L10" t="str" cm="1">
        <f t="array" aca="1" ref="L10" ca="1">INDIRECT(_xlfn.CONCAT("B",$Q10))</f>
        <v>PVA</v>
      </c>
      <c r="M10" cm="1">
        <f t="array" aca="1" ref="M10" ca="1">INDIRECT(_xlfn.CONCAT("C",$Q10))</f>
        <v>9</v>
      </c>
      <c r="N10" t="str" cm="1">
        <f t="array" aca="1" ref="N10" ca="1">INDIRECT(_xlfn.CONCAT("D",$Q10))</f>
        <v>create_channel</v>
      </c>
      <c r="O10" cm="1">
        <f t="array" aca="1" ref="O10" ca="1">INDIRECT(_xlfn.CONCAT("E",$Q10))</f>
        <v>669</v>
      </c>
      <c r="Q10">
        <v>45</v>
      </c>
    </row>
    <row r="11" spans="1:28">
      <c r="A11" t="s">
        <v>97</v>
      </c>
      <c r="B11" t="s">
        <v>8</v>
      </c>
      <c r="C11">
        <v>2</v>
      </c>
      <c r="D11" t="s">
        <v>102</v>
      </c>
      <c r="E11">
        <v>1338</v>
      </c>
      <c r="K11" t="str" cm="1">
        <f t="array" aca="1" ref="K11" ca="1">INDIRECT(_xlfn.CONCAT("A",$Q11))</f>
        <v>connection_phase</v>
      </c>
      <c r="L11" t="str" cm="1">
        <f t="array" aca="1" ref="L11" ca="1">INDIRECT(_xlfn.CONCAT("B",$Q11))</f>
        <v>PVA</v>
      </c>
      <c r="M11" cm="1">
        <f t="array" aca="1" ref="M11" ca="1">INDIRECT(_xlfn.CONCAT("C",$Q11))</f>
        <v>10</v>
      </c>
      <c r="N11" t="str" cm="1">
        <f t="array" aca="1" ref="N11" ca="1">INDIRECT(_xlfn.CONCAT("D",$Q11))</f>
        <v>create_channel</v>
      </c>
      <c r="O11" cm="1">
        <f t="array" aca="1" ref="O11" ca="1">INDIRECT(_xlfn.CONCAT("E",$Q11))</f>
        <v>301</v>
      </c>
      <c r="Q11">
        <v>50</v>
      </c>
    </row>
    <row r="12" spans="1:28">
      <c r="A12" t="s">
        <v>97</v>
      </c>
      <c r="B12" t="s">
        <v>8</v>
      </c>
      <c r="C12">
        <v>3</v>
      </c>
      <c r="D12" t="s">
        <v>98</v>
      </c>
      <c r="E12">
        <v>848</v>
      </c>
      <c r="K12" t="str" cm="1">
        <f t="array" aca="1" ref="K12" ca="1">INDIRECT(_xlfn.CONCAT("A",$Q12))</f>
        <v>connection_phase</v>
      </c>
      <c r="L12" t="str" cm="1">
        <f t="array" aca="1" ref="L12" ca="1">INDIRECT(_xlfn.CONCAT("B",$Q12))</f>
        <v>PVA</v>
      </c>
      <c r="M12" cm="1">
        <f t="array" aca="1" ref="M12" ca="1">INDIRECT(_xlfn.CONCAT("C",$Q12))</f>
        <v>11</v>
      </c>
      <c r="N12" t="str" cm="1">
        <f t="array" aca="1" ref="N12" ca="1">INDIRECT(_xlfn.CONCAT("D",$Q12))</f>
        <v>create_channel</v>
      </c>
      <c r="O12" cm="1">
        <f t="array" aca="1" ref="O12" ca="1">INDIRECT(_xlfn.CONCAT("E",$Q12))</f>
        <v>261</v>
      </c>
      <c r="Q12">
        <v>55</v>
      </c>
    </row>
    <row r="13" spans="1:28">
      <c r="A13" t="s">
        <v>97</v>
      </c>
      <c r="B13" t="s">
        <v>8</v>
      </c>
      <c r="C13">
        <v>3</v>
      </c>
      <c r="D13" t="s">
        <v>99</v>
      </c>
      <c r="E13">
        <v>130</v>
      </c>
      <c r="K13" t="str" cm="1">
        <f t="array" aca="1" ref="K13" ca="1">INDIRECT(_xlfn.CONCAT("A",$Q13))</f>
        <v>connection_phase</v>
      </c>
      <c r="L13" t="str" cm="1">
        <f t="array" aca="1" ref="L13" ca="1">INDIRECT(_xlfn.CONCAT("B",$Q13))</f>
        <v>PVA</v>
      </c>
      <c r="M13" cm="1">
        <f t="array" aca="1" ref="M13" ca="1">INDIRECT(_xlfn.CONCAT("C",$Q13))</f>
        <v>12</v>
      </c>
      <c r="N13" t="str" cm="1">
        <f t="array" aca="1" ref="N13" ca="1">INDIRECT(_xlfn.CONCAT("D",$Q13))</f>
        <v>create_channel</v>
      </c>
      <c r="O13" cm="1">
        <f t="array" aca="1" ref="O13" ca="1">INDIRECT(_xlfn.CONCAT("E",$Q13))</f>
        <v>548</v>
      </c>
      <c r="Q13">
        <v>60</v>
      </c>
    </row>
    <row r="14" spans="1:28">
      <c r="A14" t="s">
        <v>97</v>
      </c>
      <c r="B14" t="s">
        <v>8</v>
      </c>
      <c r="C14">
        <v>3</v>
      </c>
      <c r="D14" t="s">
        <v>100</v>
      </c>
      <c r="E14">
        <v>106</v>
      </c>
      <c r="K14" t="str" cm="1">
        <f t="array" aca="1" ref="K14" ca="1">INDIRECT(_xlfn.CONCAT("A",$Q14))</f>
        <v>connection_phase</v>
      </c>
      <c r="L14" t="str" cm="1">
        <f t="array" aca="1" ref="L14" ca="1">INDIRECT(_xlfn.CONCAT("B",$Q14))</f>
        <v>PVA</v>
      </c>
      <c r="M14" cm="1">
        <f t="array" aca="1" ref="M14" ca="1">INDIRECT(_xlfn.CONCAT("C",$Q14))</f>
        <v>13</v>
      </c>
      <c r="N14" t="str" cm="1">
        <f t="array" aca="1" ref="N14" ca="1">INDIRECT(_xlfn.CONCAT("D",$Q14))</f>
        <v>create_channel</v>
      </c>
      <c r="O14" cm="1">
        <f t="array" aca="1" ref="O14" ca="1">INDIRECT(_xlfn.CONCAT("E",$Q14))</f>
        <v>282</v>
      </c>
      <c r="Q14">
        <v>65</v>
      </c>
    </row>
    <row r="15" spans="1:28">
      <c r="A15" t="s">
        <v>97</v>
      </c>
      <c r="B15" t="s">
        <v>8</v>
      </c>
      <c r="C15">
        <v>3</v>
      </c>
      <c r="D15" t="s">
        <v>101</v>
      </c>
      <c r="E15">
        <v>270</v>
      </c>
      <c r="K15" t="str" cm="1">
        <f t="array" aca="1" ref="K15" ca="1">INDIRECT(_xlfn.CONCAT("A",$Q15))</f>
        <v>connection_phase</v>
      </c>
      <c r="L15" t="str" cm="1">
        <f t="array" aca="1" ref="L15" ca="1">INDIRECT(_xlfn.CONCAT("B",$Q15))</f>
        <v>PVA</v>
      </c>
      <c r="M15" cm="1">
        <f t="array" aca="1" ref="M15" ca="1">INDIRECT(_xlfn.CONCAT("C",$Q15))</f>
        <v>14</v>
      </c>
      <c r="N15" t="str" cm="1">
        <f t="array" aca="1" ref="N15" ca="1">INDIRECT(_xlfn.CONCAT("D",$Q15))</f>
        <v>create_channel</v>
      </c>
      <c r="O15" cm="1">
        <f t="array" aca="1" ref="O15" ca="1">INDIRECT(_xlfn.CONCAT("E",$Q15))</f>
        <v>420</v>
      </c>
      <c r="Q15">
        <v>70</v>
      </c>
    </row>
    <row r="16" spans="1:28">
      <c r="A16" t="s">
        <v>97</v>
      </c>
      <c r="B16" t="s">
        <v>8</v>
      </c>
      <c r="C16">
        <v>3</v>
      </c>
      <c r="D16" t="s">
        <v>102</v>
      </c>
      <c r="E16">
        <v>1354</v>
      </c>
      <c r="K16" t="str" cm="1">
        <f t="array" aca="1" ref="K16" ca="1">INDIRECT(_xlfn.CONCAT("A",$Q16))</f>
        <v>connection_phase</v>
      </c>
      <c r="L16" t="str" cm="1">
        <f t="array" aca="1" ref="L16" ca="1">INDIRECT(_xlfn.CONCAT("B",$Q16))</f>
        <v>PVA</v>
      </c>
      <c r="M16" cm="1">
        <f t="array" aca="1" ref="M16" ca="1">INDIRECT(_xlfn.CONCAT("C",$Q16))</f>
        <v>15</v>
      </c>
      <c r="N16" t="str" cm="1">
        <f t="array" aca="1" ref="N16" ca="1">INDIRECT(_xlfn.CONCAT("D",$Q16))</f>
        <v>create_channel</v>
      </c>
      <c r="O16" cm="1">
        <f t="array" aca="1" ref="O16" ca="1">INDIRECT(_xlfn.CONCAT("E",$Q16))</f>
        <v>831</v>
      </c>
      <c r="Q16">
        <v>75</v>
      </c>
    </row>
    <row r="17" spans="1:17">
      <c r="A17" t="s">
        <v>97</v>
      </c>
      <c r="B17" t="s">
        <v>8</v>
      </c>
      <c r="C17">
        <v>4</v>
      </c>
      <c r="D17" t="s">
        <v>98</v>
      </c>
      <c r="E17">
        <v>988</v>
      </c>
      <c r="K17" t="str" cm="1">
        <f t="array" aca="1" ref="K17" ca="1">INDIRECT(_xlfn.CONCAT("A",$Q17))</f>
        <v>connection_phase</v>
      </c>
      <c r="L17" t="str" cm="1">
        <f t="array" aca="1" ref="L17" ca="1">INDIRECT(_xlfn.CONCAT("B",$Q17))</f>
        <v>PVA</v>
      </c>
      <c r="M17" cm="1">
        <f t="array" aca="1" ref="M17" ca="1">INDIRECT(_xlfn.CONCAT("C",$Q17))</f>
        <v>16</v>
      </c>
      <c r="N17" t="str" cm="1">
        <f t="array" aca="1" ref="N17" ca="1">INDIRECT(_xlfn.CONCAT("D",$Q17))</f>
        <v>create_channel</v>
      </c>
      <c r="O17" cm="1">
        <f t="array" aca="1" ref="O17" ca="1">INDIRECT(_xlfn.CONCAT("E",$Q17))</f>
        <v>909</v>
      </c>
      <c r="Q17">
        <v>80</v>
      </c>
    </row>
    <row r="18" spans="1:17">
      <c r="A18" t="s">
        <v>97</v>
      </c>
      <c r="B18" t="s">
        <v>8</v>
      </c>
      <c r="C18">
        <v>4</v>
      </c>
      <c r="D18" t="s">
        <v>99</v>
      </c>
      <c r="E18">
        <v>168</v>
      </c>
      <c r="K18" t="str" cm="1">
        <f t="array" aca="1" ref="K18" ca="1">INDIRECT(_xlfn.CONCAT("A",$Q18))</f>
        <v>connection_phase</v>
      </c>
      <c r="L18" t="str" cm="1">
        <f t="array" aca="1" ref="L18" ca="1">INDIRECT(_xlfn.CONCAT("B",$Q18))</f>
        <v>PVA</v>
      </c>
      <c r="M18" cm="1">
        <f t="array" aca="1" ref="M18" ca="1">INDIRECT(_xlfn.CONCAT("C",$Q18))</f>
        <v>17</v>
      </c>
      <c r="N18" t="str" cm="1">
        <f t="array" aca="1" ref="N18" ca="1">INDIRECT(_xlfn.CONCAT("D",$Q18))</f>
        <v>create_channel</v>
      </c>
      <c r="O18" cm="1">
        <f t="array" aca="1" ref="O18" ca="1">INDIRECT(_xlfn.CONCAT("E",$Q18))</f>
        <v>369</v>
      </c>
      <c r="Q18">
        <v>85</v>
      </c>
    </row>
    <row r="19" spans="1:17">
      <c r="A19" t="s">
        <v>97</v>
      </c>
      <c r="B19" t="s">
        <v>8</v>
      </c>
      <c r="C19">
        <v>4</v>
      </c>
      <c r="D19" t="s">
        <v>100</v>
      </c>
      <c r="E19">
        <v>121</v>
      </c>
      <c r="K19" t="str" cm="1">
        <f t="array" aca="1" ref="K19" ca="1">INDIRECT(_xlfn.CONCAT("A",$Q19))</f>
        <v>connection_phase</v>
      </c>
      <c r="L19" t="str" cm="1">
        <f t="array" aca="1" ref="L19" ca="1">INDIRECT(_xlfn.CONCAT("B",$Q19))</f>
        <v>PVA</v>
      </c>
      <c r="M19" cm="1">
        <f t="array" aca="1" ref="M19" ca="1">INDIRECT(_xlfn.CONCAT("C",$Q19))</f>
        <v>18</v>
      </c>
      <c r="N19" t="str" cm="1">
        <f t="array" aca="1" ref="N19" ca="1">INDIRECT(_xlfn.CONCAT("D",$Q19))</f>
        <v>create_channel</v>
      </c>
      <c r="O19" cm="1">
        <f t="array" aca="1" ref="O19" ca="1">INDIRECT(_xlfn.CONCAT("E",$Q19))</f>
        <v>359</v>
      </c>
      <c r="Q19">
        <v>90</v>
      </c>
    </row>
    <row r="20" spans="1:17">
      <c r="A20" t="s">
        <v>97</v>
      </c>
      <c r="B20" t="s">
        <v>8</v>
      </c>
      <c r="C20">
        <v>4</v>
      </c>
      <c r="D20" t="s">
        <v>101</v>
      </c>
      <c r="E20">
        <v>260</v>
      </c>
      <c r="K20" t="str" cm="1">
        <f t="array" aca="1" ref="K20" ca="1">INDIRECT(_xlfn.CONCAT("A",$Q20))</f>
        <v>connection_phase</v>
      </c>
      <c r="L20" t="str" cm="1">
        <f t="array" aca="1" ref="L20" ca="1">INDIRECT(_xlfn.CONCAT("B",$Q20))</f>
        <v>PVA</v>
      </c>
      <c r="M20" cm="1">
        <f t="array" aca="1" ref="M20" ca="1">INDIRECT(_xlfn.CONCAT("C",$Q20))</f>
        <v>19</v>
      </c>
      <c r="N20" t="str" cm="1">
        <f t="array" aca="1" ref="N20" ca="1">INDIRECT(_xlfn.CONCAT("D",$Q20))</f>
        <v>create_channel</v>
      </c>
      <c r="O20" cm="1">
        <f t="array" aca="1" ref="O20" ca="1">INDIRECT(_xlfn.CONCAT("E",$Q20))</f>
        <v>532</v>
      </c>
      <c r="Q20">
        <v>95</v>
      </c>
    </row>
    <row r="21" spans="1:17">
      <c r="A21" t="s">
        <v>97</v>
      </c>
      <c r="B21" t="s">
        <v>8</v>
      </c>
      <c r="C21">
        <v>4</v>
      </c>
      <c r="D21" t="s">
        <v>102</v>
      </c>
      <c r="E21">
        <v>1537</v>
      </c>
      <c r="K21" t="str" cm="1">
        <f t="array" aca="1" ref="K21" ca="1">INDIRECT(_xlfn.CONCAT("A",$Q21))</f>
        <v>connection_phase</v>
      </c>
      <c r="L21" t="str" cm="1">
        <f t="array" aca="1" ref="L21" ca="1">INDIRECT(_xlfn.CONCAT("B",$Q21))</f>
        <v>PVA</v>
      </c>
      <c r="M21" cm="1">
        <f t="array" aca="1" ref="M21" ca="1">INDIRECT(_xlfn.CONCAT("C",$Q21))</f>
        <v>20</v>
      </c>
      <c r="N21" t="str" cm="1">
        <f t="array" aca="1" ref="N21" ca="1">INDIRECT(_xlfn.CONCAT("D",$Q21))</f>
        <v>create_channel</v>
      </c>
      <c r="O21" cm="1">
        <f t="array" aca="1" ref="O21" ca="1">INDIRECT(_xlfn.CONCAT("E",$Q21))</f>
        <v>295</v>
      </c>
      <c r="Q21">
        <v>100</v>
      </c>
    </row>
    <row r="22" spans="1:17">
      <c r="A22" t="s">
        <v>97</v>
      </c>
      <c r="B22" t="s">
        <v>8</v>
      </c>
      <c r="C22">
        <v>5</v>
      </c>
      <c r="D22" t="s">
        <v>98</v>
      </c>
      <c r="E22">
        <v>1010</v>
      </c>
      <c r="K22" t="str" cm="1">
        <f t="array" aca="1" ref="K22" ca="1">INDIRECT(_xlfn.CONCAT("A",$Q22))</f>
        <v>connection_phase</v>
      </c>
      <c r="L22" t="str" cm="1">
        <f t="array" aca="1" ref="L22" ca="1">INDIRECT(_xlfn.CONCAT("B",$Q22))</f>
        <v>PVA</v>
      </c>
      <c r="M22" cm="1">
        <f t="array" aca="1" ref="M22" ca="1">INDIRECT(_xlfn.CONCAT("C",$Q22))</f>
        <v>21</v>
      </c>
      <c r="N22" t="str" cm="1">
        <f t="array" aca="1" ref="N22" ca="1">INDIRECT(_xlfn.CONCAT("D",$Q22))</f>
        <v>create_channel</v>
      </c>
      <c r="O22" cm="1">
        <f t="array" aca="1" ref="O22" ca="1">INDIRECT(_xlfn.CONCAT("E",$Q22))</f>
        <v>286</v>
      </c>
      <c r="Q22">
        <v>105</v>
      </c>
    </row>
    <row r="23" spans="1:17">
      <c r="A23" t="s">
        <v>97</v>
      </c>
      <c r="B23" t="s">
        <v>8</v>
      </c>
      <c r="C23">
        <v>5</v>
      </c>
      <c r="D23" t="s">
        <v>99</v>
      </c>
      <c r="E23">
        <v>99</v>
      </c>
      <c r="K23" t="str" cm="1">
        <f t="array" aca="1" ref="K23" ca="1">INDIRECT(_xlfn.CONCAT("A",$Q23))</f>
        <v>connection_phase</v>
      </c>
      <c r="L23" t="str" cm="1">
        <f t="array" aca="1" ref="L23" ca="1">INDIRECT(_xlfn.CONCAT("B",$Q23))</f>
        <v>PVA</v>
      </c>
      <c r="M23" cm="1">
        <f t="array" aca="1" ref="M23" ca="1">INDIRECT(_xlfn.CONCAT("C",$Q23))</f>
        <v>22</v>
      </c>
      <c r="N23" t="str" cm="1">
        <f t="array" aca="1" ref="N23" ca="1">INDIRECT(_xlfn.CONCAT("D",$Q23))</f>
        <v>create_channel</v>
      </c>
      <c r="O23" cm="1">
        <f t="array" aca="1" ref="O23" ca="1">INDIRECT(_xlfn.CONCAT("E",$Q23))</f>
        <v>550</v>
      </c>
      <c r="Q23">
        <v>110</v>
      </c>
    </row>
    <row r="24" spans="1:17">
      <c r="A24" t="s">
        <v>97</v>
      </c>
      <c r="B24" t="s">
        <v>8</v>
      </c>
      <c r="C24">
        <v>5</v>
      </c>
      <c r="D24" t="s">
        <v>100</v>
      </c>
      <c r="E24">
        <v>123</v>
      </c>
      <c r="K24" t="str" cm="1">
        <f t="array" aca="1" ref="K24" ca="1">INDIRECT(_xlfn.CONCAT("A",$Q24))</f>
        <v>connection_phase</v>
      </c>
      <c r="L24" t="str" cm="1">
        <f t="array" aca="1" ref="L24" ca="1">INDIRECT(_xlfn.CONCAT("B",$Q24))</f>
        <v>PVA</v>
      </c>
      <c r="M24" cm="1">
        <f t="array" aca="1" ref="M24" ca="1">INDIRECT(_xlfn.CONCAT("C",$Q24))</f>
        <v>23</v>
      </c>
      <c r="N24" t="str" cm="1">
        <f t="array" aca="1" ref="N24" ca="1">INDIRECT(_xlfn.CONCAT("D",$Q24))</f>
        <v>create_channel</v>
      </c>
      <c r="O24" cm="1">
        <f t="array" aca="1" ref="O24" ca="1">INDIRECT(_xlfn.CONCAT("E",$Q24))</f>
        <v>667</v>
      </c>
      <c r="Q24">
        <v>115</v>
      </c>
    </row>
    <row r="25" spans="1:17">
      <c r="A25" t="s">
        <v>97</v>
      </c>
      <c r="B25" t="s">
        <v>8</v>
      </c>
      <c r="C25">
        <v>5</v>
      </c>
      <c r="D25" t="s">
        <v>101</v>
      </c>
      <c r="E25">
        <v>247</v>
      </c>
      <c r="K25" t="str" cm="1">
        <f t="array" aca="1" ref="K25" ca="1">INDIRECT(_xlfn.CONCAT("A",$Q25))</f>
        <v>connection_phase</v>
      </c>
      <c r="L25" t="str" cm="1">
        <f t="array" aca="1" ref="L25" ca="1">INDIRECT(_xlfn.CONCAT("B",$Q25))</f>
        <v>PVA</v>
      </c>
      <c r="M25" cm="1">
        <f t="array" aca="1" ref="M25" ca="1">INDIRECT(_xlfn.CONCAT("C",$Q25))</f>
        <v>24</v>
      </c>
      <c r="N25" t="str" cm="1">
        <f t="array" aca="1" ref="N25" ca="1">INDIRECT(_xlfn.CONCAT("D",$Q25))</f>
        <v>create_channel</v>
      </c>
      <c r="O25" cm="1">
        <f t="array" aca="1" ref="O25" ca="1">INDIRECT(_xlfn.CONCAT("E",$Q25))</f>
        <v>710</v>
      </c>
      <c r="Q25">
        <v>120</v>
      </c>
    </row>
    <row r="26" spans="1:17">
      <c r="A26" t="s">
        <v>97</v>
      </c>
      <c r="B26" t="s">
        <v>8</v>
      </c>
      <c r="C26">
        <v>5</v>
      </c>
      <c r="D26" t="s">
        <v>102</v>
      </c>
      <c r="E26">
        <v>1479</v>
      </c>
      <c r="K26" t="str" cm="1">
        <f t="array" aca="1" ref="K26" ca="1">INDIRECT(_xlfn.CONCAT("A",$Q26))</f>
        <v>connection_phase</v>
      </c>
      <c r="L26" t="str" cm="1">
        <f t="array" aca="1" ref="L26" ca="1">INDIRECT(_xlfn.CONCAT("B",$Q26))</f>
        <v>PVA</v>
      </c>
      <c r="M26" cm="1">
        <f t="array" aca="1" ref="M26" ca="1">INDIRECT(_xlfn.CONCAT("C",$Q26))</f>
        <v>25</v>
      </c>
      <c r="N26" t="str" cm="1">
        <f t="array" aca="1" ref="N26" ca="1">INDIRECT(_xlfn.CONCAT("D",$Q26))</f>
        <v>create_channel</v>
      </c>
      <c r="O26" cm="1">
        <f t="array" aca="1" ref="O26" ca="1">INDIRECT(_xlfn.CONCAT("E",$Q26))</f>
        <v>283</v>
      </c>
      <c r="Q26">
        <v>125</v>
      </c>
    </row>
    <row r="27" spans="1:17">
      <c r="A27" t="s">
        <v>97</v>
      </c>
      <c r="B27" t="s">
        <v>8</v>
      </c>
      <c r="C27">
        <v>6</v>
      </c>
      <c r="D27" t="s">
        <v>98</v>
      </c>
      <c r="E27">
        <v>909</v>
      </c>
      <c r="K27" t="str" cm="1">
        <f t="array" aca="1" ref="K27" ca="1">INDIRECT(_xlfn.CONCAT("A",$Q27))</f>
        <v>connection_phase</v>
      </c>
      <c r="L27" t="str" cm="1">
        <f t="array" aca="1" ref="L27" ca="1">INDIRECT(_xlfn.CONCAT("B",$Q27))</f>
        <v>PVA</v>
      </c>
      <c r="M27" cm="1">
        <f t="array" aca="1" ref="M27" ca="1">INDIRECT(_xlfn.CONCAT("C",$Q27))</f>
        <v>26</v>
      </c>
      <c r="N27" t="str" cm="1">
        <f t="array" aca="1" ref="N27" ca="1">INDIRECT(_xlfn.CONCAT("D",$Q27))</f>
        <v>create_channel</v>
      </c>
      <c r="O27" cm="1">
        <f t="array" aca="1" ref="O27" ca="1">INDIRECT(_xlfn.CONCAT("E",$Q27))</f>
        <v>322</v>
      </c>
      <c r="Q27">
        <v>130</v>
      </c>
    </row>
    <row r="28" spans="1:17">
      <c r="A28" t="s">
        <v>97</v>
      </c>
      <c r="B28" t="s">
        <v>8</v>
      </c>
      <c r="C28">
        <v>6</v>
      </c>
      <c r="D28" t="s">
        <v>99</v>
      </c>
      <c r="E28">
        <v>88</v>
      </c>
      <c r="K28" t="str" cm="1">
        <f t="array" aca="1" ref="K28" ca="1">INDIRECT(_xlfn.CONCAT("A",$Q28))</f>
        <v>connection_phase</v>
      </c>
      <c r="L28" t="str" cm="1">
        <f t="array" aca="1" ref="L28" ca="1">INDIRECT(_xlfn.CONCAT("B",$Q28))</f>
        <v>PVA</v>
      </c>
      <c r="M28" cm="1">
        <f t="array" aca="1" ref="M28" ca="1">INDIRECT(_xlfn.CONCAT("C",$Q28))</f>
        <v>27</v>
      </c>
      <c r="N28" t="str" cm="1">
        <f t="array" aca="1" ref="N28" ca="1">INDIRECT(_xlfn.CONCAT("D",$Q28))</f>
        <v>create_channel</v>
      </c>
      <c r="O28" cm="1">
        <f t="array" aca="1" ref="O28" ca="1">INDIRECT(_xlfn.CONCAT("E",$Q28))</f>
        <v>258</v>
      </c>
      <c r="Q28">
        <v>135</v>
      </c>
    </row>
    <row r="29" spans="1:17">
      <c r="A29" t="s">
        <v>97</v>
      </c>
      <c r="B29" t="s">
        <v>8</v>
      </c>
      <c r="C29">
        <v>6</v>
      </c>
      <c r="D29" t="s">
        <v>100</v>
      </c>
      <c r="E29">
        <v>128</v>
      </c>
      <c r="K29" t="str" cm="1">
        <f t="array" aca="1" ref="K29" ca="1">INDIRECT(_xlfn.CONCAT("A",$Q29))</f>
        <v>connection_phase</v>
      </c>
      <c r="L29" t="str" cm="1">
        <f t="array" aca="1" ref="L29" ca="1">INDIRECT(_xlfn.CONCAT("B",$Q29))</f>
        <v>PVA</v>
      </c>
      <c r="M29" cm="1">
        <f t="array" aca="1" ref="M29" ca="1">INDIRECT(_xlfn.CONCAT("C",$Q29))</f>
        <v>28</v>
      </c>
      <c r="N29" t="str" cm="1">
        <f t="array" aca="1" ref="N29" ca="1">INDIRECT(_xlfn.CONCAT("D",$Q29))</f>
        <v>create_channel</v>
      </c>
      <c r="O29" cm="1">
        <f t="array" aca="1" ref="O29" ca="1">INDIRECT(_xlfn.CONCAT("E",$Q29))</f>
        <v>417</v>
      </c>
      <c r="Q29">
        <v>140</v>
      </c>
    </row>
    <row r="30" spans="1:17">
      <c r="A30" t="s">
        <v>97</v>
      </c>
      <c r="B30" t="s">
        <v>8</v>
      </c>
      <c r="C30">
        <v>6</v>
      </c>
      <c r="D30" t="s">
        <v>101</v>
      </c>
      <c r="E30">
        <v>175</v>
      </c>
      <c r="K30" t="str" cm="1">
        <f t="array" aca="1" ref="K30" ca="1">INDIRECT(_xlfn.CONCAT("A",$Q30))</f>
        <v>connection_phase</v>
      </c>
      <c r="L30" t="str" cm="1">
        <f t="array" aca="1" ref="L30" ca="1">INDIRECT(_xlfn.CONCAT("B",$Q30))</f>
        <v>PVA</v>
      </c>
      <c r="M30" cm="1">
        <f t="array" aca="1" ref="M30" ca="1">INDIRECT(_xlfn.CONCAT("C",$Q30))</f>
        <v>29</v>
      </c>
      <c r="N30" t="str" cm="1">
        <f t="array" aca="1" ref="N30" ca="1">INDIRECT(_xlfn.CONCAT("D",$Q30))</f>
        <v>create_channel</v>
      </c>
      <c r="O30" cm="1">
        <f t="array" aca="1" ref="O30" ca="1">INDIRECT(_xlfn.CONCAT("E",$Q30))</f>
        <v>510</v>
      </c>
      <c r="Q30">
        <v>145</v>
      </c>
    </row>
    <row r="31" spans="1:17">
      <c r="A31" t="s">
        <v>97</v>
      </c>
      <c r="B31" t="s">
        <v>8</v>
      </c>
      <c r="C31">
        <v>6</v>
      </c>
      <c r="D31" t="s">
        <v>102</v>
      </c>
      <c r="E31">
        <v>1300</v>
      </c>
      <c r="K31" t="str" cm="1">
        <f t="array" aca="1" ref="K31" ca="1">INDIRECT(_xlfn.CONCAT("A",$Q31))</f>
        <v>connection_phase</v>
      </c>
      <c r="L31" t="str" cm="1">
        <f t="array" aca="1" ref="L31" ca="1">INDIRECT(_xlfn.CONCAT("B",$Q31))</f>
        <v>PVA</v>
      </c>
      <c r="M31" cm="1">
        <f t="array" aca="1" ref="M31" ca="1">INDIRECT(_xlfn.CONCAT("C",$Q31))</f>
        <v>30</v>
      </c>
      <c r="N31" t="str" cm="1">
        <f t="array" aca="1" ref="N31" ca="1">INDIRECT(_xlfn.CONCAT("D",$Q31))</f>
        <v>create_channel</v>
      </c>
      <c r="O31" cm="1">
        <f t="array" aca="1" ref="O31" ca="1">INDIRECT(_xlfn.CONCAT("E",$Q31))</f>
        <v>547</v>
      </c>
      <c r="Q31">
        <v>150</v>
      </c>
    </row>
    <row r="32" spans="1:17">
      <c r="A32" t="s">
        <v>97</v>
      </c>
      <c r="B32" t="s">
        <v>8</v>
      </c>
      <c r="C32">
        <v>7</v>
      </c>
      <c r="D32" t="s">
        <v>98</v>
      </c>
      <c r="E32">
        <v>1054</v>
      </c>
      <c r="K32" t="str" cm="1">
        <f t="array" aca="1" ref="K32" ca="1">INDIRECT(_xlfn.CONCAT("A",$Q32))</f>
        <v>connection_phase</v>
      </c>
      <c r="L32" t="str" cm="1">
        <f t="array" aca="1" ref="L32" ca="1">INDIRECT(_xlfn.CONCAT("B",$Q32))</f>
        <v>PVA</v>
      </c>
      <c r="M32" cm="1">
        <f t="array" aca="1" ref="M32" ca="1">INDIRECT(_xlfn.CONCAT("C",$Q32))</f>
        <v>31</v>
      </c>
      <c r="N32" t="str" cm="1">
        <f t="array" aca="1" ref="N32" ca="1">INDIRECT(_xlfn.CONCAT("D",$Q32))</f>
        <v>create_channel</v>
      </c>
      <c r="O32" cm="1">
        <f t="array" aca="1" ref="O32" ca="1">INDIRECT(_xlfn.CONCAT("E",$Q32))</f>
        <v>510</v>
      </c>
      <c r="Q32">
        <v>155</v>
      </c>
    </row>
    <row r="33" spans="1:17">
      <c r="A33" t="s">
        <v>97</v>
      </c>
      <c r="B33" t="s">
        <v>8</v>
      </c>
      <c r="C33">
        <v>7</v>
      </c>
      <c r="D33" t="s">
        <v>99</v>
      </c>
      <c r="E33">
        <v>119</v>
      </c>
      <c r="K33" t="str" cm="1">
        <f t="array" aca="1" ref="K33" ca="1">INDIRECT(_xlfn.CONCAT("A",$Q33))</f>
        <v>connection_phase</v>
      </c>
      <c r="L33" t="str" cm="1">
        <f t="array" aca="1" ref="L33" ca="1">INDIRECT(_xlfn.CONCAT("B",$Q33))</f>
        <v>PVA</v>
      </c>
      <c r="M33" cm="1">
        <f t="array" aca="1" ref="M33" ca="1">INDIRECT(_xlfn.CONCAT("C",$Q33))</f>
        <v>32</v>
      </c>
      <c r="N33" t="str" cm="1">
        <f t="array" aca="1" ref="N33" ca="1">INDIRECT(_xlfn.CONCAT("D",$Q33))</f>
        <v>create_channel</v>
      </c>
      <c r="O33" cm="1">
        <f t="array" aca="1" ref="O33" ca="1">INDIRECT(_xlfn.CONCAT("E",$Q33))</f>
        <v>285</v>
      </c>
      <c r="Q33">
        <v>160</v>
      </c>
    </row>
    <row r="34" spans="1:17">
      <c r="A34" t="s">
        <v>97</v>
      </c>
      <c r="B34" t="s">
        <v>8</v>
      </c>
      <c r="C34">
        <v>7</v>
      </c>
      <c r="D34" t="s">
        <v>100</v>
      </c>
      <c r="E34">
        <v>117</v>
      </c>
      <c r="K34" t="str" cm="1">
        <f t="array" aca="1" ref="K34" ca="1">INDIRECT(_xlfn.CONCAT("A",$Q34))</f>
        <v>connection_phase</v>
      </c>
      <c r="L34" t="str" cm="1">
        <f t="array" aca="1" ref="L34" ca="1">INDIRECT(_xlfn.CONCAT("B",$Q34))</f>
        <v>PVA</v>
      </c>
      <c r="M34" cm="1">
        <f t="array" aca="1" ref="M34" ca="1">INDIRECT(_xlfn.CONCAT("C",$Q34))</f>
        <v>33</v>
      </c>
      <c r="N34" t="str" cm="1">
        <f t="array" aca="1" ref="N34" ca="1">INDIRECT(_xlfn.CONCAT("D",$Q34))</f>
        <v>create_channel</v>
      </c>
      <c r="O34" cm="1">
        <f t="array" aca="1" ref="O34" ca="1">INDIRECT(_xlfn.CONCAT("E",$Q34))</f>
        <v>574</v>
      </c>
      <c r="Q34">
        <v>165</v>
      </c>
    </row>
    <row r="35" spans="1:17">
      <c r="A35" t="s">
        <v>97</v>
      </c>
      <c r="B35" t="s">
        <v>8</v>
      </c>
      <c r="C35">
        <v>7</v>
      </c>
      <c r="D35" t="s">
        <v>101</v>
      </c>
      <c r="E35">
        <v>304</v>
      </c>
      <c r="K35" t="str" cm="1">
        <f t="array" aca="1" ref="K35" ca="1">INDIRECT(_xlfn.CONCAT("A",$Q35))</f>
        <v>connection_phase</v>
      </c>
      <c r="L35" t="str" cm="1">
        <f t="array" aca="1" ref="L35" ca="1">INDIRECT(_xlfn.CONCAT("B",$Q35))</f>
        <v>PVA</v>
      </c>
      <c r="M35" cm="1">
        <f t="array" aca="1" ref="M35" ca="1">INDIRECT(_xlfn.CONCAT("C",$Q35))</f>
        <v>34</v>
      </c>
      <c r="N35" t="str" cm="1">
        <f t="array" aca="1" ref="N35" ca="1">INDIRECT(_xlfn.CONCAT("D",$Q35))</f>
        <v>create_channel</v>
      </c>
      <c r="O35" cm="1">
        <f t="array" aca="1" ref="O35" ca="1">INDIRECT(_xlfn.CONCAT("E",$Q35))</f>
        <v>364</v>
      </c>
      <c r="Q35">
        <v>170</v>
      </c>
    </row>
    <row r="36" spans="1:17">
      <c r="A36" t="s">
        <v>97</v>
      </c>
      <c r="B36" t="s">
        <v>8</v>
      </c>
      <c r="C36">
        <v>7</v>
      </c>
      <c r="D36" t="s">
        <v>102</v>
      </c>
      <c r="E36">
        <v>1594</v>
      </c>
      <c r="K36" t="str" cm="1">
        <f t="array" aca="1" ref="K36" ca="1">INDIRECT(_xlfn.CONCAT("A",$Q36))</f>
        <v>connection_phase</v>
      </c>
      <c r="L36" t="str" cm="1">
        <f t="array" aca="1" ref="L36" ca="1">INDIRECT(_xlfn.CONCAT("B",$Q36))</f>
        <v>PVA</v>
      </c>
      <c r="M36" cm="1">
        <f t="array" aca="1" ref="M36" ca="1">INDIRECT(_xlfn.CONCAT("C",$Q36))</f>
        <v>35</v>
      </c>
      <c r="N36" t="str" cm="1">
        <f t="array" aca="1" ref="N36" ca="1">INDIRECT(_xlfn.CONCAT("D",$Q36))</f>
        <v>create_channel</v>
      </c>
      <c r="O36" cm="1">
        <f t="array" aca="1" ref="O36" ca="1">INDIRECT(_xlfn.CONCAT("E",$Q36))</f>
        <v>2780</v>
      </c>
      <c r="Q36">
        <v>175</v>
      </c>
    </row>
    <row r="37" spans="1:17">
      <c r="A37" t="s">
        <v>97</v>
      </c>
      <c r="B37" t="s">
        <v>8</v>
      </c>
      <c r="C37">
        <v>8</v>
      </c>
      <c r="D37" t="s">
        <v>98</v>
      </c>
      <c r="E37">
        <v>930</v>
      </c>
      <c r="K37" t="str" cm="1">
        <f t="array" aca="1" ref="K37" ca="1">INDIRECT(_xlfn.CONCAT("A",$Q37))</f>
        <v>connection_phase</v>
      </c>
      <c r="L37" t="str" cm="1">
        <f t="array" aca="1" ref="L37" ca="1">INDIRECT(_xlfn.CONCAT("B",$Q37))</f>
        <v>PVA</v>
      </c>
      <c r="M37" cm="1">
        <f t="array" aca="1" ref="M37" ca="1">INDIRECT(_xlfn.CONCAT("C",$Q37))</f>
        <v>36</v>
      </c>
      <c r="N37" t="str" cm="1">
        <f t="array" aca="1" ref="N37" ca="1">INDIRECT(_xlfn.CONCAT("D",$Q37))</f>
        <v>create_channel</v>
      </c>
      <c r="O37" cm="1">
        <f t="array" aca="1" ref="O37" ca="1">INDIRECT(_xlfn.CONCAT("E",$Q37))</f>
        <v>392</v>
      </c>
      <c r="Q37">
        <v>180</v>
      </c>
    </row>
    <row r="38" spans="1:17">
      <c r="A38" t="s">
        <v>97</v>
      </c>
      <c r="B38" t="s">
        <v>8</v>
      </c>
      <c r="C38">
        <v>8</v>
      </c>
      <c r="D38" t="s">
        <v>99</v>
      </c>
      <c r="E38">
        <v>115</v>
      </c>
      <c r="K38" t="str" cm="1">
        <f t="array" aca="1" ref="K38" ca="1">INDIRECT(_xlfn.CONCAT("A",$Q38))</f>
        <v>connection_phase</v>
      </c>
      <c r="L38" t="str" cm="1">
        <f t="array" aca="1" ref="L38" ca="1">INDIRECT(_xlfn.CONCAT("B",$Q38))</f>
        <v>PVA</v>
      </c>
      <c r="M38" cm="1">
        <f t="array" aca="1" ref="M38" ca="1">INDIRECT(_xlfn.CONCAT("C",$Q38))</f>
        <v>37</v>
      </c>
      <c r="N38" t="str" cm="1">
        <f t="array" aca="1" ref="N38" ca="1">INDIRECT(_xlfn.CONCAT("D",$Q38))</f>
        <v>create_channel</v>
      </c>
      <c r="O38" cm="1">
        <f t="array" aca="1" ref="O38" ca="1">INDIRECT(_xlfn.CONCAT("E",$Q38))</f>
        <v>411</v>
      </c>
      <c r="Q38">
        <v>185</v>
      </c>
    </row>
    <row r="39" spans="1:17">
      <c r="A39" t="s">
        <v>97</v>
      </c>
      <c r="B39" t="s">
        <v>8</v>
      </c>
      <c r="C39">
        <v>8</v>
      </c>
      <c r="D39" t="s">
        <v>100</v>
      </c>
      <c r="E39">
        <v>118</v>
      </c>
      <c r="K39" t="str" cm="1">
        <f t="array" aca="1" ref="K39" ca="1">INDIRECT(_xlfn.CONCAT("A",$Q39))</f>
        <v>connection_phase</v>
      </c>
      <c r="L39" t="str" cm="1">
        <f t="array" aca="1" ref="L39" ca="1">INDIRECT(_xlfn.CONCAT("B",$Q39))</f>
        <v>PVA</v>
      </c>
      <c r="M39" cm="1">
        <f t="array" aca="1" ref="M39" ca="1">INDIRECT(_xlfn.CONCAT("C",$Q39))</f>
        <v>38</v>
      </c>
      <c r="N39" t="str" cm="1">
        <f t="array" aca="1" ref="N39" ca="1">INDIRECT(_xlfn.CONCAT("D",$Q39))</f>
        <v>create_channel</v>
      </c>
      <c r="O39" cm="1">
        <f t="array" aca="1" ref="O39" ca="1">INDIRECT(_xlfn.CONCAT("E",$Q39))</f>
        <v>600</v>
      </c>
      <c r="Q39">
        <v>190</v>
      </c>
    </row>
    <row r="40" spans="1:17">
      <c r="A40" t="s">
        <v>97</v>
      </c>
      <c r="B40" t="s">
        <v>8</v>
      </c>
      <c r="C40">
        <v>8</v>
      </c>
      <c r="D40" t="s">
        <v>101</v>
      </c>
      <c r="E40">
        <v>249</v>
      </c>
      <c r="K40" t="str" cm="1">
        <f t="array" aca="1" ref="K40" ca="1">INDIRECT(_xlfn.CONCAT("A",$Q40))</f>
        <v>connection_phase</v>
      </c>
      <c r="L40" t="str" cm="1">
        <f t="array" aca="1" ref="L40" ca="1">INDIRECT(_xlfn.CONCAT("B",$Q40))</f>
        <v>PVA</v>
      </c>
      <c r="M40" cm="1">
        <f t="array" aca="1" ref="M40" ca="1">INDIRECT(_xlfn.CONCAT("C",$Q40))</f>
        <v>39</v>
      </c>
      <c r="N40" t="str" cm="1">
        <f t="array" aca="1" ref="N40" ca="1">INDIRECT(_xlfn.CONCAT("D",$Q40))</f>
        <v>create_channel</v>
      </c>
      <c r="O40" cm="1">
        <f t="array" aca="1" ref="O40" ca="1">INDIRECT(_xlfn.CONCAT("E",$Q40))</f>
        <v>701</v>
      </c>
      <c r="Q40">
        <v>195</v>
      </c>
    </row>
    <row r="41" spans="1:17">
      <c r="A41" t="s">
        <v>97</v>
      </c>
      <c r="B41" t="s">
        <v>8</v>
      </c>
      <c r="C41">
        <v>8</v>
      </c>
      <c r="D41" t="s">
        <v>102</v>
      </c>
      <c r="E41">
        <v>1412</v>
      </c>
      <c r="K41" t="str" cm="1">
        <f t="array" aca="1" ref="K41" ca="1">INDIRECT(_xlfn.CONCAT("A",$Q41))</f>
        <v>connection_phase</v>
      </c>
      <c r="L41" t="str" cm="1">
        <f t="array" aca="1" ref="L41" ca="1">INDIRECT(_xlfn.CONCAT("B",$Q41))</f>
        <v>PVA</v>
      </c>
      <c r="M41" cm="1">
        <f t="array" aca="1" ref="M41" ca="1">INDIRECT(_xlfn.CONCAT("C",$Q41))</f>
        <v>40</v>
      </c>
      <c r="N41" t="str" cm="1">
        <f t="array" aca="1" ref="N41" ca="1">INDIRECT(_xlfn.CONCAT("D",$Q41))</f>
        <v>create_channel</v>
      </c>
      <c r="O41" cm="1">
        <f t="array" aca="1" ref="O41" ca="1">INDIRECT(_xlfn.CONCAT("E",$Q41))</f>
        <v>423</v>
      </c>
      <c r="Q41">
        <v>200</v>
      </c>
    </row>
    <row r="42" spans="1:17">
      <c r="A42" t="s">
        <v>97</v>
      </c>
      <c r="B42" t="s">
        <v>8</v>
      </c>
      <c r="C42">
        <v>9</v>
      </c>
      <c r="D42" t="s">
        <v>98</v>
      </c>
      <c r="E42">
        <v>7267</v>
      </c>
      <c r="K42" t="str" cm="1">
        <f t="array" aca="1" ref="K42" ca="1">INDIRECT(_xlfn.CONCAT("A",$Q42))</f>
        <v>connection_phase</v>
      </c>
      <c r="L42" t="str" cm="1">
        <f t="array" aca="1" ref="L42" ca="1">INDIRECT(_xlfn.CONCAT("B",$Q42))</f>
        <v>PVA</v>
      </c>
      <c r="M42" cm="1">
        <f t="array" aca="1" ref="M42" ca="1">INDIRECT(_xlfn.CONCAT("C",$Q42))</f>
        <v>41</v>
      </c>
      <c r="N42" t="str" cm="1">
        <f t="array" aca="1" ref="N42" ca="1">INDIRECT(_xlfn.CONCAT("D",$Q42))</f>
        <v>create_channel</v>
      </c>
      <c r="O42" cm="1">
        <f t="array" aca="1" ref="O42" ca="1">INDIRECT(_xlfn.CONCAT("E",$Q42))</f>
        <v>477</v>
      </c>
      <c r="Q42">
        <v>205</v>
      </c>
    </row>
    <row r="43" spans="1:17">
      <c r="A43" t="s">
        <v>97</v>
      </c>
      <c r="B43" t="s">
        <v>8</v>
      </c>
      <c r="C43">
        <v>9</v>
      </c>
      <c r="D43" t="s">
        <v>99</v>
      </c>
      <c r="E43">
        <v>224</v>
      </c>
      <c r="K43" t="str" cm="1">
        <f t="array" aca="1" ref="K43" ca="1">INDIRECT(_xlfn.CONCAT("A",$Q43))</f>
        <v>connection_phase</v>
      </c>
      <c r="L43" t="str" cm="1">
        <f t="array" aca="1" ref="L43" ca="1">INDIRECT(_xlfn.CONCAT("B",$Q43))</f>
        <v>PVA</v>
      </c>
      <c r="M43" cm="1">
        <f t="array" aca="1" ref="M43" ca="1">INDIRECT(_xlfn.CONCAT("C",$Q43))</f>
        <v>42</v>
      </c>
      <c r="N43" t="str" cm="1">
        <f t="array" aca="1" ref="N43" ca="1">INDIRECT(_xlfn.CONCAT("D",$Q43))</f>
        <v>create_channel</v>
      </c>
      <c r="O43" cm="1">
        <f t="array" aca="1" ref="O43" ca="1">INDIRECT(_xlfn.CONCAT("E",$Q43))</f>
        <v>234</v>
      </c>
      <c r="Q43">
        <v>210</v>
      </c>
    </row>
    <row r="44" spans="1:17">
      <c r="A44" t="s">
        <v>97</v>
      </c>
      <c r="B44" t="s">
        <v>8</v>
      </c>
      <c r="C44">
        <v>9</v>
      </c>
      <c r="D44" t="s">
        <v>100</v>
      </c>
      <c r="E44">
        <v>714</v>
      </c>
      <c r="K44" t="str" cm="1">
        <f t="array" aca="1" ref="K44" ca="1">INDIRECT(_xlfn.CONCAT("A",$Q44))</f>
        <v>connection_phase</v>
      </c>
      <c r="L44" t="str" cm="1">
        <f t="array" aca="1" ref="L44" ca="1">INDIRECT(_xlfn.CONCAT("B",$Q44))</f>
        <v>PVA</v>
      </c>
      <c r="M44" cm="1">
        <f t="array" aca="1" ref="M44" ca="1">INDIRECT(_xlfn.CONCAT("C",$Q44))</f>
        <v>43</v>
      </c>
      <c r="N44" t="str" cm="1">
        <f t="array" aca="1" ref="N44" ca="1">INDIRECT(_xlfn.CONCAT("D",$Q44))</f>
        <v>create_channel</v>
      </c>
      <c r="O44" cm="1">
        <f t="array" aca="1" ref="O44" ca="1">INDIRECT(_xlfn.CONCAT("E",$Q44))</f>
        <v>337</v>
      </c>
      <c r="Q44">
        <v>215</v>
      </c>
    </row>
    <row r="45" spans="1:17">
      <c r="A45" t="s">
        <v>97</v>
      </c>
      <c r="B45" t="s">
        <v>8</v>
      </c>
      <c r="C45">
        <v>9</v>
      </c>
      <c r="D45" t="s">
        <v>101</v>
      </c>
      <c r="E45">
        <v>669</v>
      </c>
      <c r="K45" t="str" cm="1">
        <f t="array" aca="1" ref="K45" ca="1">INDIRECT(_xlfn.CONCAT("A",$Q45))</f>
        <v>connection_phase</v>
      </c>
      <c r="L45" t="str" cm="1">
        <f t="array" aca="1" ref="L45" ca="1">INDIRECT(_xlfn.CONCAT("B",$Q45))</f>
        <v>PVA</v>
      </c>
      <c r="M45" cm="1">
        <f t="array" aca="1" ref="M45" ca="1">INDIRECT(_xlfn.CONCAT("C",$Q45))</f>
        <v>44</v>
      </c>
      <c r="N45" t="str" cm="1">
        <f t="array" aca="1" ref="N45" ca="1">INDIRECT(_xlfn.CONCAT("D",$Q45))</f>
        <v>create_channel</v>
      </c>
      <c r="O45" cm="1">
        <f t="array" aca="1" ref="O45" ca="1">INDIRECT(_xlfn.CONCAT("E",$Q45))</f>
        <v>266</v>
      </c>
      <c r="Q45">
        <v>220</v>
      </c>
    </row>
    <row r="46" spans="1:17">
      <c r="A46" t="s">
        <v>97</v>
      </c>
      <c r="B46" t="s">
        <v>8</v>
      </c>
      <c r="C46">
        <v>9</v>
      </c>
      <c r="D46" t="s">
        <v>102</v>
      </c>
      <c r="E46">
        <v>8874</v>
      </c>
      <c r="K46" t="str" cm="1">
        <f t="array" aca="1" ref="K46" ca="1">INDIRECT(_xlfn.CONCAT("A",$Q46))</f>
        <v>connection_phase</v>
      </c>
      <c r="L46" t="str" cm="1">
        <f t="array" aca="1" ref="L46" ca="1">INDIRECT(_xlfn.CONCAT("B",$Q46))</f>
        <v>PVA</v>
      </c>
      <c r="M46" cm="1">
        <f t="array" aca="1" ref="M46" ca="1">INDIRECT(_xlfn.CONCAT("C",$Q46))</f>
        <v>45</v>
      </c>
      <c r="N46" t="str" cm="1">
        <f t="array" aca="1" ref="N46" ca="1">INDIRECT(_xlfn.CONCAT("D",$Q46))</f>
        <v>create_channel</v>
      </c>
      <c r="O46" cm="1">
        <f t="array" aca="1" ref="O46" ca="1">INDIRECT(_xlfn.CONCAT("E",$Q46))</f>
        <v>281</v>
      </c>
      <c r="Q46">
        <v>225</v>
      </c>
    </row>
    <row r="47" spans="1:17">
      <c r="A47" t="s">
        <v>97</v>
      </c>
      <c r="B47" t="s">
        <v>8</v>
      </c>
      <c r="C47">
        <v>10</v>
      </c>
      <c r="D47" t="s">
        <v>98</v>
      </c>
      <c r="E47">
        <v>928</v>
      </c>
      <c r="K47" t="str" cm="1">
        <f t="array" aca="1" ref="K47" ca="1">INDIRECT(_xlfn.CONCAT("A",$Q47))</f>
        <v>connection_phase</v>
      </c>
      <c r="L47" t="str" cm="1">
        <f t="array" aca="1" ref="L47" ca="1">INDIRECT(_xlfn.CONCAT("B",$Q47))</f>
        <v>PVA</v>
      </c>
      <c r="M47" cm="1">
        <f t="array" aca="1" ref="M47" ca="1">INDIRECT(_xlfn.CONCAT("C",$Q47))</f>
        <v>46</v>
      </c>
      <c r="N47" t="str" cm="1">
        <f t="array" aca="1" ref="N47" ca="1">INDIRECT(_xlfn.CONCAT("D",$Q47))</f>
        <v>create_channel</v>
      </c>
      <c r="O47" cm="1">
        <f t="array" aca="1" ref="O47" ca="1">INDIRECT(_xlfn.CONCAT("E",$Q47))</f>
        <v>692</v>
      </c>
      <c r="Q47">
        <v>230</v>
      </c>
    </row>
    <row r="48" spans="1:17">
      <c r="A48" t="s">
        <v>97</v>
      </c>
      <c r="B48" t="s">
        <v>8</v>
      </c>
      <c r="C48">
        <v>10</v>
      </c>
      <c r="D48" t="s">
        <v>99</v>
      </c>
      <c r="E48">
        <v>103</v>
      </c>
      <c r="K48" t="str" cm="1">
        <f t="array" aca="1" ref="K48" ca="1">INDIRECT(_xlfn.CONCAT("A",$Q48))</f>
        <v>connection_phase</v>
      </c>
      <c r="L48" t="str" cm="1">
        <f t="array" aca="1" ref="L48" ca="1">INDIRECT(_xlfn.CONCAT("B",$Q48))</f>
        <v>PVA</v>
      </c>
      <c r="M48" cm="1">
        <f t="array" aca="1" ref="M48" ca="1">INDIRECT(_xlfn.CONCAT("C",$Q48))</f>
        <v>47</v>
      </c>
      <c r="N48" t="str" cm="1">
        <f t="array" aca="1" ref="N48" ca="1">INDIRECT(_xlfn.CONCAT("D",$Q48))</f>
        <v>create_channel</v>
      </c>
      <c r="O48" cm="1">
        <f t="array" aca="1" ref="O48" ca="1">INDIRECT(_xlfn.CONCAT("E",$Q48))</f>
        <v>399</v>
      </c>
      <c r="Q48">
        <v>235</v>
      </c>
    </row>
    <row r="49" spans="1:17">
      <c r="A49" t="s">
        <v>97</v>
      </c>
      <c r="B49" t="s">
        <v>8</v>
      </c>
      <c r="C49">
        <v>10</v>
      </c>
      <c r="D49" t="s">
        <v>100</v>
      </c>
      <c r="E49">
        <v>161</v>
      </c>
      <c r="K49" t="str" cm="1">
        <f t="array" aca="1" ref="K49" ca="1">INDIRECT(_xlfn.CONCAT("A",$Q49))</f>
        <v>connection_phase</v>
      </c>
      <c r="L49" t="str" cm="1">
        <f t="array" aca="1" ref="L49" ca="1">INDIRECT(_xlfn.CONCAT("B",$Q49))</f>
        <v>PVA</v>
      </c>
      <c r="M49" cm="1">
        <f t="array" aca="1" ref="M49" ca="1">INDIRECT(_xlfn.CONCAT("C",$Q49))</f>
        <v>48</v>
      </c>
      <c r="N49" t="str" cm="1">
        <f t="array" aca="1" ref="N49" ca="1">INDIRECT(_xlfn.CONCAT("D",$Q49))</f>
        <v>create_channel</v>
      </c>
      <c r="O49" cm="1">
        <f t="array" aca="1" ref="O49" ca="1">INDIRECT(_xlfn.CONCAT("E",$Q49))</f>
        <v>332</v>
      </c>
      <c r="Q49">
        <v>240</v>
      </c>
    </row>
    <row r="50" spans="1:17">
      <c r="A50" t="s">
        <v>97</v>
      </c>
      <c r="B50" t="s">
        <v>8</v>
      </c>
      <c r="C50">
        <v>10</v>
      </c>
      <c r="D50" t="s">
        <v>101</v>
      </c>
      <c r="E50">
        <v>301</v>
      </c>
      <c r="K50" t="str" cm="1">
        <f t="array" aca="1" ref="K50" ca="1">INDIRECT(_xlfn.CONCAT("A",$Q50))</f>
        <v>connection_phase</v>
      </c>
      <c r="L50" t="str" cm="1">
        <f t="array" aca="1" ref="L50" ca="1">INDIRECT(_xlfn.CONCAT("B",$Q50))</f>
        <v>PVA</v>
      </c>
      <c r="M50" cm="1">
        <f t="array" aca="1" ref="M50" ca="1">INDIRECT(_xlfn.CONCAT("C",$Q50))</f>
        <v>49</v>
      </c>
      <c r="N50" t="str" cm="1">
        <f t="array" aca="1" ref="N50" ca="1">INDIRECT(_xlfn.CONCAT("D",$Q50))</f>
        <v>create_channel</v>
      </c>
      <c r="O50" cm="1">
        <f t="array" aca="1" ref="O50" ca="1">INDIRECT(_xlfn.CONCAT("E",$Q50))</f>
        <v>277</v>
      </c>
      <c r="Q50">
        <v>245</v>
      </c>
    </row>
    <row r="51" spans="1:17">
      <c r="A51" t="s">
        <v>97</v>
      </c>
      <c r="B51" t="s">
        <v>8</v>
      </c>
      <c r="C51">
        <v>10</v>
      </c>
      <c r="D51" t="s">
        <v>102</v>
      </c>
      <c r="E51">
        <v>1493</v>
      </c>
      <c r="K51" t="str" cm="1">
        <f t="array" aca="1" ref="K51" ca="1">INDIRECT(_xlfn.CONCAT("A",$Q51))</f>
        <v>connection_phase</v>
      </c>
      <c r="L51" t="str" cm="1">
        <f t="array" aca="1" ref="L51" ca="1">INDIRECT(_xlfn.CONCAT("B",$Q51))</f>
        <v>PVA</v>
      </c>
      <c r="M51" cm="1">
        <f t="array" aca="1" ref="M51" ca="1">INDIRECT(_xlfn.CONCAT("C",$Q51))</f>
        <v>50</v>
      </c>
      <c r="N51" t="str" cm="1">
        <f t="array" aca="1" ref="N51" ca="1">INDIRECT(_xlfn.CONCAT("D",$Q51))</f>
        <v>create_channel</v>
      </c>
      <c r="O51" cm="1">
        <f t="array" aca="1" ref="O51" ca="1">INDIRECT(_xlfn.CONCAT("E",$Q51))</f>
        <v>346</v>
      </c>
      <c r="Q51">
        <v>250</v>
      </c>
    </row>
    <row r="52" spans="1:17">
      <c r="A52" t="s">
        <v>97</v>
      </c>
      <c r="B52" t="s">
        <v>8</v>
      </c>
      <c r="C52">
        <v>11</v>
      </c>
      <c r="D52" t="s">
        <v>98</v>
      </c>
      <c r="E52">
        <v>7876</v>
      </c>
      <c r="K52" t="str" cm="1">
        <f t="array" aca="1" ref="K52" ca="1">INDIRECT(_xlfn.CONCAT("A",$Q52))</f>
        <v>connection_phase</v>
      </c>
      <c r="L52" t="str" cm="1">
        <f t="array" aca="1" ref="L52" ca="1">INDIRECT(_xlfn.CONCAT("B",$Q52))</f>
        <v>PVA</v>
      </c>
      <c r="M52" cm="1">
        <f t="array" aca="1" ref="M52" ca="1">INDIRECT(_xlfn.CONCAT("C",$Q52))</f>
        <v>1</v>
      </c>
      <c r="N52" t="str" cm="1">
        <f t="array" aca="1" ref="N52" ca="1">INDIRECT(_xlfn.CONCAT("D",$Q52))</f>
        <v>search</v>
      </c>
      <c r="O52" cm="1">
        <f t="array" aca="1" ref="O52" ca="1">INDIRECT(_xlfn.CONCAT("E",$Q52))</f>
        <v>887</v>
      </c>
      <c r="Q52">
        <v>2</v>
      </c>
    </row>
    <row r="53" spans="1:17">
      <c r="A53" t="s">
        <v>97</v>
      </c>
      <c r="B53" t="s">
        <v>8</v>
      </c>
      <c r="C53">
        <v>11</v>
      </c>
      <c r="D53" t="s">
        <v>99</v>
      </c>
      <c r="E53">
        <v>94</v>
      </c>
      <c r="K53" t="str" cm="1">
        <f t="array" aca="1" ref="K53" ca="1">INDIRECT(_xlfn.CONCAT("A",$Q53))</f>
        <v>connection_phase</v>
      </c>
      <c r="L53" t="str" cm="1">
        <f t="array" aca="1" ref="L53" ca="1">INDIRECT(_xlfn.CONCAT("B",$Q53))</f>
        <v>PVA</v>
      </c>
      <c r="M53" cm="1">
        <f t="array" aca="1" ref="M53" ca="1">INDIRECT(_xlfn.CONCAT("C",$Q53))</f>
        <v>2</v>
      </c>
      <c r="N53" t="str" cm="1">
        <f t="array" aca="1" ref="N53" ca="1">INDIRECT(_xlfn.CONCAT("D",$Q53))</f>
        <v>search</v>
      </c>
      <c r="O53" cm="1">
        <f t="array" aca="1" ref="O53" ca="1">INDIRECT(_xlfn.CONCAT("E",$Q53))</f>
        <v>857</v>
      </c>
      <c r="Q53">
        <v>7</v>
      </c>
    </row>
    <row r="54" spans="1:17">
      <c r="A54" t="s">
        <v>97</v>
      </c>
      <c r="B54" t="s">
        <v>8</v>
      </c>
      <c r="C54">
        <v>11</v>
      </c>
      <c r="D54" t="s">
        <v>100</v>
      </c>
      <c r="E54">
        <v>107</v>
      </c>
      <c r="K54" t="str" cm="1">
        <f t="array" aca="1" ref="K54" ca="1">INDIRECT(_xlfn.CONCAT("A",$Q54))</f>
        <v>connection_phase</v>
      </c>
      <c r="L54" t="str" cm="1">
        <f t="array" aca="1" ref="L54" ca="1">INDIRECT(_xlfn.CONCAT("B",$Q54))</f>
        <v>PVA</v>
      </c>
      <c r="M54" cm="1">
        <f t="array" aca="1" ref="M54" ca="1">INDIRECT(_xlfn.CONCAT("C",$Q54))</f>
        <v>3</v>
      </c>
      <c r="N54" t="str" cm="1">
        <f t="array" aca="1" ref="N54" ca="1">INDIRECT(_xlfn.CONCAT("D",$Q54))</f>
        <v>search</v>
      </c>
      <c r="O54" cm="1">
        <f t="array" aca="1" ref="O54" ca="1">INDIRECT(_xlfn.CONCAT("E",$Q54))</f>
        <v>848</v>
      </c>
      <c r="Q54">
        <v>12</v>
      </c>
    </row>
    <row r="55" spans="1:17">
      <c r="A55" t="s">
        <v>97</v>
      </c>
      <c r="B55" t="s">
        <v>8</v>
      </c>
      <c r="C55">
        <v>11</v>
      </c>
      <c r="D55" t="s">
        <v>101</v>
      </c>
      <c r="E55">
        <v>261</v>
      </c>
      <c r="K55" t="str" cm="1">
        <f t="array" aca="1" ref="K55" ca="1">INDIRECT(_xlfn.CONCAT("A",$Q55))</f>
        <v>connection_phase</v>
      </c>
      <c r="L55" t="str" cm="1">
        <f t="array" aca="1" ref="L55" ca="1">INDIRECT(_xlfn.CONCAT("B",$Q55))</f>
        <v>PVA</v>
      </c>
      <c r="M55" cm="1">
        <f t="array" aca="1" ref="M55" ca="1">INDIRECT(_xlfn.CONCAT("C",$Q55))</f>
        <v>4</v>
      </c>
      <c r="N55" t="str" cm="1">
        <f t="array" aca="1" ref="N55" ca="1">INDIRECT(_xlfn.CONCAT("D",$Q55))</f>
        <v>search</v>
      </c>
      <c r="O55" cm="1">
        <f t="array" aca="1" ref="O55" ca="1">INDIRECT(_xlfn.CONCAT("E",$Q55))</f>
        <v>988</v>
      </c>
      <c r="Q55">
        <v>17</v>
      </c>
    </row>
    <row r="56" spans="1:17">
      <c r="A56" t="s">
        <v>97</v>
      </c>
      <c r="B56" t="s">
        <v>8</v>
      </c>
      <c r="C56">
        <v>11</v>
      </c>
      <c r="D56" t="s">
        <v>102</v>
      </c>
      <c r="E56">
        <v>8338</v>
      </c>
      <c r="K56" t="str" cm="1">
        <f t="array" aca="1" ref="K56" ca="1">INDIRECT(_xlfn.CONCAT("A",$Q56))</f>
        <v>connection_phase</v>
      </c>
      <c r="L56" t="str" cm="1">
        <f t="array" aca="1" ref="L56" ca="1">INDIRECT(_xlfn.CONCAT("B",$Q56))</f>
        <v>PVA</v>
      </c>
      <c r="M56" cm="1">
        <f t="array" aca="1" ref="M56" ca="1">INDIRECT(_xlfn.CONCAT("C",$Q56))</f>
        <v>5</v>
      </c>
      <c r="N56" t="str" cm="1">
        <f t="array" aca="1" ref="N56" ca="1">INDIRECT(_xlfn.CONCAT("D",$Q56))</f>
        <v>search</v>
      </c>
      <c r="O56" cm="1">
        <f t="array" aca="1" ref="O56" ca="1">INDIRECT(_xlfn.CONCAT("E",$Q56))</f>
        <v>1010</v>
      </c>
      <c r="Q56">
        <v>22</v>
      </c>
    </row>
    <row r="57" spans="1:17">
      <c r="A57" t="s">
        <v>97</v>
      </c>
      <c r="B57" t="s">
        <v>8</v>
      </c>
      <c r="C57">
        <v>12</v>
      </c>
      <c r="D57" t="s">
        <v>98</v>
      </c>
      <c r="E57">
        <v>4292</v>
      </c>
      <c r="K57" t="str" cm="1">
        <f t="array" aca="1" ref="K57" ca="1">INDIRECT(_xlfn.CONCAT("A",$Q57))</f>
        <v>connection_phase</v>
      </c>
      <c r="L57" t="str" cm="1">
        <f t="array" aca="1" ref="L57" ca="1">INDIRECT(_xlfn.CONCAT("B",$Q57))</f>
        <v>PVA</v>
      </c>
      <c r="M57" cm="1">
        <f t="array" aca="1" ref="M57" ca="1">INDIRECT(_xlfn.CONCAT("C",$Q57))</f>
        <v>6</v>
      </c>
      <c r="N57" t="str" cm="1">
        <f t="array" aca="1" ref="N57" ca="1">INDIRECT(_xlfn.CONCAT("D",$Q57))</f>
        <v>search</v>
      </c>
      <c r="O57" cm="1">
        <f t="array" aca="1" ref="O57" ca="1">INDIRECT(_xlfn.CONCAT("E",$Q57))</f>
        <v>909</v>
      </c>
      <c r="Q57">
        <v>27</v>
      </c>
    </row>
    <row r="58" spans="1:17">
      <c r="A58" t="s">
        <v>97</v>
      </c>
      <c r="B58" t="s">
        <v>8</v>
      </c>
      <c r="C58">
        <v>12</v>
      </c>
      <c r="D58" t="s">
        <v>99</v>
      </c>
      <c r="E58">
        <v>58</v>
      </c>
      <c r="K58" t="str" cm="1">
        <f t="array" aca="1" ref="K58" ca="1">INDIRECT(_xlfn.CONCAT("A",$Q58))</f>
        <v>connection_phase</v>
      </c>
      <c r="L58" t="str" cm="1">
        <f t="array" aca="1" ref="L58" ca="1">INDIRECT(_xlfn.CONCAT("B",$Q58))</f>
        <v>PVA</v>
      </c>
      <c r="M58" cm="1">
        <f t="array" aca="1" ref="M58" ca="1">INDIRECT(_xlfn.CONCAT("C",$Q58))</f>
        <v>7</v>
      </c>
      <c r="N58" t="str" cm="1">
        <f t="array" aca="1" ref="N58" ca="1">INDIRECT(_xlfn.CONCAT("D",$Q58))</f>
        <v>search</v>
      </c>
      <c r="O58" cm="1">
        <f t="array" aca="1" ref="O58" ca="1">INDIRECT(_xlfn.CONCAT("E",$Q58))</f>
        <v>1054</v>
      </c>
      <c r="Q58">
        <v>32</v>
      </c>
    </row>
    <row r="59" spans="1:17">
      <c r="A59" t="s">
        <v>97</v>
      </c>
      <c r="B59" t="s">
        <v>8</v>
      </c>
      <c r="C59">
        <v>12</v>
      </c>
      <c r="D59" t="s">
        <v>100</v>
      </c>
      <c r="E59">
        <v>785</v>
      </c>
      <c r="K59" t="str" cm="1">
        <f t="array" aca="1" ref="K59" ca="1">INDIRECT(_xlfn.CONCAT("A",$Q59))</f>
        <v>connection_phase</v>
      </c>
      <c r="L59" t="str" cm="1">
        <f t="array" aca="1" ref="L59" ca="1">INDIRECT(_xlfn.CONCAT("B",$Q59))</f>
        <v>PVA</v>
      </c>
      <c r="M59" cm="1">
        <f t="array" aca="1" ref="M59" ca="1">INDIRECT(_xlfn.CONCAT("C",$Q59))</f>
        <v>8</v>
      </c>
      <c r="N59" t="str" cm="1">
        <f t="array" aca="1" ref="N59" ca="1">INDIRECT(_xlfn.CONCAT("D",$Q59))</f>
        <v>search</v>
      </c>
      <c r="O59" cm="1">
        <f t="array" aca="1" ref="O59" ca="1">INDIRECT(_xlfn.CONCAT("E",$Q59))</f>
        <v>930</v>
      </c>
      <c r="Q59">
        <v>37</v>
      </c>
    </row>
    <row r="60" spans="1:17">
      <c r="A60" t="s">
        <v>97</v>
      </c>
      <c r="B60" t="s">
        <v>8</v>
      </c>
      <c r="C60">
        <v>12</v>
      </c>
      <c r="D60" t="s">
        <v>101</v>
      </c>
      <c r="E60">
        <v>548</v>
      </c>
      <c r="K60" t="str" cm="1">
        <f t="array" aca="1" ref="K60" ca="1">INDIRECT(_xlfn.CONCAT("A",$Q60))</f>
        <v>connection_phase</v>
      </c>
      <c r="L60" t="str" cm="1">
        <f t="array" aca="1" ref="L60" ca="1">INDIRECT(_xlfn.CONCAT("B",$Q60))</f>
        <v>PVA</v>
      </c>
      <c r="M60" cm="1">
        <f t="array" aca="1" ref="M60" ca="1">INDIRECT(_xlfn.CONCAT("C",$Q60))</f>
        <v>9</v>
      </c>
      <c r="N60" t="str" cm="1">
        <f t="array" aca="1" ref="N60" ca="1">INDIRECT(_xlfn.CONCAT("D",$Q60))</f>
        <v>search</v>
      </c>
      <c r="O60" cm="1">
        <f t="array" aca="1" ref="O60" ca="1">INDIRECT(_xlfn.CONCAT("E",$Q60))</f>
        <v>7267</v>
      </c>
      <c r="Q60">
        <v>42</v>
      </c>
    </row>
    <row r="61" spans="1:17">
      <c r="A61" t="s">
        <v>97</v>
      </c>
      <c r="B61" t="s">
        <v>8</v>
      </c>
      <c r="C61">
        <v>12</v>
      </c>
      <c r="D61" t="s">
        <v>102</v>
      </c>
      <c r="E61">
        <v>5683</v>
      </c>
      <c r="K61" t="str" cm="1">
        <f t="array" aca="1" ref="K61" ca="1">INDIRECT(_xlfn.CONCAT("A",$Q61))</f>
        <v>connection_phase</v>
      </c>
      <c r="L61" t="str" cm="1">
        <f t="array" aca="1" ref="L61" ca="1">INDIRECT(_xlfn.CONCAT("B",$Q61))</f>
        <v>PVA</v>
      </c>
      <c r="M61" cm="1">
        <f t="array" aca="1" ref="M61" ca="1">INDIRECT(_xlfn.CONCAT("C",$Q61))</f>
        <v>10</v>
      </c>
      <c r="N61" t="str" cm="1">
        <f t="array" aca="1" ref="N61" ca="1">INDIRECT(_xlfn.CONCAT("D",$Q61))</f>
        <v>search</v>
      </c>
      <c r="O61" cm="1">
        <f t="array" aca="1" ref="O61" ca="1">INDIRECT(_xlfn.CONCAT("E",$Q61))</f>
        <v>928</v>
      </c>
      <c r="Q61">
        <v>47</v>
      </c>
    </row>
    <row r="62" spans="1:17">
      <c r="A62" t="s">
        <v>97</v>
      </c>
      <c r="B62" t="s">
        <v>8</v>
      </c>
      <c r="C62">
        <v>13</v>
      </c>
      <c r="D62" t="s">
        <v>98</v>
      </c>
      <c r="E62">
        <v>1788</v>
      </c>
      <c r="K62" t="str" cm="1">
        <f t="array" aca="1" ref="K62" ca="1">INDIRECT(_xlfn.CONCAT("A",$Q62))</f>
        <v>connection_phase</v>
      </c>
      <c r="L62" t="str" cm="1">
        <f t="array" aca="1" ref="L62" ca="1">INDIRECT(_xlfn.CONCAT("B",$Q62))</f>
        <v>PVA</v>
      </c>
      <c r="M62" cm="1">
        <f t="array" aca="1" ref="M62" ca="1">INDIRECT(_xlfn.CONCAT("C",$Q62))</f>
        <v>11</v>
      </c>
      <c r="N62" t="str" cm="1">
        <f t="array" aca="1" ref="N62" ca="1">INDIRECT(_xlfn.CONCAT("D",$Q62))</f>
        <v>search</v>
      </c>
      <c r="O62" cm="1">
        <f t="array" aca="1" ref="O62" ca="1">INDIRECT(_xlfn.CONCAT("E",$Q62))</f>
        <v>7876</v>
      </c>
      <c r="Q62">
        <v>52</v>
      </c>
    </row>
    <row r="63" spans="1:17">
      <c r="A63" t="s">
        <v>97</v>
      </c>
      <c r="B63" t="s">
        <v>8</v>
      </c>
      <c r="C63">
        <v>13</v>
      </c>
      <c r="D63" t="s">
        <v>99</v>
      </c>
      <c r="E63">
        <v>169</v>
      </c>
      <c r="K63" t="str" cm="1">
        <f t="array" aca="1" ref="K63" ca="1">INDIRECT(_xlfn.CONCAT("A",$Q63))</f>
        <v>connection_phase</v>
      </c>
      <c r="L63" t="str" cm="1">
        <f t="array" aca="1" ref="L63" ca="1">INDIRECT(_xlfn.CONCAT("B",$Q63))</f>
        <v>PVA</v>
      </c>
      <c r="M63" cm="1">
        <f t="array" aca="1" ref="M63" ca="1">INDIRECT(_xlfn.CONCAT("C",$Q63))</f>
        <v>12</v>
      </c>
      <c r="N63" t="str" cm="1">
        <f t="array" aca="1" ref="N63" ca="1">INDIRECT(_xlfn.CONCAT("D",$Q63))</f>
        <v>search</v>
      </c>
      <c r="O63" cm="1">
        <f t="array" aca="1" ref="O63" ca="1">INDIRECT(_xlfn.CONCAT("E",$Q63))</f>
        <v>4292</v>
      </c>
      <c r="Q63">
        <v>57</v>
      </c>
    </row>
    <row r="64" spans="1:17">
      <c r="A64" t="s">
        <v>97</v>
      </c>
      <c r="B64" t="s">
        <v>8</v>
      </c>
      <c r="C64">
        <v>13</v>
      </c>
      <c r="D64" t="s">
        <v>100</v>
      </c>
      <c r="E64">
        <v>304</v>
      </c>
      <c r="K64" t="str" cm="1">
        <f t="array" aca="1" ref="K64" ca="1">INDIRECT(_xlfn.CONCAT("A",$Q64))</f>
        <v>connection_phase</v>
      </c>
      <c r="L64" t="str" cm="1">
        <f t="array" aca="1" ref="L64" ca="1">INDIRECT(_xlfn.CONCAT("B",$Q64))</f>
        <v>PVA</v>
      </c>
      <c r="M64" cm="1">
        <f t="array" aca="1" ref="M64" ca="1">INDIRECT(_xlfn.CONCAT("C",$Q64))</f>
        <v>13</v>
      </c>
      <c r="N64" t="str" cm="1">
        <f t="array" aca="1" ref="N64" ca="1">INDIRECT(_xlfn.CONCAT("D",$Q64))</f>
        <v>search</v>
      </c>
      <c r="O64" cm="1">
        <f t="array" aca="1" ref="O64" ca="1">INDIRECT(_xlfn.CONCAT("E",$Q64))</f>
        <v>1788</v>
      </c>
      <c r="Q64">
        <v>62</v>
      </c>
    </row>
    <row r="65" spans="1:17">
      <c r="A65" t="s">
        <v>97</v>
      </c>
      <c r="B65" t="s">
        <v>8</v>
      </c>
      <c r="C65">
        <v>13</v>
      </c>
      <c r="D65" t="s">
        <v>101</v>
      </c>
      <c r="E65">
        <v>282</v>
      </c>
      <c r="K65" t="str" cm="1">
        <f t="array" aca="1" ref="K65" ca="1">INDIRECT(_xlfn.CONCAT("A",$Q65))</f>
        <v>connection_phase</v>
      </c>
      <c r="L65" t="str" cm="1">
        <f t="array" aca="1" ref="L65" ca="1">INDIRECT(_xlfn.CONCAT("B",$Q65))</f>
        <v>PVA</v>
      </c>
      <c r="M65" cm="1">
        <f t="array" aca="1" ref="M65" ca="1">INDIRECT(_xlfn.CONCAT("C",$Q65))</f>
        <v>14</v>
      </c>
      <c r="N65" t="str" cm="1">
        <f t="array" aca="1" ref="N65" ca="1">INDIRECT(_xlfn.CONCAT("D",$Q65))</f>
        <v>search</v>
      </c>
      <c r="O65" cm="1">
        <f t="array" aca="1" ref="O65" ca="1">INDIRECT(_xlfn.CONCAT("E",$Q65))</f>
        <v>1839</v>
      </c>
      <c r="Q65">
        <v>67</v>
      </c>
    </row>
    <row r="66" spans="1:17">
      <c r="A66" t="s">
        <v>97</v>
      </c>
      <c r="B66" t="s">
        <v>8</v>
      </c>
      <c r="C66">
        <v>13</v>
      </c>
      <c r="D66" t="s">
        <v>102</v>
      </c>
      <c r="E66">
        <v>2543</v>
      </c>
      <c r="K66" t="str" cm="1">
        <f t="array" aca="1" ref="K66" ca="1">INDIRECT(_xlfn.CONCAT("A",$Q66))</f>
        <v>connection_phase</v>
      </c>
      <c r="L66" t="str" cm="1">
        <f t="array" aca="1" ref="L66" ca="1">INDIRECT(_xlfn.CONCAT("B",$Q66))</f>
        <v>PVA</v>
      </c>
      <c r="M66" cm="1">
        <f t="array" aca="1" ref="M66" ca="1">INDIRECT(_xlfn.CONCAT("C",$Q66))</f>
        <v>15</v>
      </c>
      <c r="N66" t="str" cm="1">
        <f t="array" aca="1" ref="N66" ca="1">INDIRECT(_xlfn.CONCAT("D",$Q66))</f>
        <v>search</v>
      </c>
      <c r="O66" cm="1">
        <f t="array" aca="1" ref="O66" ca="1">INDIRECT(_xlfn.CONCAT("E",$Q66))</f>
        <v>10729</v>
      </c>
      <c r="Q66">
        <v>72</v>
      </c>
    </row>
    <row r="67" spans="1:17">
      <c r="A67" t="s">
        <v>97</v>
      </c>
      <c r="B67" t="s">
        <v>8</v>
      </c>
      <c r="C67">
        <v>14</v>
      </c>
      <c r="D67" t="s">
        <v>98</v>
      </c>
      <c r="E67">
        <v>1839</v>
      </c>
      <c r="K67" t="str" cm="1">
        <f t="array" aca="1" ref="K67" ca="1">INDIRECT(_xlfn.CONCAT("A",$Q67))</f>
        <v>connection_phase</v>
      </c>
      <c r="L67" t="str" cm="1">
        <f t="array" aca="1" ref="L67" ca="1">INDIRECT(_xlfn.CONCAT("B",$Q67))</f>
        <v>PVA</v>
      </c>
      <c r="M67" cm="1">
        <f t="array" aca="1" ref="M67" ca="1">INDIRECT(_xlfn.CONCAT("C",$Q67))</f>
        <v>16</v>
      </c>
      <c r="N67" t="str" cm="1">
        <f t="array" aca="1" ref="N67" ca="1">INDIRECT(_xlfn.CONCAT("D",$Q67))</f>
        <v>search</v>
      </c>
      <c r="O67" cm="1">
        <f t="array" aca="1" ref="O67" ca="1">INDIRECT(_xlfn.CONCAT("E",$Q67))</f>
        <v>3554</v>
      </c>
      <c r="Q67">
        <v>77</v>
      </c>
    </row>
    <row r="68" spans="1:17">
      <c r="A68" t="s">
        <v>97</v>
      </c>
      <c r="B68" t="s">
        <v>8</v>
      </c>
      <c r="C68">
        <v>14</v>
      </c>
      <c r="D68" t="s">
        <v>99</v>
      </c>
      <c r="E68">
        <v>57</v>
      </c>
      <c r="K68" t="str" cm="1">
        <f t="array" aca="1" ref="K68" ca="1">INDIRECT(_xlfn.CONCAT("A",$Q68))</f>
        <v>connection_phase</v>
      </c>
      <c r="L68" t="str" cm="1">
        <f t="array" aca="1" ref="L68" ca="1">INDIRECT(_xlfn.CONCAT("B",$Q68))</f>
        <v>PVA</v>
      </c>
      <c r="M68" cm="1">
        <f t="array" aca="1" ref="M68" ca="1">INDIRECT(_xlfn.CONCAT("C",$Q68))</f>
        <v>17</v>
      </c>
      <c r="N68" t="str" cm="1">
        <f t="array" aca="1" ref="N68" ca="1">INDIRECT(_xlfn.CONCAT("D",$Q68))</f>
        <v>search</v>
      </c>
      <c r="O68" cm="1">
        <f t="array" aca="1" ref="O68" ca="1">INDIRECT(_xlfn.CONCAT("E",$Q68))</f>
        <v>2737</v>
      </c>
      <c r="Q68">
        <v>82</v>
      </c>
    </row>
    <row r="69" spans="1:17">
      <c r="A69" t="s">
        <v>97</v>
      </c>
      <c r="B69" t="s">
        <v>8</v>
      </c>
      <c r="C69">
        <v>14</v>
      </c>
      <c r="D69" t="s">
        <v>100</v>
      </c>
      <c r="E69">
        <v>178</v>
      </c>
      <c r="K69" t="str" cm="1">
        <f t="array" aca="1" ref="K69" ca="1">INDIRECT(_xlfn.CONCAT("A",$Q69))</f>
        <v>connection_phase</v>
      </c>
      <c r="L69" t="str" cm="1">
        <f t="array" aca="1" ref="L69" ca="1">INDIRECT(_xlfn.CONCAT("B",$Q69))</f>
        <v>PVA</v>
      </c>
      <c r="M69" cm="1">
        <f t="array" aca="1" ref="M69" ca="1">INDIRECT(_xlfn.CONCAT("C",$Q69))</f>
        <v>18</v>
      </c>
      <c r="N69" t="str" cm="1">
        <f t="array" aca="1" ref="N69" ca="1">INDIRECT(_xlfn.CONCAT("D",$Q69))</f>
        <v>search</v>
      </c>
      <c r="O69" cm="1">
        <f t="array" aca="1" ref="O69" ca="1">INDIRECT(_xlfn.CONCAT("E",$Q69))</f>
        <v>2545</v>
      </c>
      <c r="Q69">
        <v>87</v>
      </c>
    </row>
    <row r="70" spans="1:17">
      <c r="A70" t="s">
        <v>97</v>
      </c>
      <c r="B70" t="s">
        <v>8</v>
      </c>
      <c r="C70">
        <v>14</v>
      </c>
      <c r="D70" t="s">
        <v>101</v>
      </c>
      <c r="E70">
        <v>420</v>
      </c>
      <c r="K70" t="str" cm="1">
        <f t="array" aca="1" ref="K70" ca="1">INDIRECT(_xlfn.CONCAT("A",$Q70))</f>
        <v>connection_phase</v>
      </c>
      <c r="L70" t="str" cm="1">
        <f t="array" aca="1" ref="L70" ca="1">INDIRECT(_xlfn.CONCAT("B",$Q70))</f>
        <v>PVA</v>
      </c>
      <c r="M70" cm="1">
        <f t="array" aca="1" ref="M70" ca="1">INDIRECT(_xlfn.CONCAT("C",$Q70))</f>
        <v>19</v>
      </c>
      <c r="N70" t="str" cm="1">
        <f t="array" aca="1" ref="N70" ca="1">INDIRECT(_xlfn.CONCAT("D",$Q70))</f>
        <v>search</v>
      </c>
      <c r="O70" cm="1">
        <f t="array" aca="1" ref="O70" ca="1">INDIRECT(_xlfn.CONCAT("E",$Q70))</f>
        <v>2861</v>
      </c>
      <c r="Q70">
        <v>92</v>
      </c>
    </row>
    <row r="71" spans="1:17">
      <c r="A71" t="s">
        <v>97</v>
      </c>
      <c r="B71" t="s">
        <v>8</v>
      </c>
      <c r="C71">
        <v>14</v>
      </c>
      <c r="D71" t="s">
        <v>102</v>
      </c>
      <c r="E71">
        <v>2494</v>
      </c>
      <c r="K71" t="str" cm="1">
        <f t="array" aca="1" ref="K71" ca="1">INDIRECT(_xlfn.CONCAT("A",$Q71))</f>
        <v>connection_phase</v>
      </c>
      <c r="L71" t="str" cm="1">
        <f t="array" aca="1" ref="L71" ca="1">INDIRECT(_xlfn.CONCAT("B",$Q71))</f>
        <v>PVA</v>
      </c>
      <c r="M71" cm="1">
        <f t="array" aca="1" ref="M71" ca="1">INDIRECT(_xlfn.CONCAT("C",$Q71))</f>
        <v>20</v>
      </c>
      <c r="N71" t="str" cm="1">
        <f t="array" aca="1" ref="N71" ca="1">INDIRECT(_xlfn.CONCAT("D",$Q71))</f>
        <v>search</v>
      </c>
      <c r="O71" cm="1">
        <f t="array" aca="1" ref="O71" ca="1">INDIRECT(_xlfn.CONCAT("E",$Q71))</f>
        <v>3878</v>
      </c>
      <c r="Q71">
        <v>97</v>
      </c>
    </row>
    <row r="72" spans="1:17">
      <c r="A72" t="s">
        <v>97</v>
      </c>
      <c r="B72" t="s">
        <v>8</v>
      </c>
      <c r="C72">
        <v>15</v>
      </c>
      <c r="D72" t="s">
        <v>98</v>
      </c>
      <c r="E72">
        <v>10729</v>
      </c>
      <c r="K72" t="str" cm="1">
        <f t="array" aca="1" ref="K72" ca="1">INDIRECT(_xlfn.CONCAT("A",$Q72))</f>
        <v>connection_phase</v>
      </c>
      <c r="L72" t="str" cm="1">
        <f t="array" aca="1" ref="L72" ca="1">INDIRECT(_xlfn.CONCAT("B",$Q72))</f>
        <v>PVA</v>
      </c>
      <c r="M72" cm="1">
        <f t="array" aca="1" ref="M72" ca="1">INDIRECT(_xlfn.CONCAT("C",$Q72))</f>
        <v>21</v>
      </c>
      <c r="N72" t="str" cm="1">
        <f t="array" aca="1" ref="N72" ca="1">INDIRECT(_xlfn.CONCAT("D",$Q72))</f>
        <v>search</v>
      </c>
      <c r="O72" cm="1">
        <f t="array" aca="1" ref="O72" ca="1">INDIRECT(_xlfn.CONCAT("E",$Q72))</f>
        <v>1569</v>
      </c>
      <c r="Q72">
        <v>102</v>
      </c>
    </row>
    <row r="73" spans="1:17">
      <c r="A73" t="s">
        <v>97</v>
      </c>
      <c r="B73" t="s">
        <v>8</v>
      </c>
      <c r="C73">
        <v>15</v>
      </c>
      <c r="D73" t="s">
        <v>99</v>
      </c>
      <c r="E73">
        <v>734</v>
      </c>
      <c r="K73" t="str" cm="1">
        <f t="array" aca="1" ref="K73" ca="1">INDIRECT(_xlfn.CONCAT("A",$Q73))</f>
        <v>connection_phase</v>
      </c>
      <c r="L73" t="str" cm="1">
        <f t="array" aca="1" ref="L73" ca="1">INDIRECT(_xlfn.CONCAT("B",$Q73))</f>
        <v>PVA</v>
      </c>
      <c r="M73" cm="1">
        <f t="array" aca="1" ref="M73" ca="1">INDIRECT(_xlfn.CONCAT("C",$Q73))</f>
        <v>22</v>
      </c>
      <c r="N73" t="str" cm="1">
        <f t="array" aca="1" ref="N73" ca="1">INDIRECT(_xlfn.CONCAT("D",$Q73))</f>
        <v>search</v>
      </c>
      <c r="O73" cm="1">
        <f t="array" aca="1" ref="O73" ca="1">INDIRECT(_xlfn.CONCAT("E",$Q73))</f>
        <v>3103</v>
      </c>
      <c r="Q73">
        <v>107</v>
      </c>
    </row>
    <row r="74" spans="1:17">
      <c r="A74" t="s">
        <v>97</v>
      </c>
      <c r="B74" t="s">
        <v>8</v>
      </c>
      <c r="C74">
        <v>15</v>
      </c>
      <c r="D74" t="s">
        <v>100</v>
      </c>
      <c r="E74">
        <v>989</v>
      </c>
      <c r="K74" t="str" cm="1">
        <f t="array" aca="1" ref="K74" ca="1">INDIRECT(_xlfn.CONCAT("A",$Q74))</f>
        <v>connection_phase</v>
      </c>
      <c r="L74" t="str" cm="1">
        <f t="array" aca="1" ref="L74" ca="1">INDIRECT(_xlfn.CONCAT("B",$Q74))</f>
        <v>PVA</v>
      </c>
      <c r="M74" cm="1">
        <f t="array" aca="1" ref="M74" ca="1">INDIRECT(_xlfn.CONCAT("C",$Q74))</f>
        <v>23</v>
      </c>
      <c r="N74" t="str" cm="1">
        <f t="array" aca="1" ref="N74" ca="1">INDIRECT(_xlfn.CONCAT("D",$Q74))</f>
        <v>search</v>
      </c>
      <c r="O74" cm="1">
        <f t="array" aca="1" ref="O74" ca="1">INDIRECT(_xlfn.CONCAT("E",$Q74))</f>
        <v>6563</v>
      </c>
      <c r="Q74">
        <v>112</v>
      </c>
    </row>
    <row r="75" spans="1:17">
      <c r="A75" t="s">
        <v>97</v>
      </c>
      <c r="B75" t="s">
        <v>8</v>
      </c>
      <c r="C75">
        <v>15</v>
      </c>
      <c r="D75" t="s">
        <v>101</v>
      </c>
      <c r="E75">
        <v>831</v>
      </c>
      <c r="K75" t="str" cm="1">
        <f t="array" aca="1" ref="K75" ca="1">INDIRECT(_xlfn.CONCAT("A",$Q75))</f>
        <v>connection_phase</v>
      </c>
      <c r="L75" t="str" cm="1">
        <f t="array" aca="1" ref="L75" ca="1">INDIRECT(_xlfn.CONCAT("B",$Q75))</f>
        <v>PVA</v>
      </c>
      <c r="M75" cm="1">
        <f t="array" aca="1" ref="M75" ca="1">INDIRECT(_xlfn.CONCAT("C",$Q75))</f>
        <v>24</v>
      </c>
      <c r="N75" t="str" cm="1">
        <f t="array" aca="1" ref="N75" ca="1">INDIRECT(_xlfn.CONCAT("D",$Q75))</f>
        <v>search</v>
      </c>
      <c r="O75" cm="1">
        <f t="array" aca="1" ref="O75" ca="1">INDIRECT(_xlfn.CONCAT("E",$Q75))</f>
        <v>2108</v>
      </c>
      <c r="Q75">
        <v>117</v>
      </c>
    </row>
    <row r="76" spans="1:17">
      <c r="A76" t="s">
        <v>97</v>
      </c>
      <c r="B76" t="s">
        <v>8</v>
      </c>
      <c r="C76">
        <v>15</v>
      </c>
      <c r="D76" t="s">
        <v>102</v>
      </c>
      <c r="E76">
        <v>13283</v>
      </c>
      <c r="K76" t="str" cm="1">
        <f t="array" aca="1" ref="K76" ca="1">INDIRECT(_xlfn.CONCAT("A",$Q76))</f>
        <v>connection_phase</v>
      </c>
      <c r="L76" t="str" cm="1">
        <f t="array" aca="1" ref="L76" ca="1">INDIRECT(_xlfn.CONCAT("B",$Q76))</f>
        <v>PVA</v>
      </c>
      <c r="M76" cm="1">
        <f t="array" aca="1" ref="M76" ca="1">INDIRECT(_xlfn.CONCAT("C",$Q76))</f>
        <v>25</v>
      </c>
      <c r="N76" t="str" cm="1">
        <f t="array" aca="1" ref="N76" ca="1">INDIRECT(_xlfn.CONCAT("D",$Q76))</f>
        <v>search</v>
      </c>
      <c r="O76" cm="1">
        <f t="array" aca="1" ref="O76" ca="1">INDIRECT(_xlfn.CONCAT("E",$Q76))</f>
        <v>1670</v>
      </c>
      <c r="Q76">
        <v>122</v>
      </c>
    </row>
    <row r="77" spans="1:17">
      <c r="A77" t="s">
        <v>97</v>
      </c>
      <c r="B77" t="s">
        <v>8</v>
      </c>
      <c r="C77">
        <v>16</v>
      </c>
      <c r="D77" t="s">
        <v>98</v>
      </c>
      <c r="E77">
        <v>3554</v>
      </c>
      <c r="K77" t="str" cm="1">
        <f t="array" aca="1" ref="K77" ca="1">INDIRECT(_xlfn.CONCAT("A",$Q77))</f>
        <v>connection_phase</v>
      </c>
      <c r="L77" t="str" cm="1">
        <f t="array" aca="1" ref="L77" ca="1">INDIRECT(_xlfn.CONCAT("B",$Q77))</f>
        <v>PVA</v>
      </c>
      <c r="M77" cm="1">
        <f t="array" aca="1" ref="M77" ca="1">INDIRECT(_xlfn.CONCAT("C",$Q77))</f>
        <v>26</v>
      </c>
      <c r="N77" t="str" cm="1">
        <f t="array" aca="1" ref="N77" ca="1">INDIRECT(_xlfn.CONCAT("D",$Q77))</f>
        <v>search</v>
      </c>
      <c r="O77" cm="1">
        <f t="array" aca="1" ref="O77" ca="1">INDIRECT(_xlfn.CONCAT("E",$Q77))</f>
        <v>1900</v>
      </c>
      <c r="Q77">
        <v>127</v>
      </c>
    </row>
    <row r="78" spans="1:17">
      <c r="A78" t="s">
        <v>97</v>
      </c>
      <c r="B78" t="s">
        <v>8</v>
      </c>
      <c r="C78">
        <v>16</v>
      </c>
      <c r="D78" t="s">
        <v>99</v>
      </c>
      <c r="E78">
        <v>119</v>
      </c>
      <c r="K78" t="str" cm="1">
        <f t="array" aca="1" ref="K78" ca="1">INDIRECT(_xlfn.CONCAT("A",$Q78))</f>
        <v>connection_phase</v>
      </c>
      <c r="L78" t="str" cm="1">
        <f t="array" aca="1" ref="L78" ca="1">INDIRECT(_xlfn.CONCAT("B",$Q78))</f>
        <v>PVA</v>
      </c>
      <c r="M78" cm="1">
        <f t="array" aca="1" ref="M78" ca="1">INDIRECT(_xlfn.CONCAT("C",$Q78))</f>
        <v>27</v>
      </c>
      <c r="N78" t="str" cm="1">
        <f t="array" aca="1" ref="N78" ca="1">INDIRECT(_xlfn.CONCAT("D",$Q78))</f>
        <v>search</v>
      </c>
      <c r="O78" cm="1">
        <f t="array" aca="1" ref="O78" ca="1">INDIRECT(_xlfn.CONCAT("E",$Q78))</f>
        <v>1695</v>
      </c>
      <c r="Q78">
        <v>132</v>
      </c>
    </row>
    <row r="79" spans="1:17">
      <c r="A79" t="s">
        <v>97</v>
      </c>
      <c r="B79" t="s">
        <v>8</v>
      </c>
      <c r="C79">
        <v>16</v>
      </c>
      <c r="D79" t="s">
        <v>100</v>
      </c>
      <c r="E79">
        <v>336</v>
      </c>
      <c r="K79" t="str" cm="1">
        <f t="array" aca="1" ref="K79" ca="1">INDIRECT(_xlfn.CONCAT("A",$Q79))</f>
        <v>connection_phase</v>
      </c>
      <c r="L79" t="str" cm="1">
        <f t="array" aca="1" ref="L79" ca="1">INDIRECT(_xlfn.CONCAT("B",$Q79))</f>
        <v>PVA</v>
      </c>
      <c r="M79" cm="1">
        <f t="array" aca="1" ref="M79" ca="1">INDIRECT(_xlfn.CONCAT("C",$Q79))</f>
        <v>28</v>
      </c>
      <c r="N79" t="str" cm="1">
        <f t="array" aca="1" ref="N79" ca="1">INDIRECT(_xlfn.CONCAT("D",$Q79))</f>
        <v>search</v>
      </c>
      <c r="O79" cm="1">
        <f t="array" aca="1" ref="O79" ca="1">INDIRECT(_xlfn.CONCAT("E",$Q79))</f>
        <v>2973</v>
      </c>
      <c r="Q79">
        <v>137</v>
      </c>
    </row>
    <row r="80" spans="1:17">
      <c r="A80" t="s">
        <v>97</v>
      </c>
      <c r="B80" t="s">
        <v>8</v>
      </c>
      <c r="C80">
        <v>16</v>
      </c>
      <c r="D80" t="s">
        <v>101</v>
      </c>
      <c r="E80">
        <v>909</v>
      </c>
      <c r="K80" t="str" cm="1">
        <f t="array" aca="1" ref="K80" ca="1">INDIRECT(_xlfn.CONCAT("A",$Q80))</f>
        <v>connection_phase</v>
      </c>
      <c r="L80" t="str" cm="1">
        <f t="array" aca="1" ref="L80" ca="1">INDIRECT(_xlfn.CONCAT("B",$Q80))</f>
        <v>PVA</v>
      </c>
      <c r="M80" cm="1">
        <f t="array" aca="1" ref="M80" ca="1">INDIRECT(_xlfn.CONCAT("C",$Q80))</f>
        <v>29</v>
      </c>
      <c r="N80" t="str" cm="1">
        <f t="array" aca="1" ref="N80" ca="1">INDIRECT(_xlfn.CONCAT("D",$Q80))</f>
        <v>search</v>
      </c>
      <c r="O80" cm="1">
        <f t="array" aca="1" ref="O80" ca="1">INDIRECT(_xlfn.CONCAT("E",$Q80))</f>
        <v>2157</v>
      </c>
      <c r="Q80">
        <v>142</v>
      </c>
    </row>
    <row r="81" spans="1:17">
      <c r="A81" t="s">
        <v>97</v>
      </c>
      <c r="B81" t="s">
        <v>8</v>
      </c>
      <c r="C81">
        <v>16</v>
      </c>
      <c r="D81" t="s">
        <v>102</v>
      </c>
      <c r="E81">
        <v>4918</v>
      </c>
      <c r="K81" t="str" cm="1">
        <f t="array" aca="1" ref="K81" ca="1">INDIRECT(_xlfn.CONCAT("A",$Q81))</f>
        <v>connection_phase</v>
      </c>
      <c r="L81" t="str" cm="1">
        <f t="array" aca="1" ref="L81" ca="1">INDIRECT(_xlfn.CONCAT("B",$Q81))</f>
        <v>PVA</v>
      </c>
      <c r="M81" cm="1">
        <f t="array" aca="1" ref="M81" ca="1">INDIRECT(_xlfn.CONCAT("C",$Q81))</f>
        <v>30</v>
      </c>
      <c r="N81" t="str" cm="1">
        <f t="array" aca="1" ref="N81" ca="1">INDIRECT(_xlfn.CONCAT("D",$Q81))</f>
        <v>search</v>
      </c>
      <c r="O81" cm="1">
        <f t="array" aca="1" ref="O81" ca="1">INDIRECT(_xlfn.CONCAT("E",$Q81))</f>
        <v>2460</v>
      </c>
      <c r="Q81">
        <v>147</v>
      </c>
    </row>
    <row r="82" spans="1:17">
      <c r="A82" t="s">
        <v>97</v>
      </c>
      <c r="B82" t="s">
        <v>8</v>
      </c>
      <c r="C82">
        <v>17</v>
      </c>
      <c r="D82" t="s">
        <v>98</v>
      </c>
      <c r="E82">
        <v>2737</v>
      </c>
      <c r="K82" t="str" cm="1">
        <f t="array" aca="1" ref="K82" ca="1">INDIRECT(_xlfn.CONCAT("A",$Q82))</f>
        <v>connection_phase</v>
      </c>
      <c r="L82" t="str" cm="1">
        <f t="array" aca="1" ref="L82" ca="1">INDIRECT(_xlfn.CONCAT("B",$Q82))</f>
        <v>PVA</v>
      </c>
      <c r="M82" cm="1">
        <f t="array" aca="1" ref="M82" ca="1">INDIRECT(_xlfn.CONCAT("C",$Q82))</f>
        <v>31</v>
      </c>
      <c r="N82" t="str" cm="1">
        <f t="array" aca="1" ref="N82" ca="1">INDIRECT(_xlfn.CONCAT("D",$Q82))</f>
        <v>search</v>
      </c>
      <c r="O82" cm="1">
        <f t="array" aca="1" ref="O82" ca="1">INDIRECT(_xlfn.CONCAT("E",$Q82))</f>
        <v>2437</v>
      </c>
      <c r="Q82">
        <v>152</v>
      </c>
    </row>
    <row r="83" spans="1:17">
      <c r="A83" t="s">
        <v>97</v>
      </c>
      <c r="B83" t="s">
        <v>8</v>
      </c>
      <c r="C83">
        <v>17</v>
      </c>
      <c r="D83" t="s">
        <v>99</v>
      </c>
      <c r="E83">
        <v>63</v>
      </c>
      <c r="K83" t="str" cm="1">
        <f t="array" aca="1" ref="K83" ca="1">INDIRECT(_xlfn.CONCAT("A",$Q83))</f>
        <v>connection_phase</v>
      </c>
      <c r="L83" t="str" cm="1">
        <f t="array" aca="1" ref="L83" ca="1">INDIRECT(_xlfn.CONCAT("B",$Q83))</f>
        <v>PVA</v>
      </c>
      <c r="M83" cm="1">
        <f t="array" aca="1" ref="M83" ca="1">INDIRECT(_xlfn.CONCAT("C",$Q83))</f>
        <v>32</v>
      </c>
      <c r="N83" t="str" cm="1">
        <f t="array" aca="1" ref="N83" ca="1">INDIRECT(_xlfn.CONCAT("D",$Q83))</f>
        <v>search</v>
      </c>
      <c r="O83" cm="1">
        <f t="array" aca="1" ref="O83" ca="1">INDIRECT(_xlfn.CONCAT("E",$Q83))</f>
        <v>1979</v>
      </c>
      <c r="Q83">
        <v>157</v>
      </c>
    </row>
    <row r="84" spans="1:17">
      <c r="A84" t="s">
        <v>97</v>
      </c>
      <c r="B84" t="s">
        <v>8</v>
      </c>
      <c r="C84">
        <v>17</v>
      </c>
      <c r="D84" t="s">
        <v>100</v>
      </c>
      <c r="E84">
        <v>96</v>
      </c>
      <c r="K84" t="str" cm="1">
        <f t="array" aca="1" ref="K84" ca="1">INDIRECT(_xlfn.CONCAT("A",$Q84))</f>
        <v>connection_phase</v>
      </c>
      <c r="L84" t="str" cm="1">
        <f t="array" aca="1" ref="L84" ca="1">INDIRECT(_xlfn.CONCAT("B",$Q84))</f>
        <v>PVA</v>
      </c>
      <c r="M84" cm="1">
        <f t="array" aca="1" ref="M84" ca="1">INDIRECT(_xlfn.CONCAT("C",$Q84))</f>
        <v>33</v>
      </c>
      <c r="N84" t="str" cm="1">
        <f t="array" aca="1" ref="N84" ca="1">INDIRECT(_xlfn.CONCAT("D",$Q84))</f>
        <v>search</v>
      </c>
      <c r="O84" cm="1">
        <f t="array" aca="1" ref="O84" ca="1">INDIRECT(_xlfn.CONCAT("E",$Q84))</f>
        <v>3372</v>
      </c>
      <c r="Q84">
        <v>162</v>
      </c>
    </row>
    <row r="85" spans="1:17">
      <c r="A85" t="s">
        <v>97</v>
      </c>
      <c r="B85" t="s">
        <v>8</v>
      </c>
      <c r="C85">
        <v>17</v>
      </c>
      <c r="D85" t="s">
        <v>101</v>
      </c>
      <c r="E85">
        <v>369</v>
      </c>
      <c r="K85" t="str" cm="1">
        <f t="array" aca="1" ref="K85" ca="1">INDIRECT(_xlfn.CONCAT("A",$Q85))</f>
        <v>connection_phase</v>
      </c>
      <c r="L85" t="str" cm="1">
        <f t="array" aca="1" ref="L85" ca="1">INDIRECT(_xlfn.CONCAT("B",$Q85))</f>
        <v>PVA</v>
      </c>
      <c r="M85" cm="1">
        <f t="array" aca="1" ref="M85" ca="1">INDIRECT(_xlfn.CONCAT("C",$Q85))</f>
        <v>34</v>
      </c>
      <c r="N85" t="str" cm="1">
        <f t="array" aca="1" ref="N85" ca="1">INDIRECT(_xlfn.CONCAT("D",$Q85))</f>
        <v>search</v>
      </c>
      <c r="O85" cm="1">
        <f t="array" aca="1" ref="O85" ca="1">INDIRECT(_xlfn.CONCAT("E",$Q85))</f>
        <v>2269</v>
      </c>
      <c r="Q85">
        <v>167</v>
      </c>
    </row>
    <row r="86" spans="1:17">
      <c r="A86" t="s">
        <v>97</v>
      </c>
      <c r="B86" t="s">
        <v>8</v>
      </c>
      <c r="C86">
        <v>17</v>
      </c>
      <c r="D86" t="s">
        <v>102</v>
      </c>
      <c r="E86">
        <v>3265</v>
      </c>
      <c r="K86" t="str" cm="1">
        <f t="array" aca="1" ref="K86" ca="1">INDIRECT(_xlfn.CONCAT("A",$Q86))</f>
        <v>connection_phase</v>
      </c>
      <c r="L86" t="str" cm="1">
        <f t="array" aca="1" ref="L86" ca="1">INDIRECT(_xlfn.CONCAT("B",$Q86))</f>
        <v>PVA</v>
      </c>
      <c r="M86" cm="1">
        <f t="array" aca="1" ref="M86" ca="1">INDIRECT(_xlfn.CONCAT("C",$Q86))</f>
        <v>35</v>
      </c>
      <c r="N86" t="str" cm="1">
        <f t="array" aca="1" ref="N86" ca="1">INDIRECT(_xlfn.CONCAT("D",$Q86))</f>
        <v>search</v>
      </c>
      <c r="O86" cm="1">
        <f t="array" aca="1" ref="O86" ca="1">INDIRECT(_xlfn.CONCAT("E",$Q86))</f>
        <v>1557</v>
      </c>
      <c r="Q86">
        <v>172</v>
      </c>
    </row>
    <row r="87" spans="1:17">
      <c r="A87" t="s">
        <v>97</v>
      </c>
      <c r="B87" t="s">
        <v>8</v>
      </c>
      <c r="C87">
        <v>18</v>
      </c>
      <c r="D87" t="s">
        <v>98</v>
      </c>
      <c r="E87">
        <v>2545</v>
      </c>
      <c r="K87" t="str" cm="1">
        <f t="array" aca="1" ref="K87" ca="1">INDIRECT(_xlfn.CONCAT("A",$Q87))</f>
        <v>connection_phase</v>
      </c>
      <c r="L87" t="str" cm="1">
        <f t="array" aca="1" ref="L87" ca="1">INDIRECT(_xlfn.CONCAT("B",$Q87))</f>
        <v>PVA</v>
      </c>
      <c r="M87" cm="1">
        <f t="array" aca="1" ref="M87" ca="1">INDIRECT(_xlfn.CONCAT("C",$Q87))</f>
        <v>36</v>
      </c>
      <c r="N87" t="str" cm="1">
        <f t="array" aca="1" ref="N87" ca="1">INDIRECT(_xlfn.CONCAT("D",$Q87))</f>
        <v>search</v>
      </c>
      <c r="O87" cm="1">
        <f t="array" aca="1" ref="O87" ca="1">INDIRECT(_xlfn.CONCAT("E",$Q87))</f>
        <v>1800</v>
      </c>
      <c r="Q87">
        <v>177</v>
      </c>
    </row>
    <row r="88" spans="1:17">
      <c r="A88" t="s">
        <v>97</v>
      </c>
      <c r="B88" t="s">
        <v>8</v>
      </c>
      <c r="C88">
        <v>18</v>
      </c>
      <c r="D88" t="s">
        <v>99</v>
      </c>
      <c r="E88">
        <v>71</v>
      </c>
      <c r="K88" t="str" cm="1">
        <f t="array" aca="1" ref="K88" ca="1">INDIRECT(_xlfn.CONCAT("A",$Q88))</f>
        <v>connection_phase</v>
      </c>
      <c r="L88" t="str" cm="1">
        <f t="array" aca="1" ref="L88" ca="1">INDIRECT(_xlfn.CONCAT("B",$Q88))</f>
        <v>PVA</v>
      </c>
      <c r="M88" cm="1">
        <f t="array" aca="1" ref="M88" ca="1">INDIRECT(_xlfn.CONCAT("C",$Q88))</f>
        <v>37</v>
      </c>
      <c r="N88" t="str" cm="1">
        <f t="array" aca="1" ref="N88" ca="1">INDIRECT(_xlfn.CONCAT("D",$Q88))</f>
        <v>search</v>
      </c>
      <c r="O88" cm="1">
        <f t="array" aca="1" ref="O88" ca="1">INDIRECT(_xlfn.CONCAT("E",$Q88))</f>
        <v>1953</v>
      </c>
      <c r="Q88">
        <v>182</v>
      </c>
    </row>
    <row r="89" spans="1:17">
      <c r="A89" t="s">
        <v>97</v>
      </c>
      <c r="B89" t="s">
        <v>8</v>
      </c>
      <c r="C89">
        <v>18</v>
      </c>
      <c r="D89" t="s">
        <v>100</v>
      </c>
      <c r="E89">
        <v>233</v>
      </c>
      <c r="K89" t="str" cm="1">
        <f t="array" aca="1" ref="K89" ca="1">INDIRECT(_xlfn.CONCAT("A",$Q89))</f>
        <v>connection_phase</v>
      </c>
      <c r="L89" t="str" cm="1">
        <f t="array" aca="1" ref="L89" ca="1">INDIRECT(_xlfn.CONCAT("B",$Q89))</f>
        <v>PVA</v>
      </c>
      <c r="M89" cm="1">
        <f t="array" aca="1" ref="M89" ca="1">INDIRECT(_xlfn.CONCAT("C",$Q89))</f>
        <v>38</v>
      </c>
      <c r="N89" t="str" cm="1">
        <f t="array" aca="1" ref="N89" ca="1">INDIRECT(_xlfn.CONCAT("D",$Q89))</f>
        <v>search</v>
      </c>
      <c r="O89" cm="1">
        <f t="array" aca="1" ref="O89" ca="1">INDIRECT(_xlfn.CONCAT("E",$Q89))</f>
        <v>3385</v>
      </c>
      <c r="Q89">
        <v>187</v>
      </c>
    </row>
    <row r="90" spans="1:17">
      <c r="A90" t="s">
        <v>97</v>
      </c>
      <c r="B90" t="s">
        <v>8</v>
      </c>
      <c r="C90">
        <v>18</v>
      </c>
      <c r="D90" t="s">
        <v>101</v>
      </c>
      <c r="E90">
        <v>359</v>
      </c>
      <c r="K90" t="str" cm="1">
        <f t="array" aca="1" ref="K90" ca="1">INDIRECT(_xlfn.CONCAT("A",$Q90))</f>
        <v>connection_phase</v>
      </c>
      <c r="L90" t="str" cm="1">
        <f t="array" aca="1" ref="L90" ca="1">INDIRECT(_xlfn.CONCAT("B",$Q90))</f>
        <v>PVA</v>
      </c>
      <c r="M90" cm="1">
        <f t="array" aca="1" ref="M90" ca="1">INDIRECT(_xlfn.CONCAT("C",$Q90))</f>
        <v>39</v>
      </c>
      <c r="N90" t="str" cm="1">
        <f t="array" aca="1" ref="N90" ca="1">INDIRECT(_xlfn.CONCAT("D",$Q90))</f>
        <v>search</v>
      </c>
      <c r="O90" cm="1">
        <f t="array" aca="1" ref="O90" ca="1">INDIRECT(_xlfn.CONCAT("E",$Q90))</f>
        <v>10526</v>
      </c>
      <c r="Q90">
        <v>192</v>
      </c>
    </row>
    <row r="91" spans="1:17">
      <c r="A91" t="s">
        <v>97</v>
      </c>
      <c r="B91" t="s">
        <v>8</v>
      </c>
      <c r="C91">
        <v>18</v>
      </c>
      <c r="D91" t="s">
        <v>102</v>
      </c>
      <c r="E91">
        <v>3208</v>
      </c>
      <c r="K91" t="str" cm="1">
        <f t="array" aca="1" ref="K91" ca="1">INDIRECT(_xlfn.CONCAT("A",$Q91))</f>
        <v>connection_phase</v>
      </c>
      <c r="L91" t="str" cm="1">
        <f t="array" aca="1" ref="L91" ca="1">INDIRECT(_xlfn.CONCAT("B",$Q91))</f>
        <v>PVA</v>
      </c>
      <c r="M91" cm="1">
        <f t="array" aca="1" ref="M91" ca="1">INDIRECT(_xlfn.CONCAT("C",$Q91))</f>
        <v>40</v>
      </c>
      <c r="N91" t="str" cm="1">
        <f t="array" aca="1" ref="N91" ca="1">INDIRECT(_xlfn.CONCAT("D",$Q91))</f>
        <v>search</v>
      </c>
      <c r="O91" cm="1">
        <f t="array" aca="1" ref="O91" ca="1">INDIRECT(_xlfn.CONCAT("E",$Q91))</f>
        <v>2022</v>
      </c>
      <c r="Q91">
        <v>197</v>
      </c>
    </row>
    <row r="92" spans="1:17">
      <c r="A92" t="s">
        <v>97</v>
      </c>
      <c r="B92" t="s">
        <v>8</v>
      </c>
      <c r="C92">
        <v>19</v>
      </c>
      <c r="D92" t="s">
        <v>98</v>
      </c>
      <c r="E92">
        <v>2861</v>
      </c>
      <c r="K92" t="str" cm="1">
        <f t="array" aca="1" ref="K92" ca="1">INDIRECT(_xlfn.CONCAT("A",$Q92))</f>
        <v>connection_phase</v>
      </c>
      <c r="L92" t="str" cm="1">
        <f t="array" aca="1" ref="L92" ca="1">INDIRECT(_xlfn.CONCAT("B",$Q92))</f>
        <v>PVA</v>
      </c>
      <c r="M92" cm="1">
        <f t="array" aca="1" ref="M92" ca="1">INDIRECT(_xlfn.CONCAT("C",$Q92))</f>
        <v>41</v>
      </c>
      <c r="N92" t="str" cm="1">
        <f t="array" aca="1" ref="N92" ca="1">INDIRECT(_xlfn.CONCAT("D",$Q92))</f>
        <v>search</v>
      </c>
      <c r="O92" cm="1">
        <f t="array" aca="1" ref="O92" ca="1">INDIRECT(_xlfn.CONCAT("E",$Q92))</f>
        <v>2110</v>
      </c>
      <c r="Q92">
        <v>202</v>
      </c>
    </row>
    <row r="93" spans="1:17">
      <c r="A93" t="s">
        <v>97</v>
      </c>
      <c r="B93" t="s">
        <v>8</v>
      </c>
      <c r="C93">
        <v>19</v>
      </c>
      <c r="D93" t="s">
        <v>99</v>
      </c>
      <c r="E93">
        <v>111</v>
      </c>
      <c r="K93" t="str" cm="1">
        <f t="array" aca="1" ref="K93" ca="1">INDIRECT(_xlfn.CONCAT("A",$Q93))</f>
        <v>connection_phase</v>
      </c>
      <c r="L93" t="str" cm="1">
        <f t="array" aca="1" ref="L93" ca="1">INDIRECT(_xlfn.CONCAT("B",$Q93))</f>
        <v>PVA</v>
      </c>
      <c r="M93" cm="1">
        <f t="array" aca="1" ref="M93" ca="1">INDIRECT(_xlfn.CONCAT("C",$Q93))</f>
        <v>42</v>
      </c>
      <c r="N93" t="str" cm="1">
        <f t="array" aca="1" ref="N93" ca="1">INDIRECT(_xlfn.CONCAT("D",$Q93))</f>
        <v>search</v>
      </c>
      <c r="O93" cm="1">
        <f t="array" aca="1" ref="O93" ca="1">INDIRECT(_xlfn.CONCAT("E",$Q93))</f>
        <v>11200</v>
      </c>
      <c r="Q93">
        <v>207</v>
      </c>
    </row>
    <row r="94" spans="1:17">
      <c r="A94" t="s">
        <v>97</v>
      </c>
      <c r="B94" t="s">
        <v>8</v>
      </c>
      <c r="C94">
        <v>19</v>
      </c>
      <c r="D94" t="s">
        <v>100</v>
      </c>
      <c r="E94">
        <v>532</v>
      </c>
      <c r="K94" t="str" cm="1">
        <f t="array" aca="1" ref="K94" ca="1">INDIRECT(_xlfn.CONCAT("A",$Q94))</f>
        <v>connection_phase</v>
      </c>
      <c r="L94" t="str" cm="1">
        <f t="array" aca="1" ref="L94" ca="1">INDIRECT(_xlfn.CONCAT("B",$Q94))</f>
        <v>PVA</v>
      </c>
      <c r="M94" cm="1">
        <f t="array" aca="1" ref="M94" ca="1">INDIRECT(_xlfn.CONCAT("C",$Q94))</f>
        <v>43</v>
      </c>
      <c r="N94" t="str" cm="1">
        <f t="array" aca="1" ref="N94" ca="1">INDIRECT(_xlfn.CONCAT("D",$Q94))</f>
        <v>search</v>
      </c>
      <c r="O94" cm="1">
        <f t="array" aca="1" ref="O94" ca="1">INDIRECT(_xlfn.CONCAT("E",$Q94))</f>
        <v>1699</v>
      </c>
      <c r="Q94">
        <v>212</v>
      </c>
    </row>
    <row r="95" spans="1:17">
      <c r="A95" t="s">
        <v>97</v>
      </c>
      <c r="B95" t="s">
        <v>8</v>
      </c>
      <c r="C95">
        <v>19</v>
      </c>
      <c r="D95" t="s">
        <v>101</v>
      </c>
      <c r="E95">
        <v>532</v>
      </c>
      <c r="K95" t="str" cm="1">
        <f t="array" aca="1" ref="K95" ca="1">INDIRECT(_xlfn.CONCAT("A",$Q95))</f>
        <v>connection_phase</v>
      </c>
      <c r="L95" t="str" cm="1">
        <f t="array" aca="1" ref="L95" ca="1">INDIRECT(_xlfn.CONCAT("B",$Q95))</f>
        <v>PVA</v>
      </c>
      <c r="M95" cm="1">
        <f t="array" aca="1" ref="M95" ca="1">INDIRECT(_xlfn.CONCAT("C",$Q95))</f>
        <v>44</v>
      </c>
      <c r="N95" t="str" cm="1">
        <f t="array" aca="1" ref="N95" ca="1">INDIRECT(_xlfn.CONCAT("D",$Q95))</f>
        <v>search</v>
      </c>
      <c r="O95" cm="1">
        <f t="array" aca="1" ref="O95" ca="1">INDIRECT(_xlfn.CONCAT("E",$Q95))</f>
        <v>1680</v>
      </c>
      <c r="Q95">
        <v>217</v>
      </c>
    </row>
    <row r="96" spans="1:17">
      <c r="A96" t="s">
        <v>97</v>
      </c>
      <c r="B96" t="s">
        <v>8</v>
      </c>
      <c r="C96">
        <v>19</v>
      </c>
      <c r="D96" t="s">
        <v>102</v>
      </c>
      <c r="E96">
        <v>4036</v>
      </c>
      <c r="K96" t="str" cm="1">
        <f t="array" aca="1" ref="K96" ca="1">INDIRECT(_xlfn.CONCAT("A",$Q96))</f>
        <v>connection_phase</v>
      </c>
      <c r="L96" t="str" cm="1">
        <f t="array" aca="1" ref="L96" ca="1">INDIRECT(_xlfn.CONCAT("B",$Q96))</f>
        <v>PVA</v>
      </c>
      <c r="M96" cm="1">
        <f t="array" aca="1" ref="M96" ca="1">INDIRECT(_xlfn.CONCAT("C",$Q96))</f>
        <v>45</v>
      </c>
      <c r="N96" t="str" cm="1">
        <f t="array" aca="1" ref="N96" ca="1">INDIRECT(_xlfn.CONCAT("D",$Q96))</f>
        <v>search</v>
      </c>
      <c r="O96" cm="1">
        <f t="array" aca="1" ref="O96" ca="1">INDIRECT(_xlfn.CONCAT("E",$Q96))</f>
        <v>1695</v>
      </c>
      <c r="Q96">
        <v>222</v>
      </c>
    </row>
    <row r="97" spans="1:17">
      <c r="A97" t="s">
        <v>97</v>
      </c>
      <c r="B97" t="s">
        <v>8</v>
      </c>
      <c r="C97">
        <v>20</v>
      </c>
      <c r="D97" t="s">
        <v>98</v>
      </c>
      <c r="E97">
        <v>3878</v>
      </c>
      <c r="K97" t="str" cm="1">
        <f t="array" aca="1" ref="K97" ca="1">INDIRECT(_xlfn.CONCAT("A",$Q97))</f>
        <v>connection_phase</v>
      </c>
      <c r="L97" t="str" cm="1">
        <f t="array" aca="1" ref="L97" ca="1">INDIRECT(_xlfn.CONCAT("B",$Q97))</f>
        <v>PVA</v>
      </c>
      <c r="M97" cm="1">
        <f t="array" aca="1" ref="M97" ca="1">INDIRECT(_xlfn.CONCAT("C",$Q97))</f>
        <v>46</v>
      </c>
      <c r="N97" t="str" cm="1">
        <f t="array" aca="1" ref="N97" ca="1">INDIRECT(_xlfn.CONCAT("D",$Q97))</f>
        <v>search</v>
      </c>
      <c r="O97" cm="1">
        <f t="array" aca="1" ref="O97" ca="1">INDIRECT(_xlfn.CONCAT("E",$Q97))</f>
        <v>3064</v>
      </c>
      <c r="Q97">
        <v>227</v>
      </c>
    </row>
    <row r="98" spans="1:17">
      <c r="A98" t="s">
        <v>97</v>
      </c>
      <c r="B98" t="s">
        <v>8</v>
      </c>
      <c r="C98">
        <v>20</v>
      </c>
      <c r="D98" t="s">
        <v>99</v>
      </c>
      <c r="E98">
        <v>72</v>
      </c>
      <c r="K98" t="str" cm="1">
        <f t="array" aca="1" ref="K98" ca="1">INDIRECT(_xlfn.CONCAT("A",$Q98))</f>
        <v>connection_phase</v>
      </c>
      <c r="L98" t="str" cm="1">
        <f t="array" aca="1" ref="L98" ca="1">INDIRECT(_xlfn.CONCAT("B",$Q98))</f>
        <v>PVA</v>
      </c>
      <c r="M98" cm="1">
        <f t="array" aca="1" ref="M98" ca="1">INDIRECT(_xlfn.CONCAT("C",$Q98))</f>
        <v>47</v>
      </c>
      <c r="N98" t="str" cm="1">
        <f t="array" aca="1" ref="N98" ca="1">INDIRECT(_xlfn.CONCAT("D",$Q98))</f>
        <v>search</v>
      </c>
      <c r="O98" cm="1">
        <f t="array" aca="1" ref="O98" ca="1">INDIRECT(_xlfn.CONCAT("E",$Q98))</f>
        <v>3362</v>
      </c>
      <c r="Q98">
        <v>232</v>
      </c>
    </row>
    <row r="99" spans="1:17">
      <c r="A99" t="s">
        <v>97</v>
      </c>
      <c r="B99" t="s">
        <v>8</v>
      </c>
      <c r="C99">
        <v>20</v>
      </c>
      <c r="D99" t="s">
        <v>100</v>
      </c>
      <c r="E99">
        <v>641</v>
      </c>
      <c r="K99" t="str" cm="1">
        <f t="array" aca="1" ref="K99" ca="1">INDIRECT(_xlfn.CONCAT("A",$Q99))</f>
        <v>connection_phase</v>
      </c>
      <c r="L99" t="str" cm="1">
        <f t="array" aca="1" ref="L99" ca="1">INDIRECT(_xlfn.CONCAT("B",$Q99))</f>
        <v>PVA</v>
      </c>
      <c r="M99" cm="1">
        <f t="array" aca="1" ref="M99" ca="1">INDIRECT(_xlfn.CONCAT("C",$Q99))</f>
        <v>48</v>
      </c>
      <c r="N99" t="str" cm="1">
        <f t="array" aca="1" ref="N99" ca="1">INDIRECT(_xlfn.CONCAT("D",$Q99))</f>
        <v>search</v>
      </c>
      <c r="O99" cm="1">
        <f t="array" aca="1" ref="O99" ca="1">INDIRECT(_xlfn.CONCAT("E",$Q99))</f>
        <v>3337</v>
      </c>
      <c r="Q99">
        <v>237</v>
      </c>
    </row>
    <row r="100" spans="1:17">
      <c r="A100" t="s">
        <v>97</v>
      </c>
      <c r="B100" t="s">
        <v>8</v>
      </c>
      <c r="C100">
        <v>20</v>
      </c>
      <c r="D100" t="s">
        <v>101</v>
      </c>
      <c r="E100">
        <v>295</v>
      </c>
      <c r="K100" t="str" cm="1">
        <f t="array" aca="1" ref="K100" ca="1">INDIRECT(_xlfn.CONCAT("A",$Q100))</f>
        <v>connection_phase</v>
      </c>
      <c r="L100" t="str" cm="1">
        <f t="array" aca="1" ref="L100" ca="1">INDIRECT(_xlfn.CONCAT("B",$Q100))</f>
        <v>PVA</v>
      </c>
      <c r="M100" cm="1">
        <f t="array" aca="1" ref="M100" ca="1">INDIRECT(_xlfn.CONCAT("C",$Q100))</f>
        <v>49</v>
      </c>
      <c r="N100" t="str" cm="1">
        <f t="array" aca="1" ref="N100" ca="1">INDIRECT(_xlfn.CONCAT("D",$Q100))</f>
        <v>search</v>
      </c>
      <c r="O100" cm="1">
        <f t="array" aca="1" ref="O100" ca="1">INDIRECT(_xlfn.CONCAT("E",$Q100))</f>
        <v>4305</v>
      </c>
      <c r="Q100">
        <v>242</v>
      </c>
    </row>
    <row r="101" spans="1:17">
      <c r="A101" t="s">
        <v>97</v>
      </c>
      <c r="B101" t="s">
        <v>8</v>
      </c>
      <c r="C101">
        <v>20</v>
      </c>
      <c r="D101" t="s">
        <v>102</v>
      </c>
      <c r="E101">
        <v>4886</v>
      </c>
      <c r="K101" t="str" cm="1">
        <f t="array" aca="1" ref="K101" ca="1">INDIRECT(_xlfn.CONCAT("A",$Q101))</f>
        <v>connection_phase</v>
      </c>
      <c r="L101" t="str" cm="1">
        <f t="array" aca="1" ref="L101" ca="1">INDIRECT(_xlfn.CONCAT("B",$Q101))</f>
        <v>PVA</v>
      </c>
      <c r="M101" cm="1">
        <f t="array" aca="1" ref="M101" ca="1">INDIRECT(_xlfn.CONCAT("C",$Q101))</f>
        <v>50</v>
      </c>
      <c r="N101" t="str" cm="1">
        <f t="array" aca="1" ref="N101" ca="1">INDIRECT(_xlfn.CONCAT("D",$Q101))</f>
        <v>search</v>
      </c>
      <c r="O101" cm="1">
        <f t="array" aca="1" ref="O101" ca="1">INDIRECT(_xlfn.CONCAT("E",$Q101))</f>
        <v>1633</v>
      </c>
      <c r="Q101">
        <v>247</v>
      </c>
    </row>
    <row r="102" spans="1:17">
      <c r="A102" t="s">
        <v>97</v>
      </c>
      <c r="B102" t="s">
        <v>8</v>
      </c>
      <c r="C102">
        <v>21</v>
      </c>
      <c r="D102" t="s">
        <v>98</v>
      </c>
      <c r="E102">
        <v>1569</v>
      </c>
      <c r="K102" t="str" cm="1">
        <f t="array" aca="1" ref="K102" ca="1">INDIRECT(_xlfn.CONCAT("A",$Q102))</f>
        <v>connection_phase</v>
      </c>
      <c r="L102" t="str" cm="1">
        <f t="array" aca="1" ref="L102" ca="1">INDIRECT(_xlfn.CONCAT("B",$Q102))</f>
        <v>PVA</v>
      </c>
      <c r="M102" cm="1">
        <f t="array" aca="1" ref="M102" ca="1">INDIRECT(_xlfn.CONCAT("C",$Q102))</f>
        <v>1</v>
      </c>
      <c r="N102" t="str" cm="1">
        <f t="array" aca="1" ref="N102" ca="1">INDIRECT(_xlfn.CONCAT("D",$Q102))</f>
        <v>tcp_connect</v>
      </c>
      <c r="O102" cm="1">
        <f t="array" aca="1" ref="O102" ca="1">INDIRECT(_xlfn.CONCAT("E",$Q102))</f>
        <v>119</v>
      </c>
      <c r="Q102">
        <v>3</v>
      </c>
    </row>
    <row r="103" spans="1:17">
      <c r="A103" t="s">
        <v>97</v>
      </c>
      <c r="B103" t="s">
        <v>8</v>
      </c>
      <c r="C103">
        <v>21</v>
      </c>
      <c r="D103" t="s">
        <v>99</v>
      </c>
      <c r="E103">
        <v>55</v>
      </c>
      <c r="K103" t="str" cm="1">
        <f t="array" aca="1" ref="K103" ca="1">INDIRECT(_xlfn.CONCAT("A",$Q103))</f>
        <v>connection_phase</v>
      </c>
      <c r="L103" t="str" cm="1">
        <f t="array" aca="1" ref="L103" ca="1">INDIRECT(_xlfn.CONCAT("B",$Q103))</f>
        <v>PVA</v>
      </c>
      <c r="M103" cm="1">
        <f t="array" aca="1" ref="M103" ca="1">INDIRECT(_xlfn.CONCAT("C",$Q103))</f>
        <v>2</v>
      </c>
      <c r="N103" t="str" cm="1">
        <f t="array" aca="1" ref="N103" ca="1">INDIRECT(_xlfn.CONCAT("D",$Q103))</f>
        <v>tcp_connect</v>
      </c>
      <c r="O103" cm="1">
        <f t="array" aca="1" ref="O103" ca="1">INDIRECT(_xlfn.CONCAT("E",$Q103))</f>
        <v>101</v>
      </c>
      <c r="Q103">
        <v>8</v>
      </c>
    </row>
    <row r="104" spans="1:17">
      <c r="A104" t="s">
        <v>97</v>
      </c>
      <c r="B104" t="s">
        <v>8</v>
      </c>
      <c r="C104">
        <v>21</v>
      </c>
      <c r="D104" t="s">
        <v>100</v>
      </c>
      <c r="E104">
        <v>177</v>
      </c>
      <c r="K104" t="str" cm="1">
        <f t="array" aca="1" ref="K104" ca="1">INDIRECT(_xlfn.CONCAT("A",$Q104))</f>
        <v>connection_phase</v>
      </c>
      <c r="L104" t="str" cm="1">
        <f t="array" aca="1" ref="L104" ca="1">INDIRECT(_xlfn.CONCAT("B",$Q104))</f>
        <v>PVA</v>
      </c>
      <c r="M104" cm="1">
        <f t="array" aca="1" ref="M104" ca="1">INDIRECT(_xlfn.CONCAT("C",$Q104))</f>
        <v>3</v>
      </c>
      <c r="N104" t="str" cm="1">
        <f t="array" aca="1" ref="N104" ca="1">INDIRECT(_xlfn.CONCAT("D",$Q104))</f>
        <v>tcp_connect</v>
      </c>
      <c r="O104" cm="1">
        <f t="array" aca="1" ref="O104" ca="1">INDIRECT(_xlfn.CONCAT("E",$Q104))</f>
        <v>130</v>
      </c>
      <c r="Q104">
        <v>13</v>
      </c>
    </row>
    <row r="105" spans="1:17">
      <c r="A105" t="s">
        <v>97</v>
      </c>
      <c r="B105" t="s">
        <v>8</v>
      </c>
      <c r="C105">
        <v>21</v>
      </c>
      <c r="D105" t="s">
        <v>101</v>
      </c>
      <c r="E105">
        <v>286</v>
      </c>
      <c r="K105" t="str" cm="1">
        <f t="array" aca="1" ref="K105" ca="1">INDIRECT(_xlfn.CONCAT("A",$Q105))</f>
        <v>connection_phase</v>
      </c>
      <c r="L105" t="str" cm="1">
        <f t="array" aca="1" ref="L105" ca="1">INDIRECT(_xlfn.CONCAT("B",$Q105))</f>
        <v>PVA</v>
      </c>
      <c r="M105" cm="1">
        <f t="array" aca="1" ref="M105" ca="1">INDIRECT(_xlfn.CONCAT("C",$Q105))</f>
        <v>4</v>
      </c>
      <c r="N105" t="str" cm="1">
        <f t="array" aca="1" ref="N105" ca="1">INDIRECT(_xlfn.CONCAT("D",$Q105))</f>
        <v>tcp_connect</v>
      </c>
      <c r="O105" cm="1">
        <f t="array" aca="1" ref="O105" ca="1">INDIRECT(_xlfn.CONCAT("E",$Q105))</f>
        <v>168</v>
      </c>
      <c r="Q105">
        <v>18</v>
      </c>
    </row>
    <row r="106" spans="1:17">
      <c r="A106" t="s">
        <v>97</v>
      </c>
      <c r="B106" t="s">
        <v>8</v>
      </c>
      <c r="C106">
        <v>21</v>
      </c>
      <c r="D106" t="s">
        <v>102</v>
      </c>
      <c r="E106">
        <v>2087</v>
      </c>
      <c r="K106" t="str" cm="1">
        <f t="array" aca="1" ref="K106" ca="1">INDIRECT(_xlfn.CONCAT("A",$Q106))</f>
        <v>connection_phase</v>
      </c>
      <c r="L106" t="str" cm="1">
        <f t="array" aca="1" ref="L106" ca="1">INDIRECT(_xlfn.CONCAT("B",$Q106))</f>
        <v>PVA</v>
      </c>
      <c r="M106" cm="1">
        <f t="array" aca="1" ref="M106" ca="1">INDIRECT(_xlfn.CONCAT("C",$Q106))</f>
        <v>5</v>
      </c>
      <c r="N106" t="str" cm="1">
        <f t="array" aca="1" ref="N106" ca="1">INDIRECT(_xlfn.CONCAT("D",$Q106))</f>
        <v>tcp_connect</v>
      </c>
      <c r="O106" cm="1">
        <f t="array" aca="1" ref="O106" ca="1">INDIRECT(_xlfn.CONCAT("E",$Q106))</f>
        <v>99</v>
      </c>
      <c r="Q106">
        <v>23</v>
      </c>
    </row>
    <row r="107" spans="1:17">
      <c r="A107" t="s">
        <v>97</v>
      </c>
      <c r="B107" t="s">
        <v>8</v>
      </c>
      <c r="C107">
        <v>22</v>
      </c>
      <c r="D107" t="s">
        <v>98</v>
      </c>
      <c r="E107">
        <v>3103</v>
      </c>
      <c r="K107" t="str" cm="1">
        <f t="array" aca="1" ref="K107" ca="1">INDIRECT(_xlfn.CONCAT("A",$Q107))</f>
        <v>connection_phase</v>
      </c>
      <c r="L107" t="str" cm="1">
        <f t="array" aca="1" ref="L107" ca="1">INDIRECT(_xlfn.CONCAT("B",$Q107))</f>
        <v>PVA</v>
      </c>
      <c r="M107" cm="1">
        <f t="array" aca="1" ref="M107" ca="1">INDIRECT(_xlfn.CONCAT("C",$Q107))</f>
        <v>6</v>
      </c>
      <c r="N107" t="str" cm="1">
        <f t="array" aca="1" ref="N107" ca="1">INDIRECT(_xlfn.CONCAT("D",$Q107))</f>
        <v>tcp_connect</v>
      </c>
      <c r="O107" cm="1">
        <f t="array" aca="1" ref="O107" ca="1">INDIRECT(_xlfn.CONCAT("E",$Q107))</f>
        <v>88</v>
      </c>
      <c r="Q107">
        <v>28</v>
      </c>
    </row>
    <row r="108" spans="1:17">
      <c r="A108" t="s">
        <v>97</v>
      </c>
      <c r="B108" t="s">
        <v>8</v>
      </c>
      <c r="C108">
        <v>22</v>
      </c>
      <c r="D108" t="s">
        <v>99</v>
      </c>
      <c r="E108">
        <v>121</v>
      </c>
      <c r="K108" t="str" cm="1">
        <f t="array" aca="1" ref="K108" ca="1">INDIRECT(_xlfn.CONCAT("A",$Q108))</f>
        <v>connection_phase</v>
      </c>
      <c r="L108" t="str" cm="1">
        <f t="array" aca="1" ref="L108" ca="1">INDIRECT(_xlfn.CONCAT("B",$Q108))</f>
        <v>PVA</v>
      </c>
      <c r="M108" cm="1">
        <f t="array" aca="1" ref="M108" ca="1">INDIRECT(_xlfn.CONCAT("C",$Q108))</f>
        <v>7</v>
      </c>
      <c r="N108" t="str" cm="1">
        <f t="array" aca="1" ref="N108" ca="1">INDIRECT(_xlfn.CONCAT("D",$Q108))</f>
        <v>tcp_connect</v>
      </c>
      <c r="O108" cm="1">
        <f t="array" aca="1" ref="O108" ca="1">INDIRECT(_xlfn.CONCAT("E",$Q108))</f>
        <v>119</v>
      </c>
      <c r="Q108">
        <v>33</v>
      </c>
    </row>
    <row r="109" spans="1:17">
      <c r="A109" t="s">
        <v>97</v>
      </c>
      <c r="B109" t="s">
        <v>8</v>
      </c>
      <c r="C109">
        <v>22</v>
      </c>
      <c r="D109" t="s">
        <v>100</v>
      </c>
      <c r="E109">
        <v>437</v>
      </c>
      <c r="K109" t="str" cm="1">
        <f t="array" aca="1" ref="K109" ca="1">INDIRECT(_xlfn.CONCAT("A",$Q109))</f>
        <v>connection_phase</v>
      </c>
      <c r="L109" t="str" cm="1">
        <f t="array" aca="1" ref="L109" ca="1">INDIRECT(_xlfn.CONCAT("B",$Q109))</f>
        <v>PVA</v>
      </c>
      <c r="M109" cm="1">
        <f t="array" aca="1" ref="M109" ca="1">INDIRECT(_xlfn.CONCAT("C",$Q109))</f>
        <v>8</v>
      </c>
      <c r="N109" t="str" cm="1">
        <f t="array" aca="1" ref="N109" ca="1">INDIRECT(_xlfn.CONCAT("D",$Q109))</f>
        <v>tcp_connect</v>
      </c>
      <c r="O109" cm="1">
        <f t="array" aca="1" ref="O109" ca="1">INDIRECT(_xlfn.CONCAT("E",$Q109))</f>
        <v>115</v>
      </c>
      <c r="Q109">
        <v>38</v>
      </c>
    </row>
    <row r="110" spans="1:17">
      <c r="A110" t="s">
        <v>97</v>
      </c>
      <c r="B110" t="s">
        <v>8</v>
      </c>
      <c r="C110">
        <v>22</v>
      </c>
      <c r="D110" t="s">
        <v>101</v>
      </c>
      <c r="E110">
        <v>550</v>
      </c>
      <c r="K110" t="str" cm="1">
        <f t="array" aca="1" ref="K110" ca="1">INDIRECT(_xlfn.CONCAT("A",$Q110))</f>
        <v>connection_phase</v>
      </c>
      <c r="L110" t="str" cm="1">
        <f t="array" aca="1" ref="L110" ca="1">INDIRECT(_xlfn.CONCAT("B",$Q110))</f>
        <v>PVA</v>
      </c>
      <c r="M110" cm="1">
        <f t="array" aca="1" ref="M110" ca="1">INDIRECT(_xlfn.CONCAT("C",$Q110))</f>
        <v>9</v>
      </c>
      <c r="N110" t="str" cm="1">
        <f t="array" aca="1" ref="N110" ca="1">INDIRECT(_xlfn.CONCAT("D",$Q110))</f>
        <v>tcp_connect</v>
      </c>
      <c r="O110" cm="1">
        <f t="array" aca="1" ref="O110" ca="1">INDIRECT(_xlfn.CONCAT("E",$Q110))</f>
        <v>224</v>
      </c>
      <c r="Q110">
        <v>43</v>
      </c>
    </row>
    <row r="111" spans="1:17">
      <c r="A111" t="s">
        <v>97</v>
      </c>
      <c r="B111" t="s">
        <v>8</v>
      </c>
      <c r="C111">
        <v>22</v>
      </c>
      <c r="D111" t="s">
        <v>102</v>
      </c>
      <c r="E111">
        <v>4211</v>
      </c>
      <c r="K111" t="str" cm="1">
        <f t="array" aca="1" ref="K111" ca="1">INDIRECT(_xlfn.CONCAT("A",$Q111))</f>
        <v>connection_phase</v>
      </c>
      <c r="L111" t="str" cm="1">
        <f t="array" aca="1" ref="L111" ca="1">INDIRECT(_xlfn.CONCAT("B",$Q111))</f>
        <v>PVA</v>
      </c>
      <c r="M111" cm="1">
        <f t="array" aca="1" ref="M111" ca="1">INDIRECT(_xlfn.CONCAT("C",$Q111))</f>
        <v>10</v>
      </c>
      <c r="N111" t="str" cm="1">
        <f t="array" aca="1" ref="N111" ca="1">INDIRECT(_xlfn.CONCAT("D",$Q111))</f>
        <v>tcp_connect</v>
      </c>
      <c r="O111" cm="1">
        <f t="array" aca="1" ref="O111" ca="1">INDIRECT(_xlfn.CONCAT("E",$Q111))</f>
        <v>103</v>
      </c>
      <c r="Q111">
        <v>48</v>
      </c>
    </row>
    <row r="112" spans="1:17">
      <c r="A112" t="s">
        <v>97</v>
      </c>
      <c r="B112" t="s">
        <v>8</v>
      </c>
      <c r="C112">
        <v>23</v>
      </c>
      <c r="D112" t="s">
        <v>98</v>
      </c>
      <c r="E112">
        <v>6563</v>
      </c>
      <c r="K112" t="str" cm="1">
        <f t="array" aca="1" ref="K112" ca="1">INDIRECT(_xlfn.CONCAT("A",$Q112))</f>
        <v>connection_phase</v>
      </c>
      <c r="L112" t="str" cm="1">
        <f t="array" aca="1" ref="L112" ca="1">INDIRECT(_xlfn.CONCAT("B",$Q112))</f>
        <v>PVA</v>
      </c>
      <c r="M112" cm="1">
        <f t="array" aca="1" ref="M112" ca="1">INDIRECT(_xlfn.CONCAT("C",$Q112))</f>
        <v>11</v>
      </c>
      <c r="N112" t="str" cm="1">
        <f t="array" aca="1" ref="N112" ca="1">INDIRECT(_xlfn.CONCAT("D",$Q112))</f>
        <v>tcp_connect</v>
      </c>
      <c r="O112" cm="1">
        <f t="array" aca="1" ref="O112" ca="1">INDIRECT(_xlfn.CONCAT("E",$Q112))</f>
        <v>94</v>
      </c>
      <c r="Q112">
        <v>53</v>
      </c>
    </row>
    <row r="113" spans="1:17">
      <c r="A113" t="s">
        <v>97</v>
      </c>
      <c r="B113" t="s">
        <v>8</v>
      </c>
      <c r="C113">
        <v>23</v>
      </c>
      <c r="D113" t="s">
        <v>99</v>
      </c>
      <c r="E113">
        <v>99</v>
      </c>
      <c r="K113" t="str" cm="1">
        <f t="array" aca="1" ref="K113" ca="1">INDIRECT(_xlfn.CONCAT("A",$Q113))</f>
        <v>connection_phase</v>
      </c>
      <c r="L113" t="str" cm="1">
        <f t="array" aca="1" ref="L113" ca="1">INDIRECT(_xlfn.CONCAT("B",$Q113))</f>
        <v>PVA</v>
      </c>
      <c r="M113" cm="1">
        <f t="array" aca="1" ref="M113" ca="1">INDIRECT(_xlfn.CONCAT("C",$Q113))</f>
        <v>12</v>
      </c>
      <c r="N113" t="str" cm="1">
        <f t="array" aca="1" ref="N113" ca="1">INDIRECT(_xlfn.CONCAT("D",$Q113))</f>
        <v>tcp_connect</v>
      </c>
      <c r="O113" cm="1">
        <f t="array" aca="1" ref="O113" ca="1">INDIRECT(_xlfn.CONCAT("E",$Q113))</f>
        <v>58</v>
      </c>
      <c r="Q113">
        <v>58</v>
      </c>
    </row>
    <row r="114" spans="1:17">
      <c r="A114" t="s">
        <v>97</v>
      </c>
      <c r="B114" t="s">
        <v>8</v>
      </c>
      <c r="C114">
        <v>23</v>
      </c>
      <c r="D114" t="s">
        <v>100</v>
      </c>
      <c r="E114">
        <v>479</v>
      </c>
      <c r="K114" t="str" cm="1">
        <f t="array" aca="1" ref="K114" ca="1">INDIRECT(_xlfn.CONCAT("A",$Q114))</f>
        <v>connection_phase</v>
      </c>
      <c r="L114" t="str" cm="1">
        <f t="array" aca="1" ref="L114" ca="1">INDIRECT(_xlfn.CONCAT("B",$Q114))</f>
        <v>PVA</v>
      </c>
      <c r="M114" cm="1">
        <f t="array" aca="1" ref="M114" ca="1">INDIRECT(_xlfn.CONCAT("C",$Q114))</f>
        <v>13</v>
      </c>
      <c r="N114" t="str" cm="1">
        <f t="array" aca="1" ref="N114" ca="1">INDIRECT(_xlfn.CONCAT("D",$Q114))</f>
        <v>tcp_connect</v>
      </c>
      <c r="O114" cm="1">
        <f t="array" aca="1" ref="O114" ca="1">INDIRECT(_xlfn.CONCAT("E",$Q114))</f>
        <v>169</v>
      </c>
      <c r="Q114">
        <v>63</v>
      </c>
    </row>
    <row r="115" spans="1:17">
      <c r="A115" t="s">
        <v>97</v>
      </c>
      <c r="B115" t="s">
        <v>8</v>
      </c>
      <c r="C115">
        <v>23</v>
      </c>
      <c r="D115" t="s">
        <v>101</v>
      </c>
      <c r="E115">
        <v>667</v>
      </c>
      <c r="K115" t="str" cm="1">
        <f t="array" aca="1" ref="K115" ca="1">INDIRECT(_xlfn.CONCAT("A",$Q115))</f>
        <v>connection_phase</v>
      </c>
      <c r="L115" t="str" cm="1">
        <f t="array" aca="1" ref="L115" ca="1">INDIRECT(_xlfn.CONCAT("B",$Q115))</f>
        <v>PVA</v>
      </c>
      <c r="M115" cm="1">
        <f t="array" aca="1" ref="M115" ca="1">INDIRECT(_xlfn.CONCAT("C",$Q115))</f>
        <v>14</v>
      </c>
      <c r="N115" t="str" cm="1">
        <f t="array" aca="1" ref="N115" ca="1">INDIRECT(_xlfn.CONCAT("D",$Q115))</f>
        <v>tcp_connect</v>
      </c>
      <c r="O115" cm="1">
        <f t="array" aca="1" ref="O115" ca="1">INDIRECT(_xlfn.CONCAT("E",$Q115))</f>
        <v>57</v>
      </c>
      <c r="Q115">
        <v>68</v>
      </c>
    </row>
    <row r="116" spans="1:17">
      <c r="A116" t="s">
        <v>97</v>
      </c>
      <c r="B116" t="s">
        <v>8</v>
      </c>
      <c r="C116">
        <v>23</v>
      </c>
      <c r="D116" t="s">
        <v>102</v>
      </c>
      <c r="E116">
        <v>7808</v>
      </c>
      <c r="K116" t="str" cm="1">
        <f t="array" aca="1" ref="K116" ca="1">INDIRECT(_xlfn.CONCAT("A",$Q116))</f>
        <v>connection_phase</v>
      </c>
      <c r="L116" t="str" cm="1">
        <f t="array" aca="1" ref="L116" ca="1">INDIRECT(_xlfn.CONCAT("B",$Q116))</f>
        <v>PVA</v>
      </c>
      <c r="M116" cm="1">
        <f t="array" aca="1" ref="M116" ca="1">INDIRECT(_xlfn.CONCAT("C",$Q116))</f>
        <v>15</v>
      </c>
      <c r="N116" t="str" cm="1">
        <f t="array" aca="1" ref="N116" ca="1">INDIRECT(_xlfn.CONCAT("D",$Q116))</f>
        <v>tcp_connect</v>
      </c>
      <c r="O116" cm="1">
        <f t="array" aca="1" ref="O116" ca="1">INDIRECT(_xlfn.CONCAT("E",$Q116))</f>
        <v>734</v>
      </c>
      <c r="Q116">
        <v>73</v>
      </c>
    </row>
    <row r="117" spans="1:17">
      <c r="A117" t="s">
        <v>97</v>
      </c>
      <c r="B117" t="s">
        <v>8</v>
      </c>
      <c r="C117">
        <v>24</v>
      </c>
      <c r="D117" t="s">
        <v>98</v>
      </c>
      <c r="E117">
        <v>2108</v>
      </c>
      <c r="K117" t="str" cm="1">
        <f t="array" aca="1" ref="K117" ca="1">INDIRECT(_xlfn.CONCAT("A",$Q117))</f>
        <v>connection_phase</v>
      </c>
      <c r="L117" t="str" cm="1">
        <f t="array" aca="1" ref="L117" ca="1">INDIRECT(_xlfn.CONCAT("B",$Q117))</f>
        <v>PVA</v>
      </c>
      <c r="M117" cm="1">
        <f t="array" aca="1" ref="M117" ca="1">INDIRECT(_xlfn.CONCAT("C",$Q117))</f>
        <v>16</v>
      </c>
      <c r="N117" t="str" cm="1">
        <f t="array" aca="1" ref="N117" ca="1">INDIRECT(_xlfn.CONCAT("D",$Q117))</f>
        <v>tcp_connect</v>
      </c>
      <c r="O117" cm="1">
        <f t="array" aca="1" ref="O117" ca="1">INDIRECT(_xlfn.CONCAT("E",$Q117))</f>
        <v>119</v>
      </c>
      <c r="Q117">
        <v>78</v>
      </c>
    </row>
    <row r="118" spans="1:17">
      <c r="A118" t="s">
        <v>97</v>
      </c>
      <c r="B118" t="s">
        <v>8</v>
      </c>
      <c r="C118">
        <v>24</v>
      </c>
      <c r="D118" t="s">
        <v>99</v>
      </c>
      <c r="E118">
        <v>71</v>
      </c>
      <c r="K118" t="str" cm="1">
        <f t="array" aca="1" ref="K118" ca="1">INDIRECT(_xlfn.CONCAT("A",$Q118))</f>
        <v>connection_phase</v>
      </c>
      <c r="L118" t="str" cm="1">
        <f t="array" aca="1" ref="L118" ca="1">INDIRECT(_xlfn.CONCAT("B",$Q118))</f>
        <v>PVA</v>
      </c>
      <c r="M118" cm="1">
        <f t="array" aca="1" ref="M118" ca="1">INDIRECT(_xlfn.CONCAT("C",$Q118))</f>
        <v>17</v>
      </c>
      <c r="N118" t="str" cm="1">
        <f t="array" aca="1" ref="N118" ca="1">INDIRECT(_xlfn.CONCAT("D",$Q118))</f>
        <v>tcp_connect</v>
      </c>
      <c r="O118" cm="1">
        <f t="array" aca="1" ref="O118" ca="1">INDIRECT(_xlfn.CONCAT("E",$Q118))</f>
        <v>63</v>
      </c>
      <c r="Q118">
        <v>83</v>
      </c>
    </row>
    <row r="119" spans="1:17">
      <c r="A119" t="s">
        <v>97</v>
      </c>
      <c r="B119" t="s">
        <v>8</v>
      </c>
      <c r="C119">
        <v>24</v>
      </c>
      <c r="D119" t="s">
        <v>100</v>
      </c>
      <c r="E119">
        <v>213</v>
      </c>
      <c r="K119" t="str" cm="1">
        <f t="array" aca="1" ref="K119" ca="1">INDIRECT(_xlfn.CONCAT("A",$Q119))</f>
        <v>connection_phase</v>
      </c>
      <c r="L119" t="str" cm="1">
        <f t="array" aca="1" ref="L119" ca="1">INDIRECT(_xlfn.CONCAT("B",$Q119))</f>
        <v>PVA</v>
      </c>
      <c r="M119" cm="1">
        <f t="array" aca="1" ref="M119" ca="1">INDIRECT(_xlfn.CONCAT("C",$Q119))</f>
        <v>18</v>
      </c>
      <c r="N119" t="str" cm="1">
        <f t="array" aca="1" ref="N119" ca="1">INDIRECT(_xlfn.CONCAT("D",$Q119))</f>
        <v>tcp_connect</v>
      </c>
      <c r="O119" cm="1">
        <f t="array" aca="1" ref="O119" ca="1">INDIRECT(_xlfn.CONCAT("E",$Q119))</f>
        <v>71</v>
      </c>
      <c r="Q119">
        <v>88</v>
      </c>
    </row>
    <row r="120" spans="1:17">
      <c r="A120" t="s">
        <v>97</v>
      </c>
      <c r="B120" t="s">
        <v>8</v>
      </c>
      <c r="C120">
        <v>24</v>
      </c>
      <c r="D120" t="s">
        <v>101</v>
      </c>
      <c r="E120">
        <v>710</v>
      </c>
      <c r="K120" t="str" cm="1">
        <f t="array" aca="1" ref="K120" ca="1">INDIRECT(_xlfn.CONCAT("A",$Q120))</f>
        <v>connection_phase</v>
      </c>
      <c r="L120" t="str" cm="1">
        <f t="array" aca="1" ref="L120" ca="1">INDIRECT(_xlfn.CONCAT("B",$Q120))</f>
        <v>PVA</v>
      </c>
      <c r="M120" cm="1">
        <f t="array" aca="1" ref="M120" ca="1">INDIRECT(_xlfn.CONCAT("C",$Q120))</f>
        <v>19</v>
      </c>
      <c r="N120" t="str" cm="1">
        <f t="array" aca="1" ref="N120" ca="1">INDIRECT(_xlfn.CONCAT("D",$Q120))</f>
        <v>tcp_connect</v>
      </c>
      <c r="O120" cm="1">
        <f t="array" aca="1" ref="O120" ca="1">INDIRECT(_xlfn.CONCAT("E",$Q120))</f>
        <v>111</v>
      </c>
      <c r="Q120">
        <v>93</v>
      </c>
    </row>
    <row r="121" spans="1:17">
      <c r="A121" t="s">
        <v>97</v>
      </c>
      <c r="B121" t="s">
        <v>8</v>
      </c>
      <c r="C121">
        <v>24</v>
      </c>
      <c r="D121" t="s">
        <v>102</v>
      </c>
      <c r="E121">
        <v>3102</v>
      </c>
      <c r="K121" t="str" cm="1">
        <f t="array" aca="1" ref="K121" ca="1">INDIRECT(_xlfn.CONCAT("A",$Q121))</f>
        <v>connection_phase</v>
      </c>
      <c r="L121" t="str" cm="1">
        <f t="array" aca="1" ref="L121" ca="1">INDIRECT(_xlfn.CONCAT("B",$Q121))</f>
        <v>PVA</v>
      </c>
      <c r="M121" cm="1">
        <f t="array" aca="1" ref="M121" ca="1">INDIRECT(_xlfn.CONCAT("C",$Q121))</f>
        <v>20</v>
      </c>
      <c r="N121" t="str" cm="1">
        <f t="array" aca="1" ref="N121" ca="1">INDIRECT(_xlfn.CONCAT("D",$Q121))</f>
        <v>tcp_connect</v>
      </c>
      <c r="O121" cm="1">
        <f t="array" aca="1" ref="O121" ca="1">INDIRECT(_xlfn.CONCAT("E",$Q121))</f>
        <v>72</v>
      </c>
      <c r="Q121">
        <v>98</v>
      </c>
    </row>
    <row r="122" spans="1:17">
      <c r="A122" t="s">
        <v>97</v>
      </c>
      <c r="B122" t="s">
        <v>8</v>
      </c>
      <c r="C122">
        <v>25</v>
      </c>
      <c r="D122" t="s">
        <v>98</v>
      </c>
      <c r="E122">
        <v>1670</v>
      </c>
      <c r="K122" t="str" cm="1">
        <f t="array" aca="1" ref="K122" ca="1">INDIRECT(_xlfn.CONCAT("A",$Q122))</f>
        <v>connection_phase</v>
      </c>
      <c r="L122" t="str" cm="1">
        <f t="array" aca="1" ref="L122" ca="1">INDIRECT(_xlfn.CONCAT("B",$Q122))</f>
        <v>PVA</v>
      </c>
      <c r="M122" cm="1">
        <f t="array" aca="1" ref="M122" ca="1">INDIRECT(_xlfn.CONCAT("C",$Q122))</f>
        <v>21</v>
      </c>
      <c r="N122" t="str" cm="1">
        <f t="array" aca="1" ref="N122" ca="1">INDIRECT(_xlfn.CONCAT("D",$Q122))</f>
        <v>tcp_connect</v>
      </c>
      <c r="O122" cm="1">
        <f t="array" aca="1" ref="O122" ca="1">INDIRECT(_xlfn.CONCAT("E",$Q122))</f>
        <v>55</v>
      </c>
      <c r="Q122">
        <v>103</v>
      </c>
    </row>
    <row r="123" spans="1:17">
      <c r="A123" t="s">
        <v>97</v>
      </c>
      <c r="B123" t="s">
        <v>8</v>
      </c>
      <c r="C123">
        <v>25</v>
      </c>
      <c r="D123" t="s">
        <v>99</v>
      </c>
      <c r="E123">
        <v>54</v>
      </c>
      <c r="K123" t="str" cm="1">
        <f t="array" aca="1" ref="K123" ca="1">INDIRECT(_xlfn.CONCAT("A",$Q123))</f>
        <v>connection_phase</v>
      </c>
      <c r="L123" t="str" cm="1">
        <f t="array" aca="1" ref="L123" ca="1">INDIRECT(_xlfn.CONCAT("B",$Q123))</f>
        <v>PVA</v>
      </c>
      <c r="M123" cm="1">
        <f t="array" aca="1" ref="M123" ca="1">INDIRECT(_xlfn.CONCAT("C",$Q123))</f>
        <v>22</v>
      </c>
      <c r="N123" t="str" cm="1">
        <f t="array" aca="1" ref="N123" ca="1">INDIRECT(_xlfn.CONCAT("D",$Q123))</f>
        <v>tcp_connect</v>
      </c>
      <c r="O123" cm="1">
        <f t="array" aca="1" ref="O123" ca="1">INDIRECT(_xlfn.CONCAT("E",$Q123))</f>
        <v>121</v>
      </c>
      <c r="Q123">
        <v>108</v>
      </c>
    </row>
    <row r="124" spans="1:17">
      <c r="A124" t="s">
        <v>97</v>
      </c>
      <c r="B124" t="s">
        <v>8</v>
      </c>
      <c r="C124">
        <v>25</v>
      </c>
      <c r="D124" t="s">
        <v>100</v>
      </c>
      <c r="E124">
        <v>104</v>
      </c>
      <c r="K124" t="str" cm="1">
        <f t="array" aca="1" ref="K124" ca="1">INDIRECT(_xlfn.CONCAT("A",$Q124))</f>
        <v>connection_phase</v>
      </c>
      <c r="L124" t="str" cm="1">
        <f t="array" aca="1" ref="L124" ca="1">INDIRECT(_xlfn.CONCAT("B",$Q124))</f>
        <v>PVA</v>
      </c>
      <c r="M124" cm="1">
        <f t="array" aca="1" ref="M124" ca="1">INDIRECT(_xlfn.CONCAT("C",$Q124))</f>
        <v>23</v>
      </c>
      <c r="N124" t="str" cm="1">
        <f t="array" aca="1" ref="N124" ca="1">INDIRECT(_xlfn.CONCAT("D",$Q124))</f>
        <v>tcp_connect</v>
      </c>
      <c r="O124" cm="1">
        <f t="array" aca="1" ref="O124" ca="1">INDIRECT(_xlfn.CONCAT("E",$Q124))</f>
        <v>99</v>
      </c>
      <c r="Q124">
        <v>113</v>
      </c>
    </row>
    <row r="125" spans="1:17">
      <c r="A125" t="s">
        <v>97</v>
      </c>
      <c r="B125" t="s">
        <v>8</v>
      </c>
      <c r="C125">
        <v>25</v>
      </c>
      <c r="D125" t="s">
        <v>101</v>
      </c>
      <c r="E125">
        <v>283</v>
      </c>
      <c r="K125" t="str" cm="1">
        <f t="array" aca="1" ref="K125" ca="1">INDIRECT(_xlfn.CONCAT("A",$Q125))</f>
        <v>connection_phase</v>
      </c>
      <c r="L125" t="str" cm="1">
        <f t="array" aca="1" ref="L125" ca="1">INDIRECT(_xlfn.CONCAT("B",$Q125))</f>
        <v>PVA</v>
      </c>
      <c r="M125" cm="1">
        <f t="array" aca="1" ref="M125" ca="1">INDIRECT(_xlfn.CONCAT("C",$Q125))</f>
        <v>24</v>
      </c>
      <c r="N125" t="str" cm="1">
        <f t="array" aca="1" ref="N125" ca="1">INDIRECT(_xlfn.CONCAT("D",$Q125))</f>
        <v>tcp_connect</v>
      </c>
      <c r="O125" cm="1">
        <f t="array" aca="1" ref="O125" ca="1">INDIRECT(_xlfn.CONCAT("E",$Q125))</f>
        <v>71</v>
      </c>
      <c r="Q125">
        <v>118</v>
      </c>
    </row>
    <row r="126" spans="1:17">
      <c r="A126" t="s">
        <v>97</v>
      </c>
      <c r="B126" t="s">
        <v>8</v>
      </c>
      <c r="C126">
        <v>25</v>
      </c>
      <c r="D126" t="s">
        <v>102</v>
      </c>
      <c r="E126">
        <v>2111</v>
      </c>
      <c r="K126" t="str" cm="1">
        <f t="array" aca="1" ref="K126" ca="1">INDIRECT(_xlfn.CONCAT("A",$Q126))</f>
        <v>connection_phase</v>
      </c>
      <c r="L126" t="str" cm="1">
        <f t="array" aca="1" ref="L126" ca="1">INDIRECT(_xlfn.CONCAT("B",$Q126))</f>
        <v>PVA</v>
      </c>
      <c r="M126" cm="1">
        <f t="array" aca="1" ref="M126" ca="1">INDIRECT(_xlfn.CONCAT("C",$Q126))</f>
        <v>25</v>
      </c>
      <c r="N126" t="str" cm="1">
        <f t="array" aca="1" ref="N126" ca="1">INDIRECT(_xlfn.CONCAT("D",$Q126))</f>
        <v>tcp_connect</v>
      </c>
      <c r="O126" cm="1">
        <f t="array" aca="1" ref="O126" ca="1">INDIRECT(_xlfn.CONCAT("E",$Q126))</f>
        <v>54</v>
      </c>
      <c r="Q126">
        <v>123</v>
      </c>
    </row>
    <row r="127" spans="1:17">
      <c r="A127" t="s">
        <v>97</v>
      </c>
      <c r="B127" t="s">
        <v>8</v>
      </c>
      <c r="C127">
        <v>26</v>
      </c>
      <c r="D127" t="s">
        <v>98</v>
      </c>
      <c r="E127">
        <v>1900</v>
      </c>
      <c r="K127" t="str" cm="1">
        <f t="array" aca="1" ref="K127" ca="1">INDIRECT(_xlfn.CONCAT("A",$Q127))</f>
        <v>connection_phase</v>
      </c>
      <c r="L127" t="str" cm="1">
        <f t="array" aca="1" ref="L127" ca="1">INDIRECT(_xlfn.CONCAT("B",$Q127))</f>
        <v>PVA</v>
      </c>
      <c r="M127" cm="1">
        <f t="array" aca="1" ref="M127" ca="1">INDIRECT(_xlfn.CONCAT("C",$Q127))</f>
        <v>26</v>
      </c>
      <c r="N127" t="str" cm="1">
        <f t="array" aca="1" ref="N127" ca="1">INDIRECT(_xlfn.CONCAT("D",$Q127))</f>
        <v>tcp_connect</v>
      </c>
      <c r="O127" cm="1">
        <f t="array" aca="1" ref="O127" ca="1">INDIRECT(_xlfn.CONCAT("E",$Q127))</f>
        <v>70</v>
      </c>
      <c r="Q127">
        <v>128</v>
      </c>
    </row>
    <row r="128" spans="1:17">
      <c r="A128" t="s">
        <v>97</v>
      </c>
      <c r="B128" t="s">
        <v>8</v>
      </c>
      <c r="C128">
        <v>26</v>
      </c>
      <c r="D128" t="s">
        <v>99</v>
      </c>
      <c r="E128">
        <v>70</v>
      </c>
      <c r="K128" t="str" cm="1">
        <f t="array" aca="1" ref="K128" ca="1">INDIRECT(_xlfn.CONCAT("A",$Q128))</f>
        <v>connection_phase</v>
      </c>
      <c r="L128" t="str" cm="1">
        <f t="array" aca="1" ref="L128" ca="1">INDIRECT(_xlfn.CONCAT("B",$Q128))</f>
        <v>PVA</v>
      </c>
      <c r="M128" cm="1">
        <f t="array" aca="1" ref="M128" ca="1">INDIRECT(_xlfn.CONCAT("C",$Q128))</f>
        <v>27</v>
      </c>
      <c r="N128" t="str" cm="1">
        <f t="array" aca="1" ref="N128" ca="1">INDIRECT(_xlfn.CONCAT("D",$Q128))</f>
        <v>tcp_connect</v>
      </c>
      <c r="O128" cm="1">
        <f t="array" aca="1" ref="O128" ca="1">INDIRECT(_xlfn.CONCAT("E",$Q128))</f>
        <v>132</v>
      </c>
      <c r="Q128">
        <v>133</v>
      </c>
    </row>
    <row r="129" spans="1:17">
      <c r="A129" t="s">
        <v>97</v>
      </c>
      <c r="B129" t="s">
        <v>8</v>
      </c>
      <c r="C129">
        <v>26</v>
      </c>
      <c r="D129" t="s">
        <v>100</v>
      </c>
      <c r="E129">
        <v>201</v>
      </c>
      <c r="K129" t="str" cm="1">
        <f t="array" aca="1" ref="K129" ca="1">INDIRECT(_xlfn.CONCAT("A",$Q129))</f>
        <v>connection_phase</v>
      </c>
      <c r="L129" t="str" cm="1">
        <f t="array" aca="1" ref="L129" ca="1">INDIRECT(_xlfn.CONCAT("B",$Q129))</f>
        <v>PVA</v>
      </c>
      <c r="M129" cm="1">
        <f t="array" aca="1" ref="M129" ca="1">INDIRECT(_xlfn.CONCAT("C",$Q129))</f>
        <v>28</v>
      </c>
      <c r="N129" t="str" cm="1">
        <f t="array" aca="1" ref="N129" ca="1">INDIRECT(_xlfn.CONCAT("D",$Q129))</f>
        <v>tcp_connect</v>
      </c>
      <c r="O129" cm="1">
        <f t="array" aca="1" ref="O129" ca="1">INDIRECT(_xlfn.CONCAT("E",$Q129))</f>
        <v>64</v>
      </c>
      <c r="Q129">
        <v>138</v>
      </c>
    </row>
    <row r="130" spans="1:17">
      <c r="A130" t="s">
        <v>97</v>
      </c>
      <c r="B130" t="s">
        <v>8</v>
      </c>
      <c r="C130">
        <v>26</v>
      </c>
      <c r="D130" t="s">
        <v>101</v>
      </c>
      <c r="E130">
        <v>322</v>
      </c>
      <c r="K130" t="str" cm="1">
        <f t="array" aca="1" ref="K130" ca="1">INDIRECT(_xlfn.CONCAT("A",$Q130))</f>
        <v>connection_phase</v>
      </c>
      <c r="L130" t="str" cm="1">
        <f t="array" aca="1" ref="L130" ca="1">INDIRECT(_xlfn.CONCAT("B",$Q130))</f>
        <v>PVA</v>
      </c>
      <c r="M130" cm="1">
        <f t="array" aca="1" ref="M130" ca="1">INDIRECT(_xlfn.CONCAT("C",$Q130))</f>
        <v>29</v>
      </c>
      <c r="N130" t="str" cm="1">
        <f t="array" aca="1" ref="N130" ca="1">INDIRECT(_xlfn.CONCAT("D",$Q130))</f>
        <v>tcp_connect</v>
      </c>
      <c r="O130" cm="1">
        <f t="array" aca="1" ref="O130" ca="1">INDIRECT(_xlfn.CONCAT("E",$Q130))</f>
        <v>55</v>
      </c>
      <c r="Q130">
        <v>143</v>
      </c>
    </row>
    <row r="131" spans="1:17">
      <c r="A131" t="s">
        <v>97</v>
      </c>
      <c r="B131" t="s">
        <v>8</v>
      </c>
      <c r="C131">
        <v>26</v>
      </c>
      <c r="D131" t="s">
        <v>102</v>
      </c>
      <c r="E131">
        <v>2493</v>
      </c>
      <c r="K131" t="str" cm="1">
        <f t="array" aca="1" ref="K131" ca="1">INDIRECT(_xlfn.CONCAT("A",$Q131))</f>
        <v>connection_phase</v>
      </c>
      <c r="L131" t="str" cm="1">
        <f t="array" aca="1" ref="L131" ca="1">INDIRECT(_xlfn.CONCAT("B",$Q131))</f>
        <v>PVA</v>
      </c>
      <c r="M131" cm="1">
        <f t="array" aca="1" ref="M131" ca="1">INDIRECT(_xlfn.CONCAT("C",$Q131))</f>
        <v>30</v>
      </c>
      <c r="N131" t="str" cm="1">
        <f t="array" aca="1" ref="N131" ca="1">INDIRECT(_xlfn.CONCAT("D",$Q131))</f>
        <v>tcp_connect</v>
      </c>
      <c r="O131" cm="1">
        <f t="array" aca="1" ref="O131" ca="1">INDIRECT(_xlfn.CONCAT("E",$Q131))</f>
        <v>86</v>
      </c>
      <c r="Q131">
        <v>148</v>
      </c>
    </row>
    <row r="132" spans="1:17">
      <c r="A132" t="s">
        <v>97</v>
      </c>
      <c r="B132" t="s">
        <v>8</v>
      </c>
      <c r="C132">
        <v>27</v>
      </c>
      <c r="D132" t="s">
        <v>98</v>
      </c>
      <c r="E132">
        <v>1695</v>
      </c>
      <c r="K132" t="str" cm="1">
        <f t="array" aca="1" ref="K132" ca="1">INDIRECT(_xlfn.CONCAT("A",$Q132))</f>
        <v>connection_phase</v>
      </c>
      <c r="L132" t="str" cm="1">
        <f t="array" aca="1" ref="L132" ca="1">INDIRECT(_xlfn.CONCAT("B",$Q132))</f>
        <v>PVA</v>
      </c>
      <c r="M132" cm="1">
        <f t="array" aca="1" ref="M132" ca="1">INDIRECT(_xlfn.CONCAT("C",$Q132))</f>
        <v>31</v>
      </c>
      <c r="N132" t="str" cm="1">
        <f t="array" aca="1" ref="N132" ca="1">INDIRECT(_xlfn.CONCAT("D",$Q132))</f>
        <v>tcp_connect</v>
      </c>
      <c r="O132" cm="1">
        <f t="array" aca="1" ref="O132" ca="1">INDIRECT(_xlfn.CONCAT("E",$Q132))</f>
        <v>73</v>
      </c>
      <c r="Q132">
        <v>153</v>
      </c>
    </row>
    <row r="133" spans="1:17">
      <c r="A133" t="s">
        <v>97</v>
      </c>
      <c r="B133" t="s">
        <v>8</v>
      </c>
      <c r="C133">
        <v>27</v>
      </c>
      <c r="D133" t="s">
        <v>99</v>
      </c>
      <c r="E133">
        <v>132</v>
      </c>
      <c r="K133" t="str" cm="1">
        <f t="array" aca="1" ref="K133" ca="1">INDIRECT(_xlfn.CONCAT("A",$Q133))</f>
        <v>connection_phase</v>
      </c>
      <c r="L133" t="str" cm="1">
        <f t="array" aca="1" ref="L133" ca="1">INDIRECT(_xlfn.CONCAT("B",$Q133))</f>
        <v>PVA</v>
      </c>
      <c r="M133" cm="1">
        <f t="array" aca="1" ref="M133" ca="1">INDIRECT(_xlfn.CONCAT("C",$Q133))</f>
        <v>32</v>
      </c>
      <c r="N133" t="str" cm="1">
        <f t="array" aca="1" ref="N133" ca="1">INDIRECT(_xlfn.CONCAT("D",$Q133))</f>
        <v>tcp_connect</v>
      </c>
      <c r="O133" cm="1">
        <f t="array" aca="1" ref="O133" ca="1">INDIRECT(_xlfn.CONCAT("E",$Q133))</f>
        <v>92</v>
      </c>
      <c r="Q133">
        <v>158</v>
      </c>
    </row>
    <row r="134" spans="1:17">
      <c r="A134" t="s">
        <v>97</v>
      </c>
      <c r="B134" t="s">
        <v>8</v>
      </c>
      <c r="C134">
        <v>27</v>
      </c>
      <c r="D134" t="s">
        <v>100</v>
      </c>
      <c r="E134">
        <v>212</v>
      </c>
      <c r="K134" t="str" cm="1">
        <f t="array" aca="1" ref="K134" ca="1">INDIRECT(_xlfn.CONCAT("A",$Q134))</f>
        <v>connection_phase</v>
      </c>
      <c r="L134" t="str" cm="1">
        <f t="array" aca="1" ref="L134" ca="1">INDIRECT(_xlfn.CONCAT("B",$Q134))</f>
        <v>PVA</v>
      </c>
      <c r="M134" cm="1">
        <f t="array" aca="1" ref="M134" ca="1">INDIRECT(_xlfn.CONCAT("C",$Q134))</f>
        <v>33</v>
      </c>
      <c r="N134" t="str" cm="1">
        <f t="array" aca="1" ref="N134" ca="1">INDIRECT(_xlfn.CONCAT("D",$Q134))</f>
        <v>tcp_connect</v>
      </c>
      <c r="O134" cm="1">
        <f t="array" aca="1" ref="O134" ca="1">INDIRECT(_xlfn.CONCAT("E",$Q134))</f>
        <v>108</v>
      </c>
      <c r="Q134">
        <v>163</v>
      </c>
    </row>
    <row r="135" spans="1:17">
      <c r="A135" t="s">
        <v>97</v>
      </c>
      <c r="B135" t="s">
        <v>8</v>
      </c>
      <c r="C135">
        <v>27</v>
      </c>
      <c r="D135" t="s">
        <v>101</v>
      </c>
      <c r="E135">
        <v>258</v>
      </c>
      <c r="K135" t="str" cm="1">
        <f t="array" aca="1" ref="K135" ca="1">INDIRECT(_xlfn.CONCAT("A",$Q135))</f>
        <v>connection_phase</v>
      </c>
      <c r="L135" t="str" cm="1">
        <f t="array" aca="1" ref="L135" ca="1">INDIRECT(_xlfn.CONCAT("B",$Q135))</f>
        <v>PVA</v>
      </c>
      <c r="M135" cm="1">
        <f t="array" aca="1" ref="M135" ca="1">INDIRECT(_xlfn.CONCAT("C",$Q135))</f>
        <v>34</v>
      </c>
      <c r="N135" t="str" cm="1">
        <f t="array" aca="1" ref="N135" ca="1">INDIRECT(_xlfn.CONCAT("D",$Q135))</f>
        <v>tcp_connect</v>
      </c>
      <c r="O135" cm="1">
        <f t="array" aca="1" ref="O135" ca="1">INDIRECT(_xlfn.CONCAT("E",$Q135))</f>
        <v>80</v>
      </c>
      <c r="Q135">
        <v>168</v>
      </c>
    </row>
    <row r="136" spans="1:17">
      <c r="A136" t="s">
        <v>97</v>
      </c>
      <c r="B136" t="s">
        <v>8</v>
      </c>
      <c r="C136">
        <v>27</v>
      </c>
      <c r="D136" t="s">
        <v>102</v>
      </c>
      <c r="E136">
        <v>2297</v>
      </c>
      <c r="K136" t="str" cm="1">
        <f t="array" aca="1" ref="K136" ca="1">INDIRECT(_xlfn.CONCAT("A",$Q136))</f>
        <v>connection_phase</v>
      </c>
      <c r="L136" t="str" cm="1">
        <f t="array" aca="1" ref="L136" ca="1">INDIRECT(_xlfn.CONCAT("B",$Q136))</f>
        <v>PVA</v>
      </c>
      <c r="M136" cm="1">
        <f t="array" aca="1" ref="M136" ca="1">INDIRECT(_xlfn.CONCAT("C",$Q136))</f>
        <v>35</v>
      </c>
      <c r="N136" t="str" cm="1">
        <f t="array" aca="1" ref="N136" ca="1">INDIRECT(_xlfn.CONCAT("D",$Q136))</f>
        <v>tcp_connect</v>
      </c>
      <c r="O136" cm="1">
        <f t="array" aca="1" ref="O136" ca="1">INDIRECT(_xlfn.CONCAT("E",$Q136))</f>
        <v>58</v>
      </c>
      <c r="Q136">
        <v>173</v>
      </c>
    </row>
    <row r="137" spans="1:17">
      <c r="A137" t="s">
        <v>97</v>
      </c>
      <c r="B137" t="s">
        <v>8</v>
      </c>
      <c r="C137">
        <v>28</v>
      </c>
      <c r="D137" t="s">
        <v>98</v>
      </c>
      <c r="E137">
        <v>2973</v>
      </c>
      <c r="K137" t="str" cm="1">
        <f t="array" aca="1" ref="K137" ca="1">INDIRECT(_xlfn.CONCAT("A",$Q137))</f>
        <v>connection_phase</v>
      </c>
      <c r="L137" t="str" cm="1">
        <f t="array" aca="1" ref="L137" ca="1">INDIRECT(_xlfn.CONCAT("B",$Q137))</f>
        <v>PVA</v>
      </c>
      <c r="M137" cm="1">
        <f t="array" aca="1" ref="M137" ca="1">INDIRECT(_xlfn.CONCAT("C",$Q137))</f>
        <v>36</v>
      </c>
      <c r="N137" t="str" cm="1">
        <f t="array" aca="1" ref="N137" ca="1">INDIRECT(_xlfn.CONCAT("D",$Q137))</f>
        <v>tcp_connect</v>
      </c>
      <c r="O137" cm="1">
        <f t="array" aca="1" ref="O137" ca="1">INDIRECT(_xlfn.CONCAT("E",$Q137))</f>
        <v>567</v>
      </c>
      <c r="Q137">
        <v>178</v>
      </c>
    </row>
    <row r="138" spans="1:17">
      <c r="A138" t="s">
        <v>97</v>
      </c>
      <c r="B138" t="s">
        <v>8</v>
      </c>
      <c r="C138">
        <v>28</v>
      </c>
      <c r="D138" t="s">
        <v>99</v>
      </c>
      <c r="E138">
        <v>64</v>
      </c>
      <c r="K138" t="str" cm="1">
        <f t="array" aca="1" ref="K138" ca="1">INDIRECT(_xlfn.CONCAT("A",$Q138))</f>
        <v>connection_phase</v>
      </c>
      <c r="L138" t="str" cm="1">
        <f t="array" aca="1" ref="L138" ca="1">INDIRECT(_xlfn.CONCAT("B",$Q138))</f>
        <v>PVA</v>
      </c>
      <c r="M138" cm="1">
        <f t="array" aca="1" ref="M138" ca="1">INDIRECT(_xlfn.CONCAT("C",$Q138))</f>
        <v>37</v>
      </c>
      <c r="N138" t="str" cm="1">
        <f t="array" aca="1" ref="N138" ca="1">INDIRECT(_xlfn.CONCAT("D",$Q138))</f>
        <v>tcp_connect</v>
      </c>
      <c r="O138" cm="1">
        <f t="array" aca="1" ref="O138" ca="1">INDIRECT(_xlfn.CONCAT("E",$Q138))</f>
        <v>129</v>
      </c>
      <c r="Q138">
        <v>183</v>
      </c>
    </row>
    <row r="139" spans="1:17">
      <c r="A139" t="s">
        <v>97</v>
      </c>
      <c r="B139" t="s">
        <v>8</v>
      </c>
      <c r="C139">
        <v>28</v>
      </c>
      <c r="D139" t="s">
        <v>100</v>
      </c>
      <c r="E139">
        <v>198</v>
      </c>
      <c r="K139" t="str" cm="1">
        <f t="array" aca="1" ref="K139" ca="1">INDIRECT(_xlfn.CONCAT("A",$Q139))</f>
        <v>connection_phase</v>
      </c>
      <c r="L139" t="str" cm="1">
        <f t="array" aca="1" ref="L139" ca="1">INDIRECT(_xlfn.CONCAT("B",$Q139))</f>
        <v>PVA</v>
      </c>
      <c r="M139" cm="1">
        <f t="array" aca="1" ref="M139" ca="1">INDIRECT(_xlfn.CONCAT("C",$Q139))</f>
        <v>38</v>
      </c>
      <c r="N139" t="str" cm="1">
        <f t="array" aca="1" ref="N139" ca="1">INDIRECT(_xlfn.CONCAT("D",$Q139))</f>
        <v>tcp_connect</v>
      </c>
      <c r="O139" cm="1">
        <f t="array" aca="1" ref="O139" ca="1">INDIRECT(_xlfn.CONCAT("E",$Q139))</f>
        <v>113</v>
      </c>
      <c r="Q139">
        <v>188</v>
      </c>
    </row>
    <row r="140" spans="1:17">
      <c r="A140" t="s">
        <v>97</v>
      </c>
      <c r="B140" t="s">
        <v>8</v>
      </c>
      <c r="C140">
        <v>28</v>
      </c>
      <c r="D140" t="s">
        <v>101</v>
      </c>
      <c r="E140">
        <v>417</v>
      </c>
      <c r="K140" t="str" cm="1">
        <f t="array" aca="1" ref="K140" ca="1">INDIRECT(_xlfn.CONCAT("A",$Q140))</f>
        <v>connection_phase</v>
      </c>
      <c r="L140" t="str" cm="1">
        <f t="array" aca="1" ref="L140" ca="1">INDIRECT(_xlfn.CONCAT("B",$Q140))</f>
        <v>PVA</v>
      </c>
      <c r="M140" cm="1">
        <f t="array" aca="1" ref="M140" ca="1">INDIRECT(_xlfn.CONCAT("C",$Q140))</f>
        <v>39</v>
      </c>
      <c r="N140" t="str" cm="1">
        <f t="array" aca="1" ref="N140" ca="1">INDIRECT(_xlfn.CONCAT("D",$Q140))</f>
        <v>tcp_connect</v>
      </c>
      <c r="O140" cm="1">
        <f t="array" aca="1" ref="O140" ca="1">INDIRECT(_xlfn.CONCAT("E",$Q140))</f>
        <v>98</v>
      </c>
      <c r="Q140">
        <v>193</v>
      </c>
    </row>
    <row r="141" spans="1:17">
      <c r="A141" t="s">
        <v>97</v>
      </c>
      <c r="B141" t="s">
        <v>8</v>
      </c>
      <c r="C141">
        <v>28</v>
      </c>
      <c r="D141" t="s">
        <v>102</v>
      </c>
      <c r="E141">
        <v>3652</v>
      </c>
      <c r="K141" t="str" cm="1">
        <f t="array" aca="1" ref="K141" ca="1">INDIRECT(_xlfn.CONCAT("A",$Q141))</f>
        <v>connection_phase</v>
      </c>
      <c r="L141" t="str" cm="1">
        <f t="array" aca="1" ref="L141" ca="1">INDIRECT(_xlfn.CONCAT("B",$Q141))</f>
        <v>PVA</v>
      </c>
      <c r="M141" cm="1">
        <f t="array" aca="1" ref="M141" ca="1">INDIRECT(_xlfn.CONCAT("C",$Q141))</f>
        <v>40</v>
      </c>
      <c r="N141" t="str" cm="1">
        <f t="array" aca="1" ref="N141" ca="1">INDIRECT(_xlfn.CONCAT("D",$Q141))</f>
        <v>tcp_connect</v>
      </c>
      <c r="O141" cm="1">
        <f t="array" aca="1" ref="O141" ca="1">INDIRECT(_xlfn.CONCAT("E",$Q141))</f>
        <v>64</v>
      </c>
      <c r="Q141">
        <v>198</v>
      </c>
    </row>
    <row r="142" spans="1:17">
      <c r="A142" t="s">
        <v>97</v>
      </c>
      <c r="B142" t="s">
        <v>8</v>
      </c>
      <c r="C142">
        <v>29</v>
      </c>
      <c r="D142" t="s">
        <v>98</v>
      </c>
      <c r="E142">
        <v>2157</v>
      </c>
      <c r="K142" t="str" cm="1">
        <f t="array" aca="1" ref="K142" ca="1">INDIRECT(_xlfn.CONCAT("A",$Q142))</f>
        <v>connection_phase</v>
      </c>
      <c r="L142" t="str" cm="1">
        <f t="array" aca="1" ref="L142" ca="1">INDIRECT(_xlfn.CONCAT("B",$Q142))</f>
        <v>PVA</v>
      </c>
      <c r="M142" cm="1">
        <f t="array" aca="1" ref="M142" ca="1">INDIRECT(_xlfn.CONCAT("C",$Q142))</f>
        <v>41</v>
      </c>
      <c r="N142" t="str" cm="1">
        <f t="array" aca="1" ref="N142" ca="1">INDIRECT(_xlfn.CONCAT("D",$Q142))</f>
        <v>tcp_connect</v>
      </c>
      <c r="O142" cm="1">
        <f t="array" aca="1" ref="O142" ca="1">INDIRECT(_xlfn.CONCAT("E",$Q142))</f>
        <v>55</v>
      </c>
      <c r="Q142">
        <v>203</v>
      </c>
    </row>
    <row r="143" spans="1:17">
      <c r="A143" t="s">
        <v>97</v>
      </c>
      <c r="B143" t="s">
        <v>8</v>
      </c>
      <c r="C143">
        <v>29</v>
      </c>
      <c r="D143" t="s">
        <v>99</v>
      </c>
      <c r="E143">
        <v>55</v>
      </c>
      <c r="K143" t="str" cm="1">
        <f t="array" aca="1" ref="K143" ca="1">INDIRECT(_xlfn.CONCAT("A",$Q143))</f>
        <v>connection_phase</v>
      </c>
      <c r="L143" t="str" cm="1">
        <f t="array" aca="1" ref="L143" ca="1">INDIRECT(_xlfn.CONCAT("B",$Q143))</f>
        <v>PVA</v>
      </c>
      <c r="M143" cm="1">
        <f t="array" aca="1" ref="M143" ca="1">INDIRECT(_xlfn.CONCAT("C",$Q143))</f>
        <v>42</v>
      </c>
      <c r="N143" t="str" cm="1">
        <f t="array" aca="1" ref="N143" ca="1">INDIRECT(_xlfn.CONCAT("D",$Q143))</f>
        <v>tcp_connect</v>
      </c>
      <c r="O143" cm="1">
        <f t="array" aca="1" ref="O143" ca="1">INDIRECT(_xlfn.CONCAT("E",$Q143))</f>
        <v>91</v>
      </c>
      <c r="Q143">
        <v>208</v>
      </c>
    </row>
    <row r="144" spans="1:17">
      <c r="A144" t="s">
        <v>97</v>
      </c>
      <c r="B144" t="s">
        <v>8</v>
      </c>
      <c r="C144">
        <v>29</v>
      </c>
      <c r="D144" t="s">
        <v>100</v>
      </c>
      <c r="E144">
        <v>389</v>
      </c>
      <c r="K144" t="str" cm="1">
        <f t="array" aca="1" ref="K144" ca="1">INDIRECT(_xlfn.CONCAT("A",$Q144))</f>
        <v>connection_phase</v>
      </c>
      <c r="L144" t="str" cm="1">
        <f t="array" aca="1" ref="L144" ca="1">INDIRECT(_xlfn.CONCAT("B",$Q144))</f>
        <v>PVA</v>
      </c>
      <c r="M144" cm="1">
        <f t="array" aca="1" ref="M144" ca="1">INDIRECT(_xlfn.CONCAT("C",$Q144))</f>
        <v>43</v>
      </c>
      <c r="N144" t="str" cm="1">
        <f t="array" aca="1" ref="N144" ca="1">INDIRECT(_xlfn.CONCAT("D",$Q144))</f>
        <v>tcp_connect</v>
      </c>
      <c r="O144" cm="1">
        <f t="array" aca="1" ref="O144" ca="1">INDIRECT(_xlfn.CONCAT("E",$Q144))</f>
        <v>169</v>
      </c>
      <c r="Q144">
        <v>213</v>
      </c>
    </row>
    <row r="145" spans="1:17">
      <c r="A145" t="s">
        <v>97</v>
      </c>
      <c r="B145" t="s">
        <v>8</v>
      </c>
      <c r="C145">
        <v>29</v>
      </c>
      <c r="D145" t="s">
        <v>101</v>
      </c>
      <c r="E145">
        <v>510</v>
      </c>
      <c r="K145" t="str" cm="1">
        <f t="array" aca="1" ref="K145" ca="1">INDIRECT(_xlfn.CONCAT("A",$Q145))</f>
        <v>connection_phase</v>
      </c>
      <c r="L145" t="str" cm="1">
        <f t="array" aca="1" ref="L145" ca="1">INDIRECT(_xlfn.CONCAT("B",$Q145))</f>
        <v>PVA</v>
      </c>
      <c r="M145" cm="1">
        <f t="array" aca="1" ref="M145" ca="1">INDIRECT(_xlfn.CONCAT("C",$Q145))</f>
        <v>44</v>
      </c>
      <c r="N145" t="str" cm="1">
        <f t="array" aca="1" ref="N145" ca="1">INDIRECT(_xlfn.CONCAT("D",$Q145))</f>
        <v>tcp_connect</v>
      </c>
      <c r="O145" cm="1">
        <f t="array" aca="1" ref="O145" ca="1">INDIRECT(_xlfn.CONCAT("E",$Q145))</f>
        <v>63</v>
      </c>
      <c r="Q145">
        <v>218</v>
      </c>
    </row>
    <row r="146" spans="1:17">
      <c r="A146" t="s">
        <v>97</v>
      </c>
      <c r="B146" t="s">
        <v>8</v>
      </c>
      <c r="C146">
        <v>29</v>
      </c>
      <c r="D146" t="s">
        <v>102</v>
      </c>
      <c r="E146">
        <v>3111</v>
      </c>
      <c r="K146" t="str" cm="1">
        <f t="array" aca="1" ref="K146" ca="1">INDIRECT(_xlfn.CONCAT("A",$Q146))</f>
        <v>connection_phase</v>
      </c>
      <c r="L146" t="str" cm="1">
        <f t="array" aca="1" ref="L146" ca="1">INDIRECT(_xlfn.CONCAT("B",$Q146))</f>
        <v>PVA</v>
      </c>
      <c r="M146" cm="1">
        <f t="array" aca="1" ref="M146" ca="1">INDIRECT(_xlfn.CONCAT("C",$Q146))</f>
        <v>45</v>
      </c>
      <c r="N146" t="str" cm="1">
        <f t="array" aca="1" ref="N146" ca="1">INDIRECT(_xlfn.CONCAT("D",$Q146))</f>
        <v>tcp_connect</v>
      </c>
      <c r="O146" cm="1">
        <f t="array" aca="1" ref="O146" ca="1">INDIRECT(_xlfn.CONCAT("E",$Q146))</f>
        <v>62</v>
      </c>
      <c r="Q146">
        <v>223</v>
      </c>
    </row>
    <row r="147" spans="1:17">
      <c r="A147" t="s">
        <v>97</v>
      </c>
      <c r="B147" t="s">
        <v>8</v>
      </c>
      <c r="C147">
        <v>30</v>
      </c>
      <c r="D147" t="s">
        <v>98</v>
      </c>
      <c r="E147">
        <v>2460</v>
      </c>
      <c r="K147" t="str" cm="1">
        <f t="array" aca="1" ref="K147" ca="1">INDIRECT(_xlfn.CONCAT("A",$Q147))</f>
        <v>connection_phase</v>
      </c>
      <c r="L147" t="str" cm="1">
        <f t="array" aca="1" ref="L147" ca="1">INDIRECT(_xlfn.CONCAT("B",$Q147))</f>
        <v>PVA</v>
      </c>
      <c r="M147" cm="1">
        <f t="array" aca="1" ref="M147" ca="1">INDIRECT(_xlfn.CONCAT("C",$Q147))</f>
        <v>46</v>
      </c>
      <c r="N147" t="str" cm="1">
        <f t="array" aca="1" ref="N147" ca="1">INDIRECT(_xlfn.CONCAT("D",$Q147))</f>
        <v>tcp_connect</v>
      </c>
      <c r="O147" cm="1">
        <f t="array" aca="1" ref="O147" ca="1">INDIRECT(_xlfn.CONCAT("E",$Q147))</f>
        <v>115</v>
      </c>
      <c r="Q147">
        <v>228</v>
      </c>
    </row>
    <row r="148" spans="1:17">
      <c r="A148" t="s">
        <v>97</v>
      </c>
      <c r="B148" t="s">
        <v>8</v>
      </c>
      <c r="C148">
        <v>30</v>
      </c>
      <c r="D148" t="s">
        <v>99</v>
      </c>
      <c r="E148">
        <v>86</v>
      </c>
      <c r="K148" t="str" cm="1">
        <f t="array" aca="1" ref="K148" ca="1">INDIRECT(_xlfn.CONCAT("A",$Q148))</f>
        <v>connection_phase</v>
      </c>
      <c r="L148" t="str" cm="1">
        <f t="array" aca="1" ref="L148" ca="1">INDIRECT(_xlfn.CONCAT("B",$Q148))</f>
        <v>PVA</v>
      </c>
      <c r="M148" cm="1">
        <f t="array" aca="1" ref="M148" ca="1">INDIRECT(_xlfn.CONCAT("C",$Q148))</f>
        <v>47</v>
      </c>
      <c r="N148" t="str" cm="1">
        <f t="array" aca="1" ref="N148" ca="1">INDIRECT(_xlfn.CONCAT("D",$Q148))</f>
        <v>tcp_connect</v>
      </c>
      <c r="O148" cm="1">
        <f t="array" aca="1" ref="O148" ca="1">INDIRECT(_xlfn.CONCAT("E",$Q148))</f>
        <v>115</v>
      </c>
      <c r="Q148">
        <v>233</v>
      </c>
    </row>
    <row r="149" spans="1:17">
      <c r="A149" t="s">
        <v>97</v>
      </c>
      <c r="B149" t="s">
        <v>8</v>
      </c>
      <c r="C149">
        <v>30</v>
      </c>
      <c r="D149" t="s">
        <v>100</v>
      </c>
      <c r="E149">
        <v>399</v>
      </c>
      <c r="K149" t="str" cm="1">
        <f t="array" aca="1" ref="K149" ca="1">INDIRECT(_xlfn.CONCAT("A",$Q149))</f>
        <v>connection_phase</v>
      </c>
      <c r="L149" t="str" cm="1">
        <f t="array" aca="1" ref="L149" ca="1">INDIRECT(_xlfn.CONCAT("B",$Q149))</f>
        <v>PVA</v>
      </c>
      <c r="M149" cm="1">
        <f t="array" aca="1" ref="M149" ca="1">INDIRECT(_xlfn.CONCAT("C",$Q149))</f>
        <v>48</v>
      </c>
      <c r="N149" t="str" cm="1">
        <f t="array" aca="1" ref="N149" ca="1">INDIRECT(_xlfn.CONCAT("D",$Q149))</f>
        <v>tcp_connect</v>
      </c>
      <c r="O149" cm="1">
        <f t="array" aca="1" ref="O149" ca="1">INDIRECT(_xlfn.CONCAT("E",$Q149))</f>
        <v>234</v>
      </c>
      <c r="Q149">
        <v>238</v>
      </c>
    </row>
    <row r="150" spans="1:17">
      <c r="A150" t="s">
        <v>97</v>
      </c>
      <c r="B150" t="s">
        <v>8</v>
      </c>
      <c r="C150">
        <v>30</v>
      </c>
      <c r="D150" t="s">
        <v>101</v>
      </c>
      <c r="E150">
        <v>547</v>
      </c>
      <c r="K150" t="str" cm="1">
        <f t="array" aca="1" ref="K150" ca="1">INDIRECT(_xlfn.CONCAT("A",$Q150))</f>
        <v>connection_phase</v>
      </c>
      <c r="L150" t="str" cm="1">
        <f t="array" aca="1" ref="L150" ca="1">INDIRECT(_xlfn.CONCAT("B",$Q150))</f>
        <v>PVA</v>
      </c>
      <c r="M150" cm="1">
        <f t="array" aca="1" ref="M150" ca="1">INDIRECT(_xlfn.CONCAT("C",$Q150))</f>
        <v>49</v>
      </c>
      <c r="N150" t="str" cm="1">
        <f t="array" aca="1" ref="N150" ca="1">INDIRECT(_xlfn.CONCAT("D",$Q150))</f>
        <v>tcp_connect</v>
      </c>
      <c r="O150" cm="1">
        <f t="array" aca="1" ref="O150" ca="1">INDIRECT(_xlfn.CONCAT("E",$Q150))</f>
        <v>55</v>
      </c>
      <c r="Q150">
        <v>243</v>
      </c>
    </row>
    <row r="151" spans="1:17">
      <c r="A151" t="s">
        <v>97</v>
      </c>
      <c r="B151" t="s">
        <v>8</v>
      </c>
      <c r="C151">
        <v>30</v>
      </c>
      <c r="D151" t="s">
        <v>102</v>
      </c>
      <c r="E151">
        <v>3492</v>
      </c>
      <c r="K151" t="str" cm="1">
        <f t="array" aca="1" ref="K151" ca="1">INDIRECT(_xlfn.CONCAT("A",$Q151))</f>
        <v>connection_phase</v>
      </c>
      <c r="L151" t="str" cm="1">
        <f t="array" aca="1" ref="L151" ca="1">INDIRECT(_xlfn.CONCAT("B",$Q151))</f>
        <v>PVA</v>
      </c>
      <c r="M151" cm="1">
        <f t="array" aca="1" ref="M151" ca="1">INDIRECT(_xlfn.CONCAT("C",$Q151))</f>
        <v>50</v>
      </c>
      <c r="N151" t="str" cm="1">
        <f t="array" aca="1" ref="N151" ca="1">INDIRECT(_xlfn.CONCAT("D",$Q151))</f>
        <v>tcp_connect</v>
      </c>
      <c r="O151" cm="1">
        <f t="array" aca="1" ref="O151" ca="1">INDIRECT(_xlfn.CONCAT("E",$Q151))</f>
        <v>56</v>
      </c>
      <c r="Q151">
        <v>248</v>
      </c>
    </row>
    <row r="152" spans="1:17">
      <c r="A152" t="s">
        <v>97</v>
      </c>
      <c r="B152" t="s">
        <v>8</v>
      </c>
      <c r="C152">
        <v>31</v>
      </c>
      <c r="D152" t="s">
        <v>98</v>
      </c>
      <c r="E152">
        <v>2437</v>
      </c>
      <c r="K152" t="str" cm="1">
        <f t="array" aca="1" ref="K152" ca="1">INDIRECT(_xlfn.CONCAT("A",$Q152))</f>
        <v>connection_phase</v>
      </c>
      <c r="L152" t="str" cm="1">
        <f t="array" aca="1" ref="L152" ca="1">INDIRECT(_xlfn.CONCAT("B",$Q152))</f>
        <v>PVA</v>
      </c>
      <c r="M152" cm="1">
        <f t="array" aca="1" ref="M152" ca="1">INDIRECT(_xlfn.CONCAT("C",$Q152))</f>
        <v>1</v>
      </c>
      <c r="N152" t="str" cm="1">
        <f t="array" aca="1" ref="N152" ca="1">INDIRECT(_xlfn.CONCAT("D",$Q152))</f>
        <v>total</v>
      </c>
      <c r="O152" cm="1">
        <f t="array" aca="1" ref="O152" ca="1">INDIRECT(_xlfn.CONCAT("E",$Q152))</f>
        <v>1441</v>
      </c>
      <c r="Q152">
        <v>6</v>
      </c>
    </row>
    <row r="153" spans="1:17">
      <c r="A153" t="s">
        <v>97</v>
      </c>
      <c r="B153" t="s">
        <v>8</v>
      </c>
      <c r="C153">
        <v>31</v>
      </c>
      <c r="D153" t="s">
        <v>99</v>
      </c>
      <c r="E153">
        <v>73</v>
      </c>
      <c r="K153" t="str" cm="1">
        <f t="array" aca="1" ref="K153" ca="1">INDIRECT(_xlfn.CONCAT("A",$Q153))</f>
        <v>connection_phase</v>
      </c>
      <c r="L153" t="str" cm="1">
        <f t="array" aca="1" ref="L153" ca="1">INDIRECT(_xlfn.CONCAT("B",$Q153))</f>
        <v>PVA</v>
      </c>
      <c r="M153" cm="1">
        <f t="array" aca="1" ref="M153" ca="1">INDIRECT(_xlfn.CONCAT("C",$Q153))</f>
        <v>2</v>
      </c>
      <c r="N153" t="str" cm="1">
        <f t="array" aca="1" ref="N153" ca="1">INDIRECT(_xlfn.CONCAT("D",$Q153))</f>
        <v>total</v>
      </c>
      <c r="O153" cm="1">
        <f t="array" aca="1" ref="O153" ca="1">INDIRECT(_xlfn.CONCAT("E",$Q153))</f>
        <v>1338</v>
      </c>
      <c r="Q153">
        <v>11</v>
      </c>
    </row>
    <row r="154" spans="1:17">
      <c r="A154" t="s">
        <v>97</v>
      </c>
      <c r="B154" t="s">
        <v>8</v>
      </c>
      <c r="C154">
        <v>31</v>
      </c>
      <c r="D154" t="s">
        <v>100</v>
      </c>
      <c r="E154">
        <v>270</v>
      </c>
      <c r="K154" t="str" cm="1">
        <f t="array" aca="1" ref="K154" ca="1">INDIRECT(_xlfn.CONCAT("A",$Q154))</f>
        <v>connection_phase</v>
      </c>
      <c r="L154" t="str" cm="1">
        <f t="array" aca="1" ref="L154" ca="1">INDIRECT(_xlfn.CONCAT("B",$Q154))</f>
        <v>PVA</v>
      </c>
      <c r="M154" cm="1">
        <f t="array" aca="1" ref="M154" ca="1">INDIRECT(_xlfn.CONCAT("C",$Q154))</f>
        <v>3</v>
      </c>
      <c r="N154" t="str" cm="1">
        <f t="array" aca="1" ref="N154" ca="1">INDIRECT(_xlfn.CONCAT("D",$Q154))</f>
        <v>total</v>
      </c>
      <c r="O154" cm="1">
        <f t="array" aca="1" ref="O154" ca="1">INDIRECT(_xlfn.CONCAT("E",$Q154))</f>
        <v>1354</v>
      </c>
      <c r="Q154">
        <v>16</v>
      </c>
    </row>
    <row r="155" spans="1:17">
      <c r="A155" t="s">
        <v>97</v>
      </c>
      <c r="B155" t="s">
        <v>8</v>
      </c>
      <c r="C155">
        <v>31</v>
      </c>
      <c r="D155" t="s">
        <v>101</v>
      </c>
      <c r="E155">
        <v>510</v>
      </c>
      <c r="K155" t="str" cm="1">
        <f t="array" aca="1" ref="K155" ca="1">INDIRECT(_xlfn.CONCAT("A",$Q155))</f>
        <v>connection_phase</v>
      </c>
      <c r="L155" t="str" cm="1">
        <f t="array" aca="1" ref="L155" ca="1">INDIRECT(_xlfn.CONCAT("B",$Q155))</f>
        <v>PVA</v>
      </c>
      <c r="M155" cm="1">
        <f t="array" aca="1" ref="M155" ca="1">INDIRECT(_xlfn.CONCAT("C",$Q155))</f>
        <v>4</v>
      </c>
      <c r="N155" t="str" cm="1">
        <f t="array" aca="1" ref="N155" ca="1">INDIRECT(_xlfn.CONCAT("D",$Q155))</f>
        <v>total</v>
      </c>
      <c r="O155" cm="1">
        <f t="array" aca="1" ref="O155" ca="1">INDIRECT(_xlfn.CONCAT("E",$Q155))</f>
        <v>1537</v>
      </c>
      <c r="Q155">
        <v>21</v>
      </c>
    </row>
    <row r="156" spans="1:17">
      <c r="A156" t="s">
        <v>97</v>
      </c>
      <c r="B156" t="s">
        <v>8</v>
      </c>
      <c r="C156">
        <v>31</v>
      </c>
      <c r="D156" t="s">
        <v>102</v>
      </c>
      <c r="E156">
        <v>3290</v>
      </c>
      <c r="K156" t="str" cm="1">
        <f t="array" aca="1" ref="K156" ca="1">INDIRECT(_xlfn.CONCAT("A",$Q156))</f>
        <v>connection_phase</v>
      </c>
      <c r="L156" t="str" cm="1">
        <f t="array" aca="1" ref="L156" ca="1">INDIRECT(_xlfn.CONCAT("B",$Q156))</f>
        <v>PVA</v>
      </c>
      <c r="M156" cm="1">
        <f t="array" aca="1" ref="M156" ca="1">INDIRECT(_xlfn.CONCAT("C",$Q156))</f>
        <v>5</v>
      </c>
      <c r="N156" t="str" cm="1">
        <f t="array" aca="1" ref="N156" ca="1">INDIRECT(_xlfn.CONCAT("D",$Q156))</f>
        <v>total</v>
      </c>
      <c r="O156" cm="1">
        <f t="array" aca="1" ref="O156" ca="1">INDIRECT(_xlfn.CONCAT("E",$Q156))</f>
        <v>1479</v>
      </c>
      <c r="Q156">
        <v>26</v>
      </c>
    </row>
    <row r="157" spans="1:17">
      <c r="A157" t="s">
        <v>97</v>
      </c>
      <c r="B157" t="s">
        <v>8</v>
      </c>
      <c r="C157">
        <v>32</v>
      </c>
      <c r="D157" t="s">
        <v>98</v>
      </c>
      <c r="E157">
        <v>1979</v>
      </c>
      <c r="K157" t="str" cm="1">
        <f t="array" aca="1" ref="K157" ca="1">INDIRECT(_xlfn.CONCAT("A",$Q157))</f>
        <v>connection_phase</v>
      </c>
      <c r="L157" t="str" cm="1">
        <f t="array" aca="1" ref="L157" ca="1">INDIRECT(_xlfn.CONCAT("B",$Q157))</f>
        <v>PVA</v>
      </c>
      <c r="M157" cm="1">
        <f t="array" aca="1" ref="M157" ca="1">INDIRECT(_xlfn.CONCAT("C",$Q157))</f>
        <v>6</v>
      </c>
      <c r="N157" t="str" cm="1">
        <f t="array" aca="1" ref="N157" ca="1">INDIRECT(_xlfn.CONCAT("D",$Q157))</f>
        <v>total</v>
      </c>
      <c r="O157" cm="1">
        <f t="array" aca="1" ref="O157" ca="1">INDIRECT(_xlfn.CONCAT("E",$Q157))</f>
        <v>1300</v>
      </c>
      <c r="Q157">
        <v>31</v>
      </c>
    </row>
    <row r="158" spans="1:17">
      <c r="A158" t="s">
        <v>97</v>
      </c>
      <c r="B158" t="s">
        <v>8</v>
      </c>
      <c r="C158">
        <v>32</v>
      </c>
      <c r="D158" t="s">
        <v>99</v>
      </c>
      <c r="E158">
        <v>92</v>
      </c>
      <c r="K158" t="str" cm="1">
        <f t="array" aca="1" ref="K158" ca="1">INDIRECT(_xlfn.CONCAT("A",$Q158))</f>
        <v>connection_phase</v>
      </c>
      <c r="L158" t="str" cm="1">
        <f t="array" aca="1" ref="L158" ca="1">INDIRECT(_xlfn.CONCAT("B",$Q158))</f>
        <v>PVA</v>
      </c>
      <c r="M158" cm="1">
        <f t="array" aca="1" ref="M158" ca="1">INDIRECT(_xlfn.CONCAT("C",$Q158))</f>
        <v>7</v>
      </c>
      <c r="N158" t="str" cm="1">
        <f t="array" aca="1" ref="N158" ca="1">INDIRECT(_xlfn.CONCAT("D",$Q158))</f>
        <v>total</v>
      </c>
      <c r="O158" cm="1">
        <f t="array" aca="1" ref="O158" ca="1">INDIRECT(_xlfn.CONCAT("E",$Q158))</f>
        <v>1594</v>
      </c>
      <c r="Q158">
        <v>36</v>
      </c>
    </row>
    <row r="159" spans="1:17">
      <c r="A159" t="s">
        <v>97</v>
      </c>
      <c r="B159" t="s">
        <v>8</v>
      </c>
      <c r="C159">
        <v>32</v>
      </c>
      <c r="D159" t="s">
        <v>100</v>
      </c>
      <c r="E159">
        <v>297</v>
      </c>
      <c r="K159" t="str" cm="1">
        <f t="array" aca="1" ref="K159" ca="1">INDIRECT(_xlfn.CONCAT("A",$Q159))</f>
        <v>connection_phase</v>
      </c>
      <c r="L159" t="str" cm="1">
        <f t="array" aca="1" ref="L159" ca="1">INDIRECT(_xlfn.CONCAT("B",$Q159))</f>
        <v>PVA</v>
      </c>
      <c r="M159" cm="1">
        <f t="array" aca="1" ref="M159" ca="1">INDIRECT(_xlfn.CONCAT("C",$Q159))</f>
        <v>8</v>
      </c>
      <c r="N159" t="str" cm="1">
        <f t="array" aca="1" ref="N159" ca="1">INDIRECT(_xlfn.CONCAT("D",$Q159))</f>
        <v>total</v>
      </c>
      <c r="O159" cm="1">
        <f t="array" aca="1" ref="O159" ca="1">INDIRECT(_xlfn.CONCAT("E",$Q159))</f>
        <v>1412</v>
      </c>
      <c r="Q159">
        <v>41</v>
      </c>
    </row>
    <row r="160" spans="1:17">
      <c r="A160" t="s">
        <v>97</v>
      </c>
      <c r="B160" t="s">
        <v>8</v>
      </c>
      <c r="C160">
        <v>32</v>
      </c>
      <c r="D160" t="s">
        <v>101</v>
      </c>
      <c r="E160">
        <v>285</v>
      </c>
      <c r="K160" t="str" cm="1">
        <f t="array" aca="1" ref="K160" ca="1">INDIRECT(_xlfn.CONCAT("A",$Q160))</f>
        <v>connection_phase</v>
      </c>
      <c r="L160" t="str" cm="1">
        <f t="array" aca="1" ref="L160" ca="1">INDIRECT(_xlfn.CONCAT("B",$Q160))</f>
        <v>PVA</v>
      </c>
      <c r="M160" cm="1">
        <f t="array" aca="1" ref="M160" ca="1">INDIRECT(_xlfn.CONCAT("C",$Q160))</f>
        <v>9</v>
      </c>
      <c r="N160" t="str" cm="1">
        <f t="array" aca="1" ref="N160" ca="1">INDIRECT(_xlfn.CONCAT("D",$Q160))</f>
        <v>total</v>
      </c>
      <c r="O160" cm="1">
        <f t="array" aca="1" ref="O160" ca="1">INDIRECT(_xlfn.CONCAT("E",$Q160))</f>
        <v>8874</v>
      </c>
      <c r="Q160">
        <v>46</v>
      </c>
    </row>
    <row r="161" spans="1:17">
      <c r="A161" t="s">
        <v>97</v>
      </c>
      <c r="B161" t="s">
        <v>8</v>
      </c>
      <c r="C161">
        <v>32</v>
      </c>
      <c r="D161" t="s">
        <v>102</v>
      </c>
      <c r="E161">
        <v>2653</v>
      </c>
      <c r="K161" t="str" cm="1">
        <f t="array" aca="1" ref="K161" ca="1">INDIRECT(_xlfn.CONCAT("A",$Q161))</f>
        <v>connection_phase</v>
      </c>
      <c r="L161" t="str" cm="1">
        <f t="array" aca="1" ref="L161" ca="1">INDIRECT(_xlfn.CONCAT("B",$Q161))</f>
        <v>PVA</v>
      </c>
      <c r="M161" cm="1">
        <f t="array" aca="1" ref="M161" ca="1">INDIRECT(_xlfn.CONCAT("C",$Q161))</f>
        <v>10</v>
      </c>
      <c r="N161" t="str" cm="1">
        <f t="array" aca="1" ref="N161" ca="1">INDIRECT(_xlfn.CONCAT("D",$Q161))</f>
        <v>total</v>
      </c>
      <c r="O161" cm="1">
        <f t="array" aca="1" ref="O161" ca="1">INDIRECT(_xlfn.CONCAT("E",$Q161))</f>
        <v>1493</v>
      </c>
      <c r="Q161">
        <v>51</v>
      </c>
    </row>
    <row r="162" spans="1:17">
      <c r="A162" t="s">
        <v>97</v>
      </c>
      <c r="B162" t="s">
        <v>8</v>
      </c>
      <c r="C162">
        <v>33</v>
      </c>
      <c r="D162" t="s">
        <v>98</v>
      </c>
      <c r="E162">
        <v>3372</v>
      </c>
      <c r="K162" t="str" cm="1">
        <f t="array" aca="1" ref="K162" ca="1">INDIRECT(_xlfn.CONCAT("A",$Q162))</f>
        <v>connection_phase</v>
      </c>
      <c r="L162" t="str" cm="1">
        <f t="array" aca="1" ref="L162" ca="1">INDIRECT(_xlfn.CONCAT("B",$Q162))</f>
        <v>PVA</v>
      </c>
      <c r="M162" cm="1">
        <f t="array" aca="1" ref="M162" ca="1">INDIRECT(_xlfn.CONCAT("C",$Q162))</f>
        <v>11</v>
      </c>
      <c r="N162" t="str" cm="1">
        <f t="array" aca="1" ref="N162" ca="1">INDIRECT(_xlfn.CONCAT("D",$Q162))</f>
        <v>total</v>
      </c>
      <c r="O162" cm="1">
        <f t="array" aca="1" ref="O162" ca="1">INDIRECT(_xlfn.CONCAT("E",$Q162))</f>
        <v>8338</v>
      </c>
      <c r="Q162">
        <v>56</v>
      </c>
    </row>
    <row r="163" spans="1:17">
      <c r="A163" t="s">
        <v>97</v>
      </c>
      <c r="B163" t="s">
        <v>8</v>
      </c>
      <c r="C163">
        <v>33</v>
      </c>
      <c r="D163" t="s">
        <v>99</v>
      </c>
      <c r="E163">
        <v>108</v>
      </c>
      <c r="K163" t="str" cm="1">
        <f t="array" aca="1" ref="K163" ca="1">INDIRECT(_xlfn.CONCAT("A",$Q163))</f>
        <v>connection_phase</v>
      </c>
      <c r="L163" t="str" cm="1">
        <f t="array" aca="1" ref="L163" ca="1">INDIRECT(_xlfn.CONCAT("B",$Q163))</f>
        <v>PVA</v>
      </c>
      <c r="M163" cm="1">
        <f t="array" aca="1" ref="M163" ca="1">INDIRECT(_xlfn.CONCAT("C",$Q163))</f>
        <v>12</v>
      </c>
      <c r="N163" t="str" cm="1">
        <f t="array" aca="1" ref="N163" ca="1">INDIRECT(_xlfn.CONCAT("D",$Q163))</f>
        <v>total</v>
      </c>
      <c r="O163" cm="1">
        <f t="array" aca="1" ref="O163" ca="1">INDIRECT(_xlfn.CONCAT("E",$Q163))</f>
        <v>5683</v>
      </c>
      <c r="Q163">
        <v>61</v>
      </c>
    </row>
    <row r="164" spans="1:17">
      <c r="A164" t="s">
        <v>97</v>
      </c>
      <c r="B164" t="s">
        <v>8</v>
      </c>
      <c r="C164">
        <v>33</v>
      </c>
      <c r="D164" t="s">
        <v>100</v>
      </c>
      <c r="E164">
        <v>313</v>
      </c>
      <c r="K164" t="str" cm="1">
        <f t="array" aca="1" ref="K164" ca="1">INDIRECT(_xlfn.CONCAT("A",$Q164))</f>
        <v>connection_phase</v>
      </c>
      <c r="L164" t="str" cm="1">
        <f t="array" aca="1" ref="L164" ca="1">INDIRECT(_xlfn.CONCAT("B",$Q164))</f>
        <v>PVA</v>
      </c>
      <c r="M164" cm="1">
        <f t="array" aca="1" ref="M164" ca="1">INDIRECT(_xlfn.CONCAT("C",$Q164))</f>
        <v>13</v>
      </c>
      <c r="N164" t="str" cm="1">
        <f t="array" aca="1" ref="N164" ca="1">INDIRECT(_xlfn.CONCAT("D",$Q164))</f>
        <v>total</v>
      </c>
      <c r="O164" cm="1">
        <f t="array" aca="1" ref="O164" ca="1">INDIRECT(_xlfn.CONCAT("E",$Q164))</f>
        <v>2543</v>
      </c>
      <c r="Q164">
        <v>66</v>
      </c>
    </row>
    <row r="165" spans="1:17">
      <c r="A165" t="s">
        <v>97</v>
      </c>
      <c r="B165" t="s">
        <v>8</v>
      </c>
      <c r="C165">
        <v>33</v>
      </c>
      <c r="D165" t="s">
        <v>101</v>
      </c>
      <c r="E165">
        <v>574</v>
      </c>
      <c r="K165" t="str" cm="1">
        <f t="array" aca="1" ref="K165" ca="1">INDIRECT(_xlfn.CONCAT("A",$Q165))</f>
        <v>connection_phase</v>
      </c>
      <c r="L165" t="str" cm="1">
        <f t="array" aca="1" ref="L165" ca="1">INDIRECT(_xlfn.CONCAT("B",$Q165))</f>
        <v>PVA</v>
      </c>
      <c r="M165" cm="1">
        <f t="array" aca="1" ref="M165" ca="1">INDIRECT(_xlfn.CONCAT("C",$Q165))</f>
        <v>14</v>
      </c>
      <c r="N165" t="str" cm="1">
        <f t="array" aca="1" ref="N165" ca="1">INDIRECT(_xlfn.CONCAT("D",$Q165))</f>
        <v>total</v>
      </c>
      <c r="O165" cm="1">
        <f t="array" aca="1" ref="O165" ca="1">INDIRECT(_xlfn.CONCAT("E",$Q165))</f>
        <v>2494</v>
      </c>
      <c r="Q165">
        <v>71</v>
      </c>
    </row>
    <row r="166" spans="1:17">
      <c r="A166" t="s">
        <v>97</v>
      </c>
      <c r="B166" t="s">
        <v>8</v>
      </c>
      <c r="C166">
        <v>33</v>
      </c>
      <c r="D166" t="s">
        <v>102</v>
      </c>
      <c r="E166">
        <v>4367</v>
      </c>
      <c r="K166" t="str" cm="1">
        <f t="array" aca="1" ref="K166" ca="1">INDIRECT(_xlfn.CONCAT("A",$Q166))</f>
        <v>connection_phase</v>
      </c>
      <c r="L166" t="str" cm="1">
        <f t="array" aca="1" ref="L166" ca="1">INDIRECT(_xlfn.CONCAT("B",$Q166))</f>
        <v>PVA</v>
      </c>
      <c r="M166" cm="1">
        <f t="array" aca="1" ref="M166" ca="1">INDIRECT(_xlfn.CONCAT("C",$Q166))</f>
        <v>15</v>
      </c>
      <c r="N166" t="str" cm="1">
        <f t="array" aca="1" ref="N166" ca="1">INDIRECT(_xlfn.CONCAT("D",$Q166))</f>
        <v>total</v>
      </c>
      <c r="O166" cm="1">
        <f t="array" aca="1" ref="O166" ca="1">INDIRECT(_xlfn.CONCAT("E",$Q166))</f>
        <v>13283</v>
      </c>
      <c r="Q166">
        <v>76</v>
      </c>
    </row>
    <row r="167" spans="1:17">
      <c r="A167" t="s">
        <v>97</v>
      </c>
      <c r="B167" t="s">
        <v>8</v>
      </c>
      <c r="C167">
        <v>34</v>
      </c>
      <c r="D167" t="s">
        <v>98</v>
      </c>
      <c r="E167">
        <v>2269</v>
      </c>
      <c r="K167" t="str" cm="1">
        <f t="array" aca="1" ref="K167" ca="1">INDIRECT(_xlfn.CONCAT("A",$Q167))</f>
        <v>connection_phase</v>
      </c>
      <c r="L167" t="str" cm="1">
        <f t="array" aca="1" ref="L167" ca="1">INDIRECT(_xlfn.CONCAT("B",$Q167))</f>
        <v>PVA</v>
      </c>
      <c r="M167" cm="1">
        <f t="array" aca="1" ref="M167" ca="1">INDIRECT(_xlfn.CONCAT("C",$Q167))</f>
        <v>16</v>
      </c>
      <c r="N167" t="str" cm="1">
        <f t="array" aca="1" ref="N167" ca="1">INDIRECT(_xlfn.CONCAT("D",$Q167))</f>
        <v>total</v>
      </c>
      <c r="O167" cm="1">
        <f t="array" aca="1" ref="O167" ca="1">INDIRECT(_xlfn.CONCAT("E",$Q167))</f>
        <v>4918</v>
      </c>
      <c r="Q167">
        <v>81</v>
      </c>
    </row>
    <row r="168" spans="1:17">
      <c r="A168" t="s">
        <v>97</v>
      </c>
      <c r="B168" t="s">
        <v>8</v>
      </c>
      <c r="C168">
        <v>34</v>
      </c>
      <c r="D168" t="s">
        <v>99</v>
      </c>
      <c r="E168">
        <v>80</v>
      </c>
      <c r="K168" t="str" cm="1">
        <f t="array" aca="1" ref="K168" ca="1">INDIRECT(_xlfn.CONCAT("A",$Q168))</f>
        <v>connection_phase</v>
      </c>
      <c r="L168" t="str" cm="1">
        <f t="array" aca="1" ref="L168" ca="1">INDIRECT(_xlfn.CONCAT("B",$Q168))</f>
        <v>PVA</v>
      </c>
      <c r="M168" cm="1">
        <f t="array" aca="1" ref="M168" ca="1">INDIRECT(_xlfn.CONCAT("C",$Q168))</f>
        <v>17</v>
      </c>
      <c r="N168" t="str" cm="1">
        <f t="array" aca="1" ref="N168" ca="1">INDIRECT(_xlfn.CONCAT("D",$Q168))</f>
        <v>total</v>
      </c>
      <c r="O168" cm="1">
        <f t="array" aca="1" ref="O168" ca="1">INDIRECT(_xlfn.CONCAT("E",$Q168))</f>
        <v>3265</v>
      </c>
      <c r="Q168">
        <v>86</v>
      </c>
    </row>
    <row r="169" spans="1:17">
      <c r="A169" t="s">
        <v>97</v>
      </c>
      <c r="B169" t="s">
        <v>8</v>
      </c>
      <c r="C169">
        <v>34</v>
      </c>
      <c r="D169" t="s">
        <v>100</v>
      </c>
      <c r="E169">
        <v>272</v>
      </c>
      <c r="K169" t="str" cm="1">
        <f t="array" aca="1" ref="K169" ca="1">INDIRECT(_xlfn.CONCAT("A",$Q169))</f>
        <v>connection_phase</v>
      </c>
      <c r="L169" t="str" cm="1">
        <f t="array" aca="1" ref="L169" ca="1">INDIRECT(_xlfn.CONCAT("B",$Q169))</f>
        <v>PVA</v>
      </c>
      <c r="M169" cm="1">
        <f t="array" aca="1" ref="M169" ca="1">INDIRECT(_xlfn.CONCAT("C",$Q169))</f>
        <v>18</v>
      </c>
      <c r="N169" t="str" cm="1">
        <f t="array" aca="1" ref="N169" ca="1">INDIRECT(_xlfn.CONCAT("D",$Q169))</f>
        <v>total</v>
      </c>
      <c r="O169" cm="1">
        <f t="array" aca="1" ref="O169" ca="1">INDIRECT(_xlfn.CONCAT("E",$Q169))</f>
        <v>3208</v>
      </c>
      <c r="Q169">
        <v>91</v>
      </c>
    </row>
    <row r="170" spans="1:17">
      <c r="A170" t="s">
        <v>97</v>
      </c>
      <c r="B170" t="s">
        <v>8</v>
      </c>
      <c r="C170">
        <v>34</v>
      </c>
      <c r="D170" t="s">
        <v>101</v>
      </c>
      <c r="E170">
        <v>364</v>
      </c>
      <c r="K170" t="str" cm="1">
        <f t="array" aca="1" ref="K170" ca="1">INDIRECT(_xlfn.CONCAT("A",$Q170))</f>
        <v>connection_phase</v>
      </c>
      <c r="L170" t="str" cm="1">
        <f t="array" aca="1" ref="L170" ca="1">INDIRECT(_xlfn.CONCAT("B",$Q170))</f>
        <v>PVA</v>
      </c>
      <c r="M170" cm="1">
        <f t="array" aca="1" ref="M170" ca="1">INDIRECT(_xlfn.CONCAT("C",$Q170))</f>
        <v>19</v>
      </c>
      <c r="N170" t="str" cm="1">
        <f t="array" aca="1" ref="N170" ca="1">INDIRECT(_xlfn.CONCAT("D",$Q170))</f>
        <v>total</v>
      </c>
      <c r="O170" cm="1">
        <f t="array" aca="1" ref="O170" ca="1">INDIRECT(_xlfn.CONCAT("E",$Q170))</f>
        <v>4036</v>
      </c>
      <c r="Q170">
        <v>96</v>
      </c>
    </row>
    <row r="171" spans="1:17">
      <c r="A171" t="s">
        <v>97</v>
      </c>
      <c r="B171" t="s">
        <v>8</v>
      </c>
      <c r="C171">
        <v>34</v>
      </c>
      <c r="D171" t="s">
        <v>102</v>
      </c>
      <c r="E171">
        <v>2985</v>
      </c>
      <c r="K171" t="str" cm="1">
        <f t="array" aca="1" ref="K171" ca="1">INDIRECT(_xlfn.CONCAT("A",$Q171))</f>
        <v>connection_phase</v>
      </c>
      <c r="L171" t="str" cm="1">
        <f t="array" aca="1" ref="L171" ca="1">INDIRECT(_xlfn.CONCAT("B",$Q171))</f>
        <v>PVA</v>
      </c>
      <c r="M171" cm="1">
        <f t="array" aca="1" ref="M171" ca="1">INDIRECT(_xlfn.CONCAT("C",$Q171))</f>
        <v>20</v>
      </c>
      <c r="N171" t="str" cm="1">
        <f t="array" aca="1" ref="N171" ca="1">INDIRECT(_xlfn.CONCAT("D",$Q171))</f>
        <v>total</v>
      </c>
      <c r="O171" cm="1">
        <f t="array" aca="1" ref="O171" ca="1">INDIRECT(_xlfn.CONCAT("E",$Q171))</f>
        <v>4886</v>
      </c>
      <c r="Q171">
        <v>101</v>
      </c>
    </row>
    <row r="172" spans="1:17">
      <c r="A172" t="s">
        <v>97</v>
      </c>
      <c r="B172" t="s">
        <v>8</v>
      </c>
      <c r="C172">
        <v>35</v>
      </c>
      <c r="D172" t="s">
        <v>98</v>
      </c>
      <c r="E172">
        <v>1557</v>
      </c>
      <c r="K172" t="str" cm="1">
        <f t="array" aca="1" ref="K172" ca="1">INDIRECT(_xlfn.CONCAT("A",$Q172))</f>
        <v>connection_phase</v>
      </c>
      <c r="L172" t="str" cm="1">
        <f t="array" aca="1" ref="L172" ca="1">INDIRECT(_xlfn.CONCAT("B",$Q172))</f>
        <v>PVA</v>
      </c>
      <c r="M172" cm="1">
        <f t="array" aca="1" ref="M172" ca="1">INDIRECT(_xlfn.CONCAT("C",$Q172))</f>
        <v>21</v>
      </c>
      <c r="N172" t="str" cm="1">
        <f t="array" aca="1" ref="N172" ca="1">INDIRECT(_xlfn.CONCAT("D",$Q172))</f>
        <v>total</v>
      </c>
      <c r="O172" cm="1">
        <f t="array" aca="1" ref="O172" ca="1">INDIRECT(_xlfn.CONCAT("E",$Q172))</f>
        <v>2087</v>
      </c>
      <c r="Q172">
        <v>106</v>
      </c>
    </row>
    <row r="173" spans="1:17">
      <c r="A173" t="s">
        <v>97</v>
      </c>
      <c r="B173" t="s">
        <v>8</v>
      </c>
      <c r="C173">
        <v>35</v>
      </c>
      <c r="D173" t="s">
        <v>99</v>
      </c>
      <c r="E173">
        <v>58</v>
      </c>
      <c r="K173" t="str" cm="1">
        <f t="array" aca="1" ref="K173" ca="1">INDIRECT(_xlfn.CONCAT("A",$Q173))</f>
        <v>connection_phase</v>
      </c>
      <c r="L173" t="str" cm="1">
        <f t="array" aca="1" ref="L173" ca="1">INDIRECT(_xlfn.CONCAT("B",$Q173))</f>
        <v>PVA</v>
      </c>
      <c r="M173" cm="1">
        <f t="array" aca="1" ref="M173" ca="1">INDIRECT(_xlfn.CONCAT("C",$Q173))</f>
        <v>22</v>
      </c>
      <c r="N173" t="str" cm="1">
        <f t="array" aca="1" ref="N173" ca="1">INDIRECT(_xlfn.CONCAT("D",$Q173))</f>
        <v>total</v>
      </c>
      <c r="O173" cm="1">
        <f t="array" aca="1" ref="O173" ca="1">INDIRECT(_xlfn.CONCAT("E",$Q173))</f>
        <v>4211</v>
      </c>
      <c r="Q173">
        <v>111</v>
      </c>
    </row>
    <row r="174" spans="1:17">
      <c r="A174" t="s">
        <v>97</v>
      </c>
      <c r="B174" t="s">
        <v>8</v>
      </c>
      <c r="C174">
        <v>35</v>
      </c>
      <c r="D174" t="s">
        <v>100</v>
      </c>
      <c r="E174">
        <v>429</v>
      </c>
      <c r="K174" t="str" cm="1">
        <f t="array" aca="1" ref="K174" ca="1">INDIRECT(_xlfn.CONCAT("A",$Q174))</f>
        <v>connection_phase</v>
      </c>
      <c r="L174" t="str" cm="1">
        <f t="array" aca="1" ref="L174" ca="1">INDIRECT(_xlfn.CONCAT("B",$Q174))</f>
        <v>PVA</v>
      </c>
      <c r="M174" cm="1">
        <f t="array" aca="1" ref="M174" ca="1">INDIRECT(_xlfn.CONCAT("C",$Q174))</f>
        <v>23</v>
      </c>
      <c r="N174" t="str" cm="1">
        <f t="array" aca="1" ref="N174" ca="1">INDIRECT(_xlfn.CONCAT("D",$Q174))</f>
        <v>total</v>
      </c>
      <c r="O174" cm="1">
        <f t="array" aca="1" ref="O174" ca="1">INDIRECT(_xlfn.CONCAT("E",$Q174))</f>
        <v>7808</v>
      </c>
      <c r="Q174">
        <v>116</v>
      </c>
    </row>
    <row r="175" spans="1:17">
      <c r="A175" t="s">
        <v>97</v>
      </c>
      <c r="B175" t="s">
        <v>8</v>
      </c>
      <c r="C175">
        <v>35</v>
      </c>
      <c r="D175" t="s">
        <v>101</v>
      </c>
      <c r="E175">
        <v>2780</v>
      </c>
      <c r="K175" t="str" cm="1">
        <f t="array" aca="1" ref="K175" ca="1">INDIRECT(_xlfn.CONCAT("A",$Q175))</f>
        <v>connection_phase</v>
      </c>
      <c r="L175" t="str" cm="1">
        <f t="array" aca="1" ref="L175" ca="1">INDIRECT(_xlfn.CONCAT("B",$Q175))</f>
        <v>PVA</v>
      </c>
      <c r="M175" cm="1">
        <f t="array" aca="1" ref="M175" ca="1">INDIRECT(_xlfn.CONCAT("C",$Q175))</f>
        <v>24</v>
      </c>
      <c r="N175" t="str" cm="1">
        <f t="array" aca="1" ref="N175" ca="1">INDIRECT(_xlfn.CONCAT("D",$Q175))</f>
        <v>total</v>
      </c>
      <c r="O175" cm="1">
        <f t="array" aca="1" ref="O175" ca="1">INDIRECT(_xlfn.CONCAT("E",$Q175))</f>
        <v>3102</v>
      </c>
      <c r="Q175">
        <v>121</v>
      </c>
    </row>
    <row r="176" spans="1:17">
      <c r="A176" t="s">
        <v>97</v>
      </c>
      <c r="B176" t="s">
        <v>8</v>
      </c>
      <c r="C176">
        <v>35</v>
      </c>
      <c r="D176" t="s">
        <v>102</v>
      </c>
      <c r="E176">
        <v>4824</v>
      </c>
      <c r="K176" t="str" cm="1">
        <f t="array" aca="1" ref="K176" ca="1">INDIRECT(_xlfn.CONCAT("A",$Q176))</f>
        <v>connection_phase</v>
      </c>
      <c r="L176" t="str" cm="1">
        <f t="array" aca="1" ref="L176" ca="1">INDIRECT(_xlfn.CONCAT("B",$Q176))</f>
        <v>PVA</v>
      </c>
      <c r="M176" cm="1">
        <f t="array" aca="1" ref="M176" ca="1">INDIRECT(_xlfn.CONCAT("C",$Q176))</f>
        <v>25</v>
      </c>
      <c r="N176" t="str" cm="1">
        <f t="array" aca="1" ref="N176" ca="1">INDIRECT(_xlfn.CONCAT("D",$Q176))</f>
        <v>total</v>
      </c>
      <c r="O176" cm="1">
        <f t="array" aca="1" ref="O176" ca="1">INDIRECT(_xlfn.CONCAT("E",$Q176))</f>
        <v>2111</v>
      </c>
      <c r="Q176">
        <v>126</v>
      </c>
    </row>
    <row r="177" spans="1:17">
      <c r="A177" t="s">
        <v>97</v>
      </c>
      <c r="B177" t="s">
        <v>8</v>
      </c>
      <c r="C177">
        <v>36</v>
      </c>
      <c r="D177" t="s">
        <v>98</v>
      </c>
      <c r="E177">
        <v>1800</v>
      </c>
      <c r="K177" t="str" cm="1">
        <f t="array" aca="1" ref="K177" ca="1">INDIRECT(_xlfn.CONCAT("A",$Q177))</f>
        <v>connection_phase</v>
      </c>
      <c r="L177" t="str" cm="1">
        <f t="array" aca="1" ref="L177" ca="1">INDIRECT(_xlfn.CONCAT("B",$Q177))</f>
        <v>PVA</v>
      </c>
      <c r="M177" cm="1">
        <f t="array" aca="1" ref="M177" ca="1">INDIRECT(_xlfn.CONCAT("C",$Q177))</f>
        <v>26</v>
      </c>
      <c r="N177" t="str" cm="1">
        <f t="array" aca="1" ref="N177" ca="1">INDIRECT(_xlfn.CONCAT("D",$Q177))</f>
        <v>total</v>
      </c>
      <c r="O177" cm="1">
        <f t="array" aca="1" ref="O177" ca="1">INDIRECT(_xlfn.CONCAT("E",$Q177))</f>
        <v>2493</v>
      </c>
      <c r="Q177">
        <v>131</v>
      </c>
    </row>
    <row r="178" spans="1:17">
      <c r="A178" t="s">
        <v>97</v>
      </c>
      <c r="B178" t="s">
        <v>8</v>
      </c>
      <c r="C178">
        <v>36</v>
      </c>
      <c r="D178" t="s">
        <v>99</v>
      </c>
      <c r="E178">
        <v>567</v>
      </c>
      <c r="K178" t="str" cm="1">
        <f t="array" aca="1" ref="K178" ca="1">INDIRECT(_xlfn.CONCAT("A",$Q178))</f>
        <v>connection_phase</v>
      </c>
      <c r="L178" t="str" cm="1">
        <f t="array" aca="1" ref="L178" ca="1">INDIRECT(_xlfn.CONCAT("B",$Q178))</f>
        <v>PVA</v>
      </c>
      <c r="M178" cm="1">
        <f t="array" aca="1" ref="M178" ca="1">INDIRECT(_xlfn.CONCAT("C",$Q178))</f>
        <v>27</v>
      </c>
      <c r="N178" t="str" cm="1">
        <f t="array" aca="1" ref="N178" ca="1">INDIRECT(_xlfn.CONCAT("D",$Q178))</f>
        <v>total</v>
      </c>
      <c r="O178" cm="1">
        <f t="array" aca="1" ref="O178" ca="1">INDIRECT(_xlfn.CONCAT("E",$Q178))</f>
        <v>2297</v>
      </c>
      <c r="Q178">
        <v>136</v>
      </c>
    </row>
    <row r="179" spans="1:17">
      <c r="A179" t="s">
        <v>97</v>
      </c>
      <c r="B179" t="s">
        <v>8</v>
      </c>
      <c r="C179">
        <v>36</v>
      </c>
      <c r="D179" t="s">
        <v>100</v>
      </c>
      <c r="E179">
        <v>176</v>
      </c>
      <c r="K179" t="str" cm="1">
        <f t="array" aca="1" ref="K179" ca="1">INDIRECT(_xlfn.CONCAT("A",$Q179))</f>
        <v>connection_phase</v>
      </c>
      <c r="L179" t="str" cm="1">
        <f t="array" aca="1" ref="L179" ca="1">INDIRECT(_xlfn.CONCAT("B",$Q179))</f>
        <v>PVA</v>
      </c>
      <c r="M179" cm="1">
        <f t="array" aca="1" ref="M179" ca="1">INDIRECT(_xlfn.CONCAT("C",$Q179))</f>
        <v>28</v>
      </c>
      <c r="N179" t="str" cm="1">
        <f t="array" aca="1" ref="N179" ca="1">INDIRECT(_xlfn.CONCAT("D",$Q179))</f>
        <v>total</v>
      </c>
      <c r="O179" cm="1">
        <f t="array" aca="1" ref="O179" ca="1">INDIRECT(_xlfn.CONCAT("E",$Q179))</f>
        <v>3652</v>
      </c>
      <c r="Q179">
        <v>141</v>
      </c>
    </row>
    <row r="180" spans="1:17">
      <c r="A180" t="s">
        <v>97</v>
      </c>
      <c r="B180" t="s">
        <v>8</v>
      </c>
      <c r="C180">
        <v>36</v>
      </c>
      <c r="D180" t="s">
        <v>101</v>
      </c>
      <c r="E180">
        <v>392</v>
      </c>
      <c r="K180" t="str" cm="1">
        <f t="array" aca="1" ref="K180" ca="1">INDIRECT(_xlfn.CONCAT("A",$Q180))</f>
        <v>connection_phase</v>
      </c>
      <c r="L180" t="str" cm="1">
        <f t="array" aca="1" ref="L180" ca="1">INDIRECT(_xlfn.CONCAT("B",$Q180))</f>
        <v>PVA</v>
      </c>
      <c r="M180" cm="1">
        <f t="array" aca="1" ref="M180" ca="1">INDIRECT(_xlfn.CONCAT("C",$Q180))</f>
        <v>29</v>
      </c>
      <c r="N180" t="str" cm="1">
        <f t="array" aca="1" ref="N180" ca="1">INDIRECT(_xlfn.CONCAT("D",$Q180))</f>
        <v>total</v>
      </c>
      <c r="O180" cm="1">
        <f t="array" aca="1" ref="O180" ca="1">INDIRECT(_xlfn.CONCAT("E",$Q180))</f>
        <v>3111</v>
      </c>
      <c r="Q180">
        <v>146</v>
      </c>
    </row>
    <row r="181" spans="1:17">
      <c r="A181" t="s">
        <v>97</v>
      </c>
      <c r="B181" t="s">
        <v>8</v>
      </c>
      <c r="C181">
        <v>36</v>
      </c>
      <c r="D181" t="s">
        <v>102</v>
      </c>
      <c r="E181">
        <v>2935</v>
      </c>
      <c r="K181" t="str" cm="1">
        <f t="array" aca="1" ref="K181" ca="1">INDIRECT(_xlfn.CONCAT("A",$Q181))</f>
        <v>connection_phase</v>
      </c>
      <c r="L181" t="str" cm="1">
        <f t="array" aca="1" ref="L181" ca="1">INDIRECT(_xlfn.CONCAT("B",$Q181))</f>
        <v>PVA</v>
      </c>
      <c r="M181" cm="1">
        <f t="array" aca="1" ref="M181" ca="1">INDIRECT(_xlfn.CONCAT("C",$Q181))</f>
        <v>30</v>
      </c>
      <c r="N181" t="str" cm="1">
        <f t="array" aca="1" ref="N181" ca="1">INDIRECT(_xlfn.CONCAT("D",$Q181))</f>
        <v>total</v>
      </c>
      <c r="O181" cm="1">
        <f t="array" aca="1" ref="O181" ca="1">INDIRECT(_xlfn.CONCAT("E",$Q181))</f>
        <v>3492</v>
      </c>
      <c r="Q181">
        <v>151</v>
      </c>
    </row>
    <row r="182" spans="1:17">
      <c r="A182" t="s">
        <v>97</v>
      </c>
      <c r="B182" t="s">
        <v>8</v>
      </c>
      <c r="C182">
        <v>37</v>
      </c>
      <c r="D182" t="s">
        <v>98</v>
      </c>
      <c r="E182">
        <v>1953</v>
      </c>
      <c r="K182" t="str" cm="1">
        <f t="array" aca="1" ref="K182" ca="1">INDIRECT(_xlfn.CONCAT("A",$Q182))</f>
        <v>connection_phase</v>
      </c>
      <c r="L182" t="str" cm="1">
        <f t="array" aca="1" ref="L182" ca="1">INDIRECT(_xlfn.CONCAT("B",$Q182))</f>
        <v>PVA</v>
      </c>
      <c r="M182" cm="1">
        <f t="array" aca="1" ref="M182" ca="1">INDIRECT(_xlfn.CONCAT("C",$Q182))</f>
        <v>31</v>
      </c>
      <c r="N182" t="str" cm="1">
        <f t="array" aca="1" ref="N182" ca="1">INDIRECT(_xlfn.CONCAT("D",$Q182))</f>
        <v>total</v>
      </c>
      <c r="O182" cm="1">
        <f t="array" aca="1" ref="O182" ca="1">INDIRECT(_xlfn.CONCAT("E",$Q182))</f>
        <v>3290</v>
      </c>
      <c r="Q182">
        <v>156</v>
      </c>
    </row>
    <row r="183" spans="1:17">
      <c r="A183" t="s">
        <v>97</v>
      </c>
      <c r="B183" t="s">
        <v>8</v>
      </c>
      <c r="C183">
        <v>37</v>
      </c>
      <c r="D183" t="s">
        <v>99</v>
      </c>
      <c r="E183">
        <v>129</v>
      </c>
      <c r="K183" t="str" cm="1">
        <f t="array" aca="1" ref="K183" ca="1">INDIRECT(_xlfn.CONCAT("A",$Q183))</f>
        <v>connection_phase</v>
      </c>
      <c r="L183" t="str" cm="1">
        <f t="array" aca="1" ref="L183" ca="1">INDIRECT(_xlfn.CONCAT("B",$Q183))</f>
        <v>PVA</v>
      </c>
      <c r="M183" cm="1">
        <f t="array" aca="1" ref="M183" ca="1">INDIRECT(_xlfn.CONCAT("C",$Q183))</f>
        <v>32</v>
      </c>
      <c r="N183" t="str" cm="1">
        <f t="array" aca="1" ref="N183" ca="1">INDIRECT(_xlfn.CONCAT("D",$Q183))</f>
        <v>total</v>
      </c>
      <c r="O183" cm="1">
        <f t="array" aca="1" ref="O183" ca="1">INDIRECT(_xlfn.CONCAT("E",$Q183))</f>
        <v>2653</v>
      </c>
      <c r="Q183">
        <v>161</v>
      </c>
    </row>
    <row r="184" spans="1:17">
      <c r="A184" t="s">
        <v>97</v>
      </c>
      <c r="B184" t="s">
        <v>8</v>
      </c>
      <c r="C184">
        <v>37</v>
      </c>
      <c r="D184" t="s">
        <v>100</v>
      </c>
      <c r="E184">
        <v>246</v>
      </c>
      <c r="K184" t="str" cm="1">
        <f t="array" aca="1" ref="K184" ca="1">INDIRECT(_xlfn.CONCAT("A",$Q184))</f>
        <v>connection_phase</v>
      </c>
      <c r="L184" t="str" cm="1">
        <f t="array" aca="1" ref="L184" ca="1">INDIRECT(_xlfn.CONCAT("B",$Q184))</f>
        <v>PVA</v>
      </c>
      <c r="M184" cm="1">
        <f t="array" aca="1" ref="M184" ca="1">INDIRECT(_xlfn.CONCAT("C",$Q184))</f>
        <v>33</v>
      </c>
      <c r="N184" t="str" cm="1">
        <f t="array" aca="1" ref="N184" ca="1">INDIRECT(_xlfn.CONCAT("D",$Q184))</f>
        <v>total</v>
      </c>
      <c r="O184" cm="1">
        <f t="array" aca="1" ref="O184" ca="1">INDIRECT(_xlfn.CONCAT("E",$Q184))</f>
        <v>4367</v>
      </c>
      <c r="Q184">
        <v>166</v>
      </c>
    </row>
    <row r="185" spans="1:17">
      <c r="A185" t="s">
        <v>97</v>
      </c>
      <c r="B185" t="s">
        <v>8</v>
      </c>
      <c r="C185">
        <v>37</v>
      </c>
      <c r="D185" t="s">
        <v>101</v>
      </c>
      <c r="E185">
        <v>411</v>
      </c>
      <c r="K185" t="str" cm="1">
        <f t="array" aca="1" ref="K185" ca="1">INDIRECT(_xlfn.CONCAT("A",$Q185))</f>
        <v>connection_phase</v>
      </c>
      <c r="L185" t="str" cm="1">
        <f t="array" aca="1" ref="L185" ca="1">INDIRECT(_xlfn.CONCAT("B",$Q185))</f>
        <v>PVA</v>
      </c>
      <c r="M185" cm="1">
        <f t="array" aca="1" ref="M185" ca="1">INDIRECT(_xlfn.CONCAT("C",$Q185))</f>
        <v>34</v>
      </c>
      <c r="N185" t="str" cm="1">
        <f t="array" aca="1" ref="N185" ca="1">INDIRECT(_xlfn.CONCAT("D",$Q185))</f>
        <v>total</v>
      </c>
      <c r="O185" cm="1">
        <f t="array" aca="1" ref="O185" ca="1">INDIRECT(_xlfn.CONCAT("E",$Q185))</f>
        <v>2985</v>
      </c>
      <c r="Q185">
        <v>171</v>
      </c>
    </row>
    <row r="186" spans="1:17">
      <c r="A186" t="s">
        <v>97</v>
      </c>
      <c r="B186" t="s">
        <v>8</v>
      </c>
      <c r="C186">
        <v>37</v>
      </c>
      <c r="D186" t="s">
        <v>102</v>
      </c>
      <c r="E186">
        <v>2739</v>
      </c>
      <c r="K186" t="str" cm="1">
        <f t="array" aca="1" ref="K186" ca="1">INDIRECT(_xlfn.CONCAT("A",$Q186))</f>
        <v>connection_phase</v>
      </c>
      <c r="L186" t="str" cm="1">
        <f t="array" aca="1" ref="L186" ca="1">INDIRECT(_xlfn.CONCAT("B",$Q186))</f>
        <v>PVA</v>
      </c>
      <c r="M186" cm="1">
        <f t="array" aca="1" ref="M186" ca="1">INDIRECT(_xlfn.CONCAT("C",$Q186))</f>
        <v>35</v>
      </c>
      <c r="N186" t="str" cm="1">
        <f t="array" aca="1" ref="N186" ca="1">INDIRECT(_xlfn.CONCAT("D",$Q186))</f>
        <v>total</v>
      </c>
      <c r="O186" cm="1">
        <f t="array" aca="1" ref="O186" ca="1">INDIRECT(_xlfn.CONCAT("E",$Q186))</f>
        <v>4824</v>
      </c>
      <c r="Q186">
        <v>176</v>
      </c>
    </row>
    <row r="187" spans="1:17">
      <c r="A187" t="s">
        <v>97</v>
      </c>
      <c r="B187" t="s">
        <v>8</v>
      </c>
      <c r="C187">
        <v>38</v>
      </c>
      <c r="D187" t="s">
        <v>98</v>
      </c>
      <c r="E187">
        <v>3385</v>
      </c>
      <c r="K187" t="str" cm="1">
        <f t="array" aca="1" ref="K187" ca="1">INDIRECT(_xlfn.CONCAT("A",$Q187))</f>
        <v>connection_phase</v>
      </c>
      <c r="L187" t="str" cm="1">
        <f t="array" aca="1" ref="L187" ca="1">INDIRECT(_xlfn.CONCAT("B",$Q187))</f>
        <v>PVA</v>
      </c>
      <c r="M187" cm="1">
        <f t="array" aca="1" ref="M187" ca="1">INDIRECT(_xlfn.CONCAT("C",$Q187))</f>
        <v>36</v>
      </c>
      <c r="N187" t="str" cm="1">
        <f t="array" aca="1" ref="N187" ca="1">INDIRECT(_xlfn.CONCAT("D",$Q187))</f>
        <v>total</v>
      </c>
      <c r="O187" cm="1">
        <f t="array" aca="1" ref="O187" ca="1">INDIRECT(_xlfn.CONCAT("E",$Q187))</f>
        <v>2935</v>
      </c>
      <c r="Q187">
        <v>181</v>
      </c>
    </row>
    <row r="188" spans="1:17">
      <c r="A188" t="s">
        <v>97</v>
      </c>
      <c r="B188" t="s">
        <v>8</v>
      </c>
      <c r="C188">
        <v>38</v>
      </c>
      <c r="D188" t="s">
        <v>99</v>
      </c>
      <c r="E188">
        <v>113</v>
      </c>
      <c r="K188" t="str" cm="1">
        <f t="array" aca="1" ref="K188" ca="1">INDIRECT(_xlfn.CONCAT("A",$Q188))</f>
        <v>connection_phase</v>
      </c>
      <c r="L188" t="str" cm="1">
        <f t="array" aca="1" ref="L188" ca="1">INDIRECT(_xlfn.CONCAT("B",$Q188))</f>
        <v>PVA</v>
      </c>
      <c r="M188" cm="1">
        <f t="array" aca="1" ref="M188" ca="1">INDIRECT(_xlfn.CONCAT("C",$Q188))</f>
        <v>37</v>
      </c>
      <c r="N188" t="str" cm="1">
        <f t="array" aca="1" ref="N188" ca="1">INDIRECT(_xlfn.CONCAT("D",$Q188))</f>
        <v>total</v>
      </c>
      <c r="O188" cm="1">
        <f t="array" aca="1" ref="O188" ca="1">INDIRECT(_xlfn.CONCAT("E",$Q188))</f>
        <v>2739</v>
      </c>
      <c r="Q188">
        <v>186</v>
      </c>
    </row>
    <row r="189" spans="1:17">
      <c r="A189" t="s">
        <v>97</v>
      </c>
      <c r="B189" t="s">
        <v>8</v>
      </c>
      <c r="C189">
        <v>38</v>
      </c>
      <c r="D189" t="s">
        <v>100</v>
      </c>
      <c r="E189">
        <v>317</v>
      </c>
      <c r="K189" t="str" cm="1">
        <f t="array" aca="1" ref="K189" ca="1">INDIRECT(_xlfn.CONCAT("A",$Q189))</f>
        <v>connection_phase</v>
      </c>
      <c r="L189" t="str" cm="1">
        <f t="array" aca="1" ref="L189" ca="1">INDIRECT(_xlfn.CONCAT("B",$Q189))</f>
        <v>PVA</v>
      </c>
      <c r="M189" cm="1">
        <f t="array" aca="1" ref="M189" ca="1">INDIRECT(_xlfn.CONCAT("C",$Q189))</f>
        <v>38</v>
      </c>
      <c r="N189" t="str" cm="1">
        <f t="array" aca="1" ref="N189" ca="1">INDIRECT(_xlfn.CONCAT("D",$Q189))</f>
        <v>total</v>
      </c>
      <c r="O189" cm="1">
        <f t="array" aca="1" ref="O189" ca="1">INDIRECT(_xlfn.CONCAT("E",$Q189))</f>
        <v>4415</v>
      </c>
      <c r="Q189">
        <v>191</v>
      </c>
    </row>
    <row r="190" spans="1:17">
      <c r="A190" t="s">
        <v>97</v>
      </c>
      <c r="B190" t="s">
        <v>8</v>
      </c>
      <c r="C190">
        <v>38</v>
      </c>
      <c r="D190" t="s">
        <v>101</v>
      </c>
      <c r="E190">
        <v>600</v>
      </c>
      <c r="K190" t="str" cm="1">
        <f t="array" aca="1" ref="K190" ca="1">INDIRECT(_xlfn.CONCAT("A",$Q190))</f>
        <v>connection_phase</v>
      </c>
      <c r="L190" t="str" cm="1">
        <f t="array" aca="1" ref="L190" ca="1">INDIRECT(_xlfn.CONCAT("B",$Q190))</f>
        <v>PVA</v>
      </c>
      <c r="M190" cm="1">
        <f t="array" aca="1" ref="M190" ca="1">INDIRECT(_xlfn.CONCAT("C",$Q190))</f>
        <v>39</v>
      </c>
      <c r="N190" t="str" cm="1">
        <f t="array" aca="1" ref="N190" ca="1">INDIRECT(_xlfn.CONCAT("D",$Q190))</f>
        <v>total</v>
      </c>
      <c r="O190" cm="1">
        <f t="array" aca="1" ref="O190" ca="1">INDIRECT(_xlfn.CONCAT("E",$Q190))</f>
        <v>11939</v>
      </c>
      <c r="Q190">
        <v>196</v>
      </c>
    </row>
    <row r="191" spans="1:17">
      <c r="A191" t="s">
        <v>97</v>
      </c>
      <c r="B191" t="s">
        <v>8</v>
      </c>
      <c r="C191">
        <v>38</v>
      </c>
      <c r="D191" t="s">
        <v>102</v>
      </c>
      <c r="E191">
        <v>4415</v>
      </c>
      <c r="K191" t="str" cm="1">
        <f t="array" aca="1" ref="K191" ca="1">INDIRECT(_xlfn.CONCAT("A",$Q191))</f>
        <v>connection_phase</v>
      </c>
      <c r="L191" t="str" cm="1">
        <f t="array" aca="1" ref="L191" ca="1">INDIRECT(_xlfn.CONCAT("B",$Q191))</f>
        <v>PVA</v>
      </c>
      <c r="M191" cm="1">
        <f t="array" aca="1" ref="M191" ca="1">INDIRECT(_xlfn.CONCAT("C",$Q191))</f>
        <v>40</v>
      </c>
      <c r="N191" t="str" cm="1">
        <f t="array" aca="1" ref="N191" ca="1">INDIRECT(_xlfn.CONCAT("D",$Q191))</f>
        <v>total</v>
      </c>
      <c r="O191" cm="1">
        <f t="array" aca="1" ref="O191" ca="1">INDIRECT(_xlfn.CONCAT("E",$Q191))</f>
        <v>2899</v>
      </c>
      <c r="Q191">
        <v>201</v>
      </c>
    </row>
    <row r="192" spans="1:17">
      <c r="A192" t="s">
        <v>97</v>
      </c>
      <c r="B192" t="s">
        <v>8</v>
      </c>
      <c r="C192">
        <v>39</v>
      </c>
      <c r="D192" t="s">
        <v>98</v>
      </c>
      <c r="E192">
        <v>10526</v>
      </c>
      <c r="K192" t="str" cm="1">
        <f t="array" aca="1" ref="K192" ca="1">INDIRECT(_xlfn.CONCAT("A",$Q192))</f>
        <v>connection_phase</v>
      </c>
      <c r="L192" t="str" cm="1">
        <f t="array" aca="1" ref="L192" ca="1">INDIRECT(_xlfn.CONCAT("B",$Q192))</f>
        <v>PVA</v>
      </c>
      <c r="M192" cm="1">
        <f t="array" aca="1" ref="M192" ca="1">INDIRECT(_xlfn.CONCAT("C",$Q192))</f>
        <v>41</v>
      </c>
      <c r="N192" t="str" cm="1">
        <f t="array" aca="1" ref="N192" ca="1">INDIRECT(_xlfn.CONCAT("D",$Q192))</f>
        <v>total</v>
      </c>
      <c r="O192" cm="1">
        <f t="array" aca="1" ref="O192" ca="1">INDIRECT(_xlfn.CONCAT("E",$Q192))</f>
        <v>3105</v>
      </c>
      <c r="Q192">
        <v>206</v>
      </c>
    </row>
    <row r="193" spans="1:17">
      <c r="A193" t="s">
        <v>97</v>
      </c>
      <c r="B193" t="s">
        <v>8</v>
      </c>
      <c r="C193">
        <v>39</v>
      </c>
      <c r="D193" t="s">
        <v>99</v>
      </c>
      <c r="E193">
        <v>98</v>
      </c>
      <c r="K193" t="str" cm="1">
        <f t="array" aca="1" ref="K193" ca="1">INDIRECT(_xlfn.CONCAT("A",$Q193))</f>
        <v>connection_phase</v>
      </c>
      <c r="L193" t="str" cm="1">
        <f t="array" aca="1" ref="L193" ca="1">INDIRECT(_xlfn.CONCAT("B",$Q193))</f>
        <v>PVA</v>
      </c>
      <c r="M193" cm="1">
        <f t="array" aca="1" ref="M193" ca="1">INDIRECT(_xlfn.CONCAT("C",$Q193))</f>
        <v>42</v>
      </c>
      <c r="N193" t="str" cm="1">
        <f t="array" aca="1" ref="N193" ca="1">INDIRECT(_xlfn.CONCAT("D",$Q193))</f>
        <v>total</v>
      </c>
      <c r="O193" cm="1">
        <f t="array" aca="1" ref="O193" ca="1">INDIRECT(_xlfn.CONCAT("E",$Q193))</f>
        <v>11630</v>
      </c>
      <c r="Q193">
        <v>211</v>
      </c>
    </row>
    <row r="194" spans="1:17">
      <c r="A194" t="s">
        <v>97</v>
      </c>
      <c r="B194" t="s">
        <v>8</v>
      </c>
      <c r="C194">
        <v>39</v>
      </c>
      <c r="D194" t="s">
        <v>100</v>
      </c>
      <c r="E194">
        <v>614</v>
      </c>
      <c r="K194" t="str" cm="1">
        <f t="array" aca="1" ref="K194" ca="1">INDIRECT(_xlfn.CONCAT("A",$Q194))</f>
        <v>connection_phase</v>
      </c>
      <c r="L194" t="str" cm="1">
        <f t="array" aca="1" ref="L194" ca="1">INDIRECT(_xlfn.CONCAT("B",$Q194))</f>
        <v>PVA</v>
      </c>
      <c r="M194" cm="1">
        <f t="array" aca="1" ref="M194" ca="1">INDIRECT(_xlfn.CONCAT("C",$Q194))</f>
        <v>43</v>
      </c>
      <c r="N194" t="str" cm="1">
        <f t="array" aca="1" ref="N194" ca="1">INDIRECT(_xlfn.CONCAT("D",$Q194))</f>
        <v>total</v>
      </c>
      <c r="O194" cm="1">
        <f t="array" aca="1" ref="O194" ca="1">INDIRECT(_xlfn.CONCAT("E",$Q194))</f>
        <v>2395</v>
      </c>
      <c r="Q194">
        <v>216</v>
      </c>
    </row>
    <row r="195" spans="1:17">
      <c r="A195" t="s">
        <v>97</v>
      </c>
      <c r="B195" t="s">
        <v>8</v>
      </c>
      <c r="C195">
        <v>39</v>
      </c>
      <c r="D195" t="s">
        <v>101</v>
      </c>
      <c r="E195">
        <v>701</v>
      </c>
      <c r="K195" t="str" cm="1">
        <f t="array" aca="1" ref="K195" ca="1">INDIRECT(_xlfn.CONCAT("A",$Q195))</f>
        <v>connection_phase</v>
      </c>
      <c r="L195" t="str" cm="1">
        <f t="array" aca="1" ref="L195" ca="1">INDIRECT(_xlfn.CONCAT("B",$Q195))</f>
        <v>PVA</v>
      </c>
      <c r="M195" cm="1">
        <f t="array" aca="1" ref="M195" ca="1">INDIRECT(_xlfn.CONCAT("C",$Q195))</f>
        <v>44</v>
      </c>
      <c r="N195" t="str" cm="1">
        <f t="array" aca="1" ref="N195" ca="1">INDIRECT(_xlfn.CONCAT("D",$Q195))</f>
        <v>total</v>
      </c>
      <c r="O195" cm="1">
        <f t="array" aca="1" ref="O195" ca="1">INDIRECT(_xlfn.CONCAT("E",$Q195))</f>
        <v>2143</v>
      </c>
      <c r="Q195">
        <v>221</v>
      </c>
    </row>
    <row r="196" spans="1:17">
      <c r="A196" t="s">
        <v>97</v>
      </c>
      <c r="B196" t="s">
        <v>8</v>
      </c>
      <c r="C196">
        <v>39</v>
      </c>
      <c r="D196" t="s">
        <v>102</v>
      </c>
      <c r="E196">
        <v>11939</v>
      </c>
      <c r="K196" t="str" cm="1">
        <f t="array" aca="1" ref="K196" ca="1">INDIRECT(_xlfn.CONCAT("A",$Q196))</f>
        <v>connection_phase</v>
      </c>
      <c r="L196" t="str" cm="1">
        <f t="array" aca="1" ref="L196" ca="1">INDIRECT(_xlfn.CONCAT("B",$Q196))</f>
        <v>PVA</v>
      </c>
      <c r="M196" cm="1">
        <f t="array" aca="1" ref="M196" ca="1">INDIRECT(_xlfn.CONCAT("C",$Q196))</f>
        <v>45</v>
      </c>
      <c r="N196" t="str" cm="1">
        <f t="array" aca="1" ref="N196" ca="1">INDIRECT(_xlfn.CONCAT("D",$Q196))</f>
        <v>total</v>
      </c>
      <c r="O196" cm="1">
        <f t="array" aca="1" ref="O196" ca="1">INDIRECT(_xlfn.CONCAT("E",$Q196))</f>
        <v>2325</v>
      </c>
      <c r="Q196">
        <v>226</v>
      </c>
    </row>
    <row r="197" spans="1:17">
      <c r="A197" t="s">
        <v>97</v>
      </c>
      <c r="B197" t="s">
        <v>8</v>
      </c>
      <c r="C197">
        <v>40</v>
      </c>
      <c r="D197" t="s">
        <v>98</v>
      </c>
      <c r="E197">
        <v>2022</v>
      </c>
      <c r="K197" t="str" cm="1">
        <f t="array" aca="1" ref="K197" ca="1">INDIRECT(_xlfn.CONCAT("A",$Q197))</f>
        <v>connection_phase</v>
      </c>
      <c r="L197" t="str" cm="1">
        <f t="array" aca="1" ref="L197" ca="1">INDIRECT(_xlfn.CONCAT("B",$Q197))</f>
        <v>PVA</v>
      </c>
      <c r="M197" cm="1">
        <f t="array" aca="1" ref="M197" ca="1">INDIRECT(_xlfn.CONCAT("C",$Q197))</f>
        <v>46</v>
      </c>
      <c r="N197" t="str" cm="1">
        <f t="array" aca="1" ref="N197" ca="1">INDIRECT(_xlfn.CONCAT("D",$Q197))</f>
        <v>total</v>
      </c>
      <c r="O197" cm="1">
        <f t="array" aca="1" ref="O197" ca="1">INDIRECT(_xlfn.CONCAT("E",$Q197))</f>
        <v>4172</v>
      </c>
      <c r="Q197">
        <v>231</v>
      </c>
    </row>
    <row r="198" spans="1:17">
      <c r="A198" t="s">
        <v>97</v>
      </c>
      <c r="B198" t="s">
        <v>8</v>
      </c>
      <c r="C198">
        <v>40</v>
      </c>
      <c r="D198" t="s">
        <v>99</v>
      </c>
      <c r="E198">
        <v>64</v>
      </c>
      <c r="K198" t="str" cm="1">
        <f t="array" aca="1" ref="K198" ca="1">INDIRECT(_xlfn.CONCAT("A",$Q198))</f>
        <v>connection_phase</v>
      </c>
      <c r="L198" t="str" cm="1">
        <f t="array" aca="1" ref="L198" ca="1">INDIRECT(_xlfn.CONCAT("B",$Q198))</f>
        <v>PVA</v>
      </c>
      <c r="M198" cm="1">
        <f t="array" aca="1" ref="M198" ca="1">INDIRECT(_xlfn.CONCAT("C",$Q198))</f>
        <v>47</v>
      </c>
      <c r="N198" t="str" cm="1">
        <f t="array" aca="1" ref="N198" ca="1">INDIRECT(_xlfn.CONCAT("D",$Q198))</f>
        <v>total</v>
      </c>
      <c r="O198" cm="1">
        <f t="array" aca="1" ref="O198" ca="1">INDIRECT(_xlfn.CONCAT("E",$Q198))</f>
        <v>4126</v>
      </c>
      <c r="Q198">
        <v>236</v>
      </c>
    </row>
    <row r="199" spans="1:17">
      <c r="A199" t="s">
        <v>97</v>
      </c>
      <c r="B199" t="s">
        <v>8</v>
      </c>
      <c r="C199">
        <v>40</v>
      </c>
      <c r="D199" t="s">
        <v>100</v>
      </c>
      <c r="E199">
        <v>390</v>
      </c>
      <c r="K199" t="str" cm="1">
        <f t="array" aca="1" ref="K199" ca="1">INDIRECT(_xlfn.CONCAT("A",$Q199))</f>
        <v>connection_phase</v>
      </c>
      <c r="L199" t="str" cm="1">
        <f t="array" aca="1" ref="L199" ca="1">INDIRECT(_xlfn.CONCAT("B",$Q199))</f>
        <v>PVA</v>
      </c>
      <c r="M199" cm="1">
        <f t="array" aca="1" ref="M199" ca="1">INDIRECT(_xlfn.CONCAT("C",$Q199))</f>
        <v>48</v>
      </c>
      <c r="N199" t="str" cm="1">
        <f t="array" aca="1" ref="N199" ca="1">INDIRECT(_xlfn.CONCAT("D",$Q199))</f>
        <v>total</v>
      </c>
      <c r="O199" cm="1">
        <f t="array" aca="1" ref="O199" ca="1">INDIRECT(_xlfn.CONCAT("E",$Q199))</f>
        <v>4185</v>
      </c>
      <c r="Q199">
        <v>241</v>
      </c>
    </row>
    <row r="200" spans="1:17">
      <c r="A200" t="s">
        <v>97</v>
      </c>
      <c r="B200" t="s">
        <v>8</v>
      </c>
      <c r="C200">
        <v>40</v>
      </c>
      <c r="D200" t="s">
        <v>101</v>
      </c>
      <c r="E200">
        <v>423</v>
      </c>
      <c r="K200" t="str" cm="1">
        <f t="array" aca="1" ref="K200" ca="1">INDIRECT(_xlfn.CONCAT("A",$Q200))</f>
        <v>connection_phase</v>
      </c>
      <c r="L200" t="str" cm="1">
        <f t="array" aca="1" ref="L200" ca="1">INDIRECT(_xlfn.CONCAT("B",$Q200))</f>
        <v>PVA</v>
      </c>
      <c r="M200" cm="1">
        <f t="array" aca="1" ref="M200" ca="1">INDIRECT(_xlfn.CONCAT("C",$Q200))</f>
        <v>49</v>
      </c>
      <c r="N200" t="str" cm="1">
        <f t="array" aca="1" ref="N200" ca="1">INDIRECT(_xlfn.CONCAT("D",$Q200))</f>
        <v>total</v>
      </c>
      <c r="O200" cm="1">
        <f t="array" aca="1" ref="O200" ca="1">INDIRECT(_xlfn.CONCAT("E",$Q200))</f>
        <v>4814</v>
      </c>
      <c r="Q200">
        <v>246</v>
      </c>
    </row>
    <row r="201" spans="1:17">
      <c r="A201" t="s">
        <v>97</v>
      </c>
      <c r="B201" t="s">
        <v>8</v>
      </c>
      <c r="C201">
        <v>40</v>
      </c>
      <c r="D201" t="s">
        <v>102</v>
      </c>
      <c r="E201">
        <v>2899</v>
      </c>
      <c r="K201" t="str" cm="1">
        <f t="array" aca="1" ref="K201" ca="1">INDIRECT(_xlfn.CONCAT("A",$Q201))</f>
        <v>connection_phase</v>
      </c>
      <c r="L201" t="str" cm="1">
        <f t="array" aca="1" ref="L201" ca="1">INDIRECT(_xlfn.CONCAT("B",$Q201))</f>
        <v>PVA</v>
      </c>
      <c r="M201" cm="1">
        <f t="array" aca="1" ref="M201" ca="1">INDIRECT(_xlfn.CONCAT("C",$Q201))</f>
        <v>50</v>
      </c>
      <c r="N201" t="str" cm="1">
        <f t="array" aca="1" ref="N201" ca="1">INDIRECT(_xlfn.CONCAT("D",$Q201))</f>
        <v>total</v>
      </c>
      <c r="O201" cm="1">
        <f t="array" aca="1" ref="O201" ca="1">INDIRECT(_xlfn.CONCAT("E",$Q201))</f>
        <v>2216</v>
      </c>
      <c r="Q201">
        <v>251</v>
      </c>
    </row>
    <row r="202" spans="1:17">
      <c r="A202" t="s">
        <v>97</v>
      </c>
      <c r="B202" t="s">
        <v>8</v>
      </c>
      <c r="C202">
        <v>41</v>
      </c>
      <c r="D202" t="s">
        <v>98</v>
      </c>
      <c r="E202">
        <v>2110</v>
      </c>
      <c r="K202" t="str" cm="1">
        <f t="array" aca="1" ref="K202" ca="1">INDIRECT(_xlfn.CONCAT("A",$Q202))</f>
        <v>connection_phase</v>
      </c>
      <c r="L202" t="str" cm="1">
        <f t="array" aca="1" ref="L202" ca="1">INDIRECT(_xlfn.CONCAT("B",$Q202))</f>
        <v>PVA</v>
      </c>
      <c r="M202" cm="1">
        <f t="array" aca="1" ref="M202" ca="1">INDIRECT(_xlfn.CONCAT("C",$Q202))</f>
        <v>1</v>
      </c>
      <c r="N202" t="str" cm="1">
        <f t="array" aca="1" ref="N202" ca="1">INDIRECT(_xlfn.CONCAT("D",$Q202))</f>
        <v>validation</v>
      </c>
      <c r="O202" cm="1">
        <f t="array" aca="1" ref="O202" ca="1">INDIRECT(_xlfn.CONCAT("E",$Q202))</f>
        <v>128</v>
      </c>
      <c r="Q202">
        <v>4</v>
      </c>
    </row>
    <row r="203" spans="1:17">
      <c r="A203" t="s">
        <v>97</v>
      </c>
      <c r="B203" t="s">
        <v>8</v>
      </c>
      <c r="C203">
        <v>41</v>
      </c>
      <c r="D203" t="s">
        <v>99</v>
      </c>
      <c r="E203">
        <v>55</v>
      </c>
      <c r="K203" t="str" cm="1">
        <f t="array" aca="1" ref="K203" ca="1">INDIRECT(_xlfn.CONCAT("A",$Q203))</f>
        <v>connection_phase</v>
      </c>
      <c r="L203" t="str" cm="1">
        <f t="array" aca="1" ref="L203" ca="1">INDIRECT(_xlfn.CONCAT("B",$Q203))</f>
        <v>PVA</v>
      </c>
      <c r="M203" cm="1">
        <f t="array" aca="1" ref="M203" ca="1">INDIRECT(_xlfn.CONCAT("C",$Q203))</f>
        <v>2</v>
      </c>
      <c r="N203" t="str" cm="1">
        <f t="array" aca="1" ref="N203" ca="1">INDIRECT(_xlfn.CONCAT("D",$Q203))</f>
        <v>validation</v>
      </c>
      <c r="O203" cm="1">
        <f t="array" aca="1" ref="O203" ca="1">INDIRECT(_xlfn.CONCAT("E",$Q203))</f>
        <v>119</v>
      </c>
      <c r="Q203">
        <v>9</v>
      </c>
    </row>
    <row r="204" spans="1:17">
      <c r="A204" t="s">
        <v>97</v>
      </c>
      <c r="B204" t="s">
        <v>8</v>
      </c>
      <c r="C204">
        <v>41</v>
      </c>
      <c r="D204" t="s">
        <v>100</v>
      </c>
      <c r="E204">
        <v>463</v>
      </c>
      <c r="K204" t="str" cm="1">
        <f t="array" aca="1" ref="K204" ca="1">INDIRECT(_xlfn.CONCAT("A",$Q204))</f>
        <v>connection_phase</v>
      </c>
      <c r="L204" t="str" cm="1">
        <f t="array" aca="1" ref="L204" ca="1">INDIRECT(_xlfn.CONCAT("B",$Q204))</f>
        <v>PVA</v>
      </c>
      <c r="M204" cm="1">
        <f t="array" aca="1" ref="M204" ca="1">INDIRECT(_xlfn.CONCAT("C",$Q204))</f>
        <v>3</v>
      </c>
      <c r="N204" t="str" cm="1">
        <f t="array" aca="1" ref="N204" ca="1">INDIRECT(_xlfn.CONCAT("D",$Q204))</f>
        <v>validation</v>
      </c>
      <c r="O204" cm="1">
        <f t="array" aca="1" ref="O204" ca="1">INDIRECT(_xlfn.CONCAT("E",$Q204))</f>
        <v>106</v>
      </c>
      <c r="Q204">
        <v>14</v>
      </c>
    </row>
    <row r="205" spans="1:17">
      <c r="A205" t="s">
        <v>97</v>
      </c>
      <c r="B205" t="s">
        <v>8</v>
      </c>
      <c r="C205">
        <v>41</v>
      </c>
      <c r="D205" t="s">
        <v>101</v>
      </c>
      <c r="E205">
        <v>477</v>
      </c>
      <c r="K205" t="str" cm="1">
        <f t="array" aca="1" ref="K205" ca="1">INDIRECT(_xlfn.CONCAT("A",$Q205))</f>
        <v>connection_phase</v>
      </c>
      <c r="L205" t="str" cm="1">
        <f t="array" aca="1" ref="L205" ca="1">INDIRECT(_xlfn.CONCAT("B",$Q205))</f>
        <v>PVA</v>
      </c>
      <c r="M205" cm="1">
        <f t="array" aca="1" ref="M205" ca="1">INDIRECT(_xlfn.CONCAT("C",$Q205))</f>
        <v>4</v>
      </c>
      <c r="N205" t="str" cm="1">
        <f t="array" aca="1" ref="N205" ca="1">INDIRECT(_xlfn.CONCAT("D",$Q205))</f>
        <v>validation</v>
      </c>
      <c r="O205" cm="1">
        <f t="array" aca="1" ref="O205" ca="1">INDIRECT(_xlfn.CONCAT("E",$Q205))</f>
        <v>121</v>
      </c>
      <c r="Q205">
        <v>19</v>
      </c>
    </row>
    <row r="206" spans="1:17">
      <c r="A206" t="s">
        <v>97</v>
      </c>
      <c r="B206" t="s">
        <v>8</v>
      </c>
      <c r="C206">
        <v>41</v>
      </c>
      <c r="D206" t="s">
        <v>102</v>
      </c>
      <c r="E206">
        <v>3105</v>
      </c>
      <c r="K206" t="str" cm="1">
        <f t="array" aca="1" ref="K206" ca="1">INDIRECT(_xlfn.CONCAT("A",$Q206))</f>
        <v>connection_phase</v>
      </c>
      <c r="L206" t="str" cm="1">
        <f t="array" aca="1" ref="L206" ca="1">INDIRECT(_xlfn.CONCAT("B",$Q206))</f>
        <v>PVA</v>
      </c>
      <c r="M206" cm="1">
        <f t="array" aca="1" ref="M206" ca="1">INDIRECT(_xlfn.CONCAT("C",$Q206))</f>
        <v>5</v>
      </c>
      <c r="N206" t="str" cm="1">
        <f t="array" aca="1" ref="N206" ca="1">INDIRECT(_xlfn.CONCAT("D",$Q206))</f>
        <v>validation</v>
      </c>
      <c r="O206" cm="1">
        <f t="array" aca="1" ref="O206" ca="1">INDIRECT(_xlfn.CONCAT("E",$Q206))</f>
        <v>123</v>
      </c>
      <c r="Q206">
        <v>24</v>
      </c>
    </row>
    <row r="207" spans="1:17">
      <c r="A207" t="s">
        <v>97</v>
      </c>
      <c r="B207" t="s">
        <v>8</v>
      </c>
      <c r="C207">
        <v>42</v>
      </c>
      <c r="D207" t="s">
        <v>98</v>
      </c>
      <c r="E207">
        <v>11200</v>
      </c>
      <c r="K207" t="str" cm="1">
        <f t="array" aca="1" ref="K207" ca="1">INDIRECT(_xlfn.CONCAT("A",$Q207))</f>
        <v>connection_phase</v>
      </c>
      <c r="L207" t="str" cm="1">
        <f t="array" aca="1" ref="L207" ca="1">INDIRECT(_xlfn.CONCAT("B",$Q207))</f>
        <v>PVA</v>
      </c>
      <c r="M207" cm="1">
        <f t="array" aca="1" ref="M207" ca="1">INDIRECT(_xlfn.CONCAT("C",$Q207))</f>
        <v>6</v>
      </c>
      <c r="N207" t="str" cm="1">
        <f t="array" aca="1" ref="N207" ca="1">INDIRECT(_xlfn.CONCAT("D",$Q207))</f>
        <v>validation</v>
      </c>
      <c r="O207" cm="1">
        <f t="array" aca="1" ref="O207" ca="1">INDIRECT(_xlfn.CONCAT("E",$Q207))</f>
        <v>128</v>
      </c>
      <c r="Q207">
        <v>29</v>
      </c>
    </row>
    <row r="208" spans="1:17">
      <c r="A208" t="s">
        <v>97</v>
      </c>
      <c r="B208" t="s">
        <v>8</v>
      </c>
      <c r="C208">
        <v>42</v>
      </c>
      <c r="D208" t="s">
        <v>99</v>
      </c>
      <c r="E208">
        <v>91</v>
      </c>
      <c r="K208" t="str" cm="1">
        <f t="array" aca="1" ref="K208" ca="1">INDIRECT(_xlfn.CONCAT("A",$Q208))</f>
        <v>connection_phase</v>
      </c>
      <c r="L208" t="str" cm="1">
        <f t="array" aca="1" ref="L208" ca="1">INDIRECT(_xlfn.CONCAT("B",$Q208))</f>
        <v>PVA</v>
      </c>
      <c r="M208" cm="1">
        <f t="array" aca="1" ref="M208" ca="1">INDIRECT(_xlfn.CONCAT("C",$Q208))</f>
        <v>7</v>
      </c>
      <c r="N208" t="str" cm="1">
        <f t="array" aca="1" ref="N208" ca="1">INDIRECT(_xlfn.CONCAT("D",$Q208))</f>
        <v>validation</v>
      </c>
      <c r="O208" cm="1">
        <f t="array" aca="1" ref="O208" ca="1">INDIRECT(_xlfn.CONCAT("E",$Q208))</f>
        <v>117</v>
      </c>
      <c r="Q208">
        <v>34</v>
      </c>
    </row>
    <row r="209" spans="1:17">
      <c r="A209" t="s">
        <v>97</v>
      </c>
      <c r="B209" t="s">
        <v>8</v>
      </c>
      <c r="C209">
        <v>42</v>
      </c>
      <c r="D209" t="s">
        <v>100</v>
      </c>
      <c r="E209">
        <v>105</v>
      </c>
      <c r="K209" t="str" cm="1">
        <f t="array" aca="1" ref="K209" ca="1">INDIRECT(_xlfn.CONCAT("A",$Q209))</f>
        <v>connection_phase</v>
      </c>
      <c r="L209" t="str" cm="1">
        <f t="array" aca="1" ref="L209" ca="1">INDIRECT(_xlfn.CONCAT("B",$Q209))</f>
        <v>PVA</v>
      </c>
      <c r="M209" cm="1">
        <f t="array" aca="1" ref="M209" ca="1">INDIRECT(_xlfn.CONCAT("C",$Q209))</f>
        <v>8</v>
      </c>
      <c r="N209" t="str" cm="1">
        <f t="array" aca="1" ref="N209" ca="1">INDIRECT(_xlfn.CONCAT("D",$Q209))</f>
        <v>validation</v>
      </c>
      <c r="O209" cm="1">
        <f t="array" aca="1" ref="O209" ca="1">INDIRECT(_xlfn.CONCAT("E",$Q209))</f>
        <v>118</v>
      </c>
      <c r="Q209">
        <v>39</v>
      </c>
    </row>
    <row r="210" spans="1:17">
      <c r="A210" t="s">
        <v>97</v>
      </c>
      <c r="B210" t="s">
        <v>8</v>
      </c>
      <c r="C210">
        <v>42</v>
      </c>
      <c r="D210" t="s">
        <v>101</v>
      </c>
      <c r="E210">
        <v>234</v>
      </c>
      <c r="K210" t="str" cm="1">
        <f t="array" aca="1" ref="K210" ca="1">INDIRECT(_xlfn.CONCAT("A",$Q210))</f>
        <v>connection_phase</v>
      </c>
      <c r="L210" t="str" cm="1">
        <f t="array" aca="1" ref="L210" ca="1">INDIRECT(_xlfn.CONCAT("B",$Q210))</f>
        <v>PVA</v>
      </c>
      <c r="M210" cm="1">
        <f t="array" aca="1" ref="M210" ca="1">INDIRECT(_xlfn.CONCAT("C",$Q210))</f>
        <v>9</v>
      </c>
      <c r="N210" t="str" cm="1">
        <f t="array" aca="1" ref="N210" ca="1">INDIRECT(_xlfn.CONCAT("D",$Q210))</f>
        <v>validation</v>
      </c>
      <c r="O210" cm="1">
        <f t="array" aca="1" ref="O210" ca="1">INDIRECT(_xlfn.CONCAT("E",$Q210))</f>
        <v>714</v>
      </c>
      <c r="Q210">
        <v>44</v>
      </c>
    </row>
    <row r="211" spans="1:17">
      <c r="A211" t="s">
        <v>97</v>
      </c>
      <c r="B211" t="s">
        <v>8</v>
      </c>
      <c r="C211">
        <v>42</v>
      </c>
      <c r="D211" t="s">
        <v>102</v>
      </c>
      <c r="E211">
        <v>11630</v>
      </c>
      <c r="K211" t="str" cm="1">
        <f t="array" aca="1" ref="K211" ca="1">INDIRECT(_xlfn.CONCAT("A",$Q211))</f>
        <v>connection_phase</v>
      </c>
      <c r="L211" t="str" cm="1">
        <f t="array" aca="1" ref="L211" ca="1">INDIRECT(_xlfn.CONCAT("B",$Q211))</f>
        <v>PVA</v>
      </c>
      <c r="M211" cm="1">
        <f t="array" aca="1" ref="M211" ca="1">INDIRECT(_xlfn.CONCAT("C",$Q211))</f>
        <v>10</v>
      </c>
      <c r="N211" t="str" cm="1">
        <f t="array" aca="1" ref="N211" ca="1">INDIRECT(_xlfn.CONCAT("D",$Q211))</f>
        <v>validation</v>
      </c>
      <c r="O211" cm="1">
        <f t="array" aca="1" ref="O211" ca="1">INDIRECT(_xlfn.CONCAT("E",$Q211))</f>
        <v>161</v>
      </c>
      <c r="Q211">
        <v>49</v>
      </c>
    </row>
    <row r="212" spans="1:17">
      <c r="A212" t="s">
        <v>97</v>
      </c>
      <c r="B212" t="s">
        <v>8</v>
      </c>
      <c r="C212">
        <v>43</v>
      </c>
      <c r="D212" t="s">
        <v>98</v>
      </c>
      <c r="E212">
        <v>1699</v>
      </c>
      <c r="K212" t="str" cm="1">
        <f t="array" aca="1" ref="K212" ca="1">INDIRECT(_xlfn.CONCAT("A",$Q212))</f>
        <v>connection_phase</v>
      </c>
      <c r="L212" t="str" cm="1">
        <f t="array" aca="1" ref="L212" ca="1">INDIRECT(_xlfn.CONCAT("B",$Q212))</f>
        <v>PVA</v>
      </c>
      <c r="M212" cm="1">
        <f t="array" aca="1" ref="M212" ca="1">INDIRECT(_xlfn.CONCAT("C",$Q212))</f>
        <v>11</v>
      </c>
      <c r="N212" t="str" cm="1">
        <f t="array" aca="1" ref="N212" ca="1">INDIRECT(_xlfn.CONCAT("D",$Q212))</f>
        <v>validation</v>
      </c>
      <c r="O212" cm="1">
        <f t="array" aca="1" ref="O212" ca="1">INDIRECT(_xlfn.CONCAT("E",$Q212))</f>
        <v>107</v>
      </c>
      <c r="Q212">
        <v>54</v>
      </c>
    </row>
    <row r="213" spans="1:17">
      <c r="A213" t="s">
        <v>97</v>
      </c>
      <c r="B213" t="s">
        <v>8</v>
      </c>
      <c r="C213">
        <v>43</v>
      </c>
      <c r="D213" t="s">
        <v>99</v>
      </c>
      <c r="E213">
        <v>169</v>
      </c>
      <c r="K213" t="str" cm="1">
        <f t="array" aca="1" ref="K213" ca="1">INDIRECT(_xlfn.CONCAT("A",$Q213))</f>
        <v>connection_phase</v>
      </c>
      <c r="L213" t="str" cm="1">
        <f t="array" aca="1" ref="L213" ca="1">INDIRECT(_xlfn.CONCAT("B",$Q213))</f>
        <v>PVA</v>
      </c>
      <c r="M213" cm="1">
        <f t="array" aca="1" ref="M213" ca="1">INDIRECT(_xlfn.CONCAT("C",$Q213))</f>
        <v>12</v>
      </c>
      <c r="N213" t="str" cm="1">
        <f t="array" aca="1" ref="N213" ca="1">INDIRECT(_xlfn.CONCAT("D",$Q213))</f>
        <v>validation</v>
      </c>
      <c r="O213" cm="1">
        <f t="array" aca="1" ref="O213" ca="1">INDIRECT(_xlfn.CONCAT("E",$Q213))</f>
        <v>785</v>
      </c>
      <c r="Q213">
        <v>59</v>
      </c>
    </row>
    <row r="214" spans="1:17">
      <c r="A214" t="s">
        <v>97</v>
      </c>
      <c r="B214" t="s">
        <v>8</v>
      </c>
      <c r="C214">
        <v>43</v>
      </c>
      <c r="D214" t="s">
        <v>100</v>
      </c>
      <c r="E214">
        <v>190</v>
      </c>
      <c r="K214" t="str" cm="1">
        <f t="array" aca="1" ref="K214" ca="1">INDIRECT(_xlfn.CONCAT("A",$Q214))</f>
        <v>connection_phase</v>
      </c>
      <c r="L214" t="str" cm="1">
        <f t="array" aca="1" ref="L214" ca="1">INDIRECT(_xlfn.CONCAT("B",$Q214))</f>
        <v>PVA</v>
      </c>
      <c r="M214" cm="1">
        <f t="array" aca="1" ref="M214" ca="1">INDIRECT(_xlfn.CONCAT("C",$Q214))</f>
        <v>13</v>
      </c>
      <c r="N214" t="str" cm="1">
        <f t="array" aca="1" ref="N214" ca="1">INDIRECT(_xlfn.CONCAT("D",$Q214))</f>
        <v>validation</v>
      </c>
      <c r="O214" cm="1">
        <f t="array" aca="1" ref="O214" ca="1">INDIRECT(_xlfn.CONCAT("E",$Q214))</f>
        <v>304</v>
      </c>
      <c r="Q214">
        <v>64</v>
      </c>
    </row>
    <row r="215" spans="1:17">
      <c r="A215" t="s">
        <v>97</v>
      </c>
      <c r="B215" t="s">
        <v>8</v>
      </c>
      <c r="C215">
        <v>43</v>
      </c>
      <c r="D215" t="s">
        <v>101</v>
      </c>
      <c r="E215">
        <v>337</v>
      </c>
      <c r="K215" t="str" cm="1">
        <f t="array" aca="1" ref="K215" ca="1">INDIRECT(_xlfn.CONCAT("A",$Q215))</f>
        <v>connection_phase</v>
      </c>
      <c r="L215" t="str" cm="1">
        <f t="array" aca="1" ref="L215" ca="1">INDIRECT(_xlfn.CONCAT("B",$Q215))</f>
        <v>PVA</v>
      </c>
      <c r="M215" cm="1">
        <f t="array" aca="1" ref="M215" ca="1">INDIRECT(_xlfn.CONCAT("C",$Q215))</f>
        <v>14</v>
      </c>
      <c r="N215" t="str" cm="1">
        <f t="array" aca="1" ref="N215" ca="1">INDIRECT(_xlfn.CONCAT("D",$Q215))</f>
        <v>validation</v>
      </c>
      <c r="O215" cm="1">
        <f t="array" aca="1" ref="O215" ca="1">INDIRECT(_xlfn.CONCAT("E",$Q215))</f>
        <v>178</v>
      </c>
      <c r="Q215">
        <v>69</v>
      </c>
    </row>
    <row r="216" spans="1:17">
      <c r="A216" t="s">
        <v>97</v>
      </c>
      <c r="B216" t="s">
        <v>8</v>
      </c>
      <c r="C216">
        <v>43</v>
      </c>
      <c r="D216" t="s">
        <v>102</v>
      </c>
      <c r="E216">
        <v>2395</v>
      </c>
      <c r="K216" t="str" cm="1">
        <f t="array" aca="1" ref="K216" ca="1">INDIRECT(_xlfn.CONCAT("A",$Q216))</f>
        <v>connection_phase</v>
      </c>
      <c r="L216" t="str" cm="1">
        <f t="array" aca="1" ref="L216" ca="1">INDIRECT(_xlfn.CONCAT("B",$Q216))</f>
        <v>PVA</v>
      </c>
      <c r="M216" cm="1">
        <f t="array" aca="1" ref="M216" ca="1">INDIRECT(_xlfn.CONCAT("C",$Q216))</f>
        <v>15</v>
      </c>
      <c r="N216" t="str" cm="1">
        <f t="array" aca="1" ref="N216" ca="1">INDIRECT(_xlfn.CONCAT("D",$Q216))</f>
        <v>validation</v>
      </c>
      <c r="O216" cm="1">
        <f t="array" aca="1" ref="O216" ca="1">INDIRECT(_xlfn.CONCAT("E",$Q216))</f>
        <v>989</v>
      </c>
      <c r="Q216">
        <v>74</v>
      </c>
    </row>
    <row r="217" spans="1:17">
      <c r="A217" t="s">
        <v>97</v>
      </c>
      <c r="B217" t="s">
        <v>8</v>
      </c>
      <c r="C217">
        <v>44</v>
      </c>
      <c r="D217" t="s">
        <v>98</v>
      </c>
      <c r="E217">
        <v>1680</v>
      </c>
      <c r="K217" t="str" cm="1">
        <f t="array" aca="1" ref="K217" ca="1">INDIRECT(_xlfn.CONCAT("A",$Q217))</f>
        <v>connection_phase</v>
      </c>
      <c r="L217" t="str" cm="1">
        <f t="array" aca="1" ref="L217" ca="1">INDIRECT(_xlfn.CONCAT("B",$Q217))</f>
        <v>PVA</v>
      </c>
      <c r="M217" cm="1">
        <f t="array" aca="1" ref="M217" ca="1">INDIRECT(_xlfn.CONCAT("C",$Q217))</f>
        <v>16</v>
      </c>
      <c r="N217" t="str" cm="1">
        <f t="array" aca="1" ref="N217" ca="1">INDIRECT(_xlfn.CONCAT("D",$Q217))</f>
        <v>validation</v>
      </c>
      <c r="O217" cm="1">
        <f t="array" aca="1" ref="O217" ca="1">INDIRECT(_xlfn.CONCAT("E",$Q217))</f>
        <v>336</v>
      </c>
      <c r="Q217">
        <v>79</v>
      </c>
    </row>
    <row r="218" spans="1:17">
      <c r="A218" t="s">
        <v>97</v>
      </c>
      <c r="B218" t="s">
        <v>8</v>
      </c>
      <c r="C218">
        <v>44</v>
      </c>
      <c r="D218" t="s">
        <v>99</v>
      </c>
      <c r="E218">
        <v>63</v>
      </c>
      <c r="K218" t="str" cm="1">
        <f t="array" aca="1" ref="K218" ca="1">INDIRECT(_xlfn.CONCAT("A",$Q218))</f>
        <v>connection_phase</v>
      </c>
      <c r="L218" t="str" cm="1">
        <f t="array" aca="1" ref="L218" ca="1">INDIRECT(_xlfn.CONCAT("B",$Q218))</f>
        <v>PVA</v>
      </c>
      <c r="M218" cm="1">
        <f t="array" aca="1" ref="M218" ca="1">INDIRECT(_xlfn.CONCAT("C",$Q218))</f>
        <v>17</v>
      </c>
      <c r="N218" t="str" cm="1">
        <f t="array" aca="1" ref="N218" ca="1">INDIRECT(_xlfn.CONCAT("D",$Q218))</f>
        <v>validation</v>
      </c>
      <c r="O218" cm="1">
        <f t="array" aca="1" ref="O218" ca="1">INDIRECT(_xlfn.CONCAT("E",$Q218))</f>
        <v>96</v>
      </c>
      <c r="Q218">
        <v>84</v>
      </c>
    </row>
    <row r="219" spans="1:17">
      <c r="A219" t="s">
        <v>97</v>
      </c>
      <c r="B219" t="s">
        <v>8</v>
      </c>
      <c r="C219">
        <v>44</v>
      </c>
      <c r="D219" t="s">
        <v>100</v>
      </c>
      <c r="E219">
        <v>134</v>
      </c>
      <c r="K219" t="str" cm="1">
        <f t="array" aca="1" ref="K219" ca="1">INDIRECT(_xlfn.CONCAT("A",$Q219))</f>
        <v>connection_phase</v>
      </c>
      <c r="L219" t="str" cm="1">
        <f t="array" aca="1" ref="L219" ca="1">INDIRECT(_xlfn.CONCAT("B",$Q219))</f>
        <v>PVA</v>
      </c>
      <c r="M219" cm="1">
        <f t="array" aca="1" ref="M219" ca="1">INDIRECT(_xlfn.CONCAT("C",$Q219))</f>
        <v>18</v>
      </c>
      <c r="N219" t="str" cm="1">
        <f t="array" aca="1" ref="N219" ca="1">INDIRECT(_xlfn.CONCAT("D",$Q219))</f>
        <v>validation</v>
      </c>
      <c r="O219" cm="1">
        <f t="array" aca="1" ref="O219" ca="1">INDIRECT(_xlfn.CONCAT("E",$Q219))</f>
        <v>233</v>
      </c>
      <c r="Q219">
        <v>89</v>
      </c>
    </row>
    <row r="220" spans="1:17">
      <c r="A220" t="s">
        <v>97</v>
      </c>
      <c r="B220" t="s">
        <v>8</v>
      </c>
      <c r="C220">
        <v>44</v>
      </c>
      <c r="D220" t="s">
        <v>101</v>
      </c>
      <c r="E220">
        <v>266</v>
      </c>
      <c r="K220" t="str" cm="1">
        <f t="array" aca="1" ref="K220" ca="1">INDIRECT(_xlfn.CONCAT("A",$Q220))</f>
        <v>connection_phase</v>
      </c>
      <c r="L220" t="str" cm="1">
        <f t="array" aca="1" ref="L220" ca="1">INDIRECT(_xlfn.CONCAT("B",$Q220))</f>
        <v>PVA</v>
      </c>
      <c r="M220" cm="1">
        <f t="array" aca="1" ref="M220" ca="1">INDIRECT(_xlfn.CONCAT("C",$Q220))</f>
        <v>19</v>
      </c>
      <c r="N220" t="str" cm="1">
        <f t="array" aca="1" ref="N220" ca="1">INDIRECT(_xlfn.CONCAT("D",$Q220))</f>
        <v>validation</v>
      </c>
      <c r="O220" cm="1">
        <f t="array" aca="1" ref="O220" ca="1">INDIRECT(_xlfn.CONCAT("E",$Q220))</f>
        <v>532</v>
      </c>
      <c r="Q220">
        <v>94</v>
      </c>
    </row>
    <row r="221" spans="1:17">
      <c r="A221" t="s">
        <v>97</v>
      </c>
      <c r="B221" t="s">
        <v>8</v>
      </c>
      <c r="C221">
        <v>44</v>
      </c>
      <c r="D221" t="s">
        <v>102</v>
      </c>
      <c r="E221">
        <v>2143</v>
      </c>
      <c r="K221" t="str" cm="1">
        <f t="array" aca="1" ref="K221" ca="1">INDIRECT(_xlfn.CONCAT("A",$Q221))</f>
        <v>connection_phase</v>
      </c>
      <c r="L221" t="str" cm="1">
        <f t="array" aca="1" ref="L221" ca="1">INDIRECT(_xlfn.CONCAT("B",$Q221))</f>
        <v>PVA</v>
      </c>
      <c r="M221" cm="1">
        <f t="array" aca="1" ref="M221" ca="1">INDIRECT(_xlfn.CONCAT("C",$Q221))</f>
        <v>20</v>
      </c>
      <c r="N221" t="str" cm="1">
        <f t="array" aca="1" ref="N221" ca="1">INDIRECT(_xlfn.CONCAT("D",$Q221))</f>
        <v>validation</v>
      </c>
      <c r="O221" cm="1">
        <f t="array" aca="1" ref="O221" ca="1">INDIRECT(_xlfn.CONCAT("E",$Q221))</f>
        <v>641</v>
      </c>
      <c r="Q221">
        <v>99</v>
      </c>
    </row>
    <row r="222" spans="1:17">
      <c r="A222" t="s">
        <v>97</v>
      </c>
      <c r="B222" t="s">
        <v>8</v>
      </c>
      <c r="C222">
        <v>45</v>
      </c>
      <c r="D222" t="s">
        <v>98</v>
      </c>
      <c r="E222">
        <v>1695</v>
      </c>
      <c r="K222" t="str" cm="1">
        <f t="array" aca="1" ref="K222" ca="1">INDIRECT(_xlfn.CONCAT("A",$Q222))</f>
        <v>connection_phase</v>
      </c>
      <c r="L222" t="str" cm="1">
        <f t="array" aca="1" ref="L222" ca="1">INDIRECT(_xlfn.CONCAT("B",$Q222))</f>
        <v>PVA</v>
      </c>
      <c r="M222" cm="1">
        <f t="array" aca="1" ref="M222" ca="1">INDIRECT(_xlfn.CONCAT("C",$Q222))</f>
        <v>21</v>
      </c>
      <c r="N222" t="str" cm="1">
        <f t="array" aca="1" ref="N222" ca="1">INDIRECT(_xlfn.CONCAT("D",$Q222))</f>
        <v>validation</v>
      </c>
      <c r="O222" cm="1">
        <f t="array" aca="1" ref="O222" ca="1">INDIRECT(_xlfn.CONCAT("E",$Q222))</f>
        <v>177</v>
      </c>
      <c r="Q222">
        <v>104</v>
      </c>
    </row>
    <row r="223" spans="1:17">
      <c r="A223" t="s">
        <v>97</v>
      </c>
      <c r="B223" t="s">
        <v>8</v>
      </c>
      <c r="C223">
        <v>45</v>
      </c>
      <c r="D223" t="s">
        <v>99</v>
      </c>
      <c r="E223">
        <v>62</v>
      </c>
      <c r="K223" t="str" cm="1">
        <f t="array" aca="1" ref="K223" ca="1">INDIRECT(_xlfn.CONCAT("A",$Q223))</f>
        <v>connection_phase</v>
      </c>
      <c r="L223" t="str" cm="1">
        <f t="array" aca="1" ref="L223" ca="1">INDIRECT(_xlfn.CONCAT("B",$Q223))</f>
        <v>PVA</v>
      </c>
      <c r="M223" cm="1">
        <f t="array" aca="1" ref="M223" ca="1">INDIRECT(_xlfn.CONCAT("C",$Q223))</f>
        <v>22</v>
      </c>
      <c r="N223" t="str" cm="1">
        <f t="array" aca="1" ref="N223" ca="1">INDIRECT(_xlfn.CONCAT("D",$Q223))</f>
        <v>validation</v>
      </c>
      <c r="O223" cm="1">
        <f t="array" aca="1" ref="O223" ca="1">INDIRECT(_xlfn.CONCAT("E",$Q223))</f>
        <v>437</v>
      </c>
      <c r="Q223">
        <v>109</v>
      </c>
    </row>
    <row r="224" spans="1:17">
      <c r="A224" t="s">
        <v>97</v>
      </c>
      <c r="B224" t="s">
        <v>8</v>
      </c>
      <c r="C224">
        <v>45</v>
      </c>
      <c r="D224" t="s">
        <v>100</v>
      </c>
      <c r="E224">
        <v>287</v>
      </c>
      <c r="K224" t="str" cm="1">
        <f t="array" aca="1" ref="K224" ca="1">INDIRECT(_xlfn.CONCAT("A",$Q224))</f>
        <v>connection_phase</v>
      </c>
      <c r="L224" t="str" cm="1">
        <f t="array" aca="1" ref="L224" ca="1">INDIRECT(_xlfn.CONCAT("B",$Q224))</f>
        <v>PVA</v>
      </c>
      <c r="M224" cm="1">
        <f t="array" aca="1" ref="M224" ca="1">INDIRECT(_xlfn.CONCAT("C",$Q224))</f>
        <v>23</v>
      </c>
      <c r="N224" t="str" cm="1">
        <f t="array" aca="1" ref="N224" ca="1">INDIRECT(_xlfn.CONCAT("D",$Q224))</f>
        <v>validation</v>
      </c>
      <c r="O224" cm="1">
        <f t="array" aca="1" ref="O224" ca="1">INDIRECT(_xlfn.CONCAT("E",$Q224))</f>
        <v>479</v>
      </c>
      <c r="Q224">
        <v>114</v>
      </c>
    </row>
    <row r="225" spans="1:17">
      <c r="A225" t="s">
        <v>97</v>
      </c>
      <c r="B225" t="s">
        <v>8</v>
      </c>
      <c r="C225">
        <v>45</v>
      </c>
      <c r="D225" t="s">
        <v>101</v>
      </c>
      <c r="E225">
        <v>281</v>
      </c>
      <c r="K225" t="str" cm="1">
        <f t="array" aca="1" ref="K225" ca="1">INDIRECT(_xlfn.CONCAT("A",$Q225))</f>
        <v>connection_phase</v>
      </c>
      <c r="L225" t="str" cm="1">
        <f t="array" aca="1" ref="L225" ca="1">INDIRECT(_xlfn.CONCAT("B",$Q225))</f>
        <v>PVA</v>
      </c>
      <c r="M225" cm="1">
        <f t="array" aca="1" ref="M225" ca="1">INDIRECT(_xlfn.CONCAT("C",$Q225))</f>
        <v>24</v>
      </c>
      <c r="N225" t="str" cm="1">
        <f t="array" aca="1" ref="N225" ca="1">INDIRECT(_xlfn.CONCAT("D",$Q225))</f>
        <v>validation</v>
      </c>
      <c r="O225" cm="1">
        <f t="array" aca="1" ref="O225" ca="1">INDIRECT(_xlfn.CONCAT("E",$Q225))</f>
        <v>213</v>
      </c>
      <c r="Q225">
        <v>119</v>
      </c>
    </row>
    <row r="226" spans="1:17">
      <c r="A226" t="s">
        <v>97</v>
      </c>
      <c r="B226" t="s">
        <v>8</v>
      </c>
      <c r="C226">
        <v>45</v>
      </c>
      <c r="D226" t="s">
        <v>102</v>
      </c>
      <c r="E226">
        <v>2325</v>
      </c>
      <c r="K226" t="str" cm="1">
        <f t="array" aca="1" ref="K226" ca="1">INDIRECT(_xlfn.CONCAT("A",$Q226))</f>
        <v>connection_phase</v>
      </c>
      <c r="L226" t="str" cm="1">
        <f t="array" aca="1" ref="L226" ca="1">INDIRECT(_xlfn.CONCAT("B",$Q226))</f>
        <v>PVA</v>
      </c>
      <c r="M226" cm="1">
        <f t="array" aca="1" ref="M226" ca="1">INDIRECT(_xlfn.CONCAT("C",$Q226))</f>
        <v>25</v>
      </c>
      <c r="N226" t="str" cm="1">
        <f t="array" aca="1" ref="N226" ca="1">INDIRECT(_xlfn.CONCAT("D",$Q226))</f>
        <v>validation</v>
      </c>
      <c r="O226" cm="1">
        <f t="array" aca="1" ref="O226" ca="1">INDIRECT(_xlfn.CONCAT("E",$Q226))</f>
        <v>104</v>
      </c>
      <c r="Q226">
        <v>124</v>
      </c>
    </row>
    <row r="227" spans="1:17">
      <c r="A227" t="s">
        <v>97</v>
      </c>
      <c r="B227" t="s">
        <v>8</v>
      </c>
      <c r="C227">
        <v>46</v>
      </c>
      <c r="D227" t="s">
        <v>98</v>
      </c>
      <c r="E227">
        <v>3064</v>
      </c>
      <c r="K227" t="str" cm="1">
        <f t="array" aca="1" ref="K227" ca="1">INDIRECT(_xlfn.CONCAT("A",$Q227))</f>
        <v>connection_phase</v>
      </c>
      <c r="L227" t="str" cm="1">
        <f t="array" aca="1" ref="L227" ca="1">INDIRECT(_xlfn.CONCAT("B",$Q227))</f>
        <v>PVA</v>
      </c>
      <c r="M227" cm="1">
        <f t="array" aca="1" ref="M227" ca="1">INDIRECT(_xlfn.CONCAT("C",$Q227))</f>
        <v>26</v>
      </c>
      <c r="N227" t="str" cm="1">
        <f t="array" aca="1" ref="N227" ca="1">INDIRECT(_xlfn.CONCAT("D",$Q227))</f>
        <v>validation</v>
      </c>
      <c r="O227" cm="1">
        <f t="array" aca="1" ref="O227" ca="1">INDIRECT(_xlfn.CONCAT("E",$Q227))</f>
        <v>201</v>
      </c>
      <c r="Q227">
        <v>129</v>
      </c>
    </row>
    <row r="228" spans="1:17">
      <c r="A228" t="s">
        <v>97</v>
      </c>
      <c r="B228" t="s">
        <v>8</v>
      </c>
      <c r="C228">
        <v>46</v>
      </c>
      <c r="D228" t="s">
        <v>99</v>
      </c>
      <c r="E228">
        <v>115</v>
      </c>
      <c r="K228" t="str" cm="1">
        <f t="array" aca="1" ref="K228" ca="1">INDIRECT(_xlfn.CONCAT("A",$Q228))</f>
        <v>connection_phase</v>
      </c>
      <c r="L228" t="str" cm="1">
        <f t="array" aca="1" ref="L228" ca="1">INDIRECT(_xlfn.CONCAT("B",$Q228))</f>
        <v>PVA</v>
      </c>
      <c r="M228" cm="1">
        <f t="array" aca="1" ref="M228" ca="1">INDIRECT(_xlfn.CONCAT("C",$Q228))</f>
        <v>27</v>
      </c>
      <c r="N228" t="str" cm="1">
        <f t="array" aca="1" ref="N228" ca="1">INDIRECT(_xlfn.CONCAT("D",$Q228))</f>
        <v>validation</v>
      </c>
      <c r="O228" cm="1">
        <f t="array" aca="1" ref="O228" ca="1">INDIRECT(_xlfn.CONCAT("E",$Q228))</f>
        <v>212</v>
      </c>
      <c r="Q228">
        <v>134</v>
      </c>
    </row>
    <row r="229" spans="1:17">
      <c r="A229" t="s">
        <v>97</v>
      </c>
      <c r="B229" t="s">
        <v>8</v>
      </c>
      <c r="C229">
        <v>46</v>
      </c>
      <c r="D229" t="s">
        <v>100</v>
      </c>
      <c r="E229">
        <v>301</v>
      </c>
      <c r="K229" t="str" cm="1">
        <f t="array" aca="1" ref="K229" ca="1">INDIRECT(_xlfn.CONCAT("A",$Q229))</f>
        <v>connection_phase</v>
      </c>
      <c r="L229" t="str" cm="1">
        <f t="array" aca="1" ref="L229" ca="1">INDIRECT(_xlfn.CONCAT("B",$Q229))</f>
        <v>PVA</v>
      </c>
      <c r="M229" cm="1">
        <f t="array" aca="1" ref="M229" ca="1">INDIRECT(_xlfn.CONCAT("C",$Q229))</f>
        <v>28</v>
      </c>
      <c r="N229" t="str" cm="1">
        <f t="array" aca="1" ref="N229" ca="1">INDIRECT(_xlfn.CONCAT("D",$Q229))</f>
        <v>validation</v>
      </c>
      <c r="O229" cm="1">
        <f t="array" aca="1" ref="O229" ca="1">INDIRECT(_xlfn.CONCAT("E",$Q229))</f>
        <v>198</v>
      </c>
      <c r="Q229">
        <v>139</v>
      </c>
    </row>
    <row r="230" spans="1:17">
      <c r="A230" t="s">
        <v>97</v>
      </c>
      <c r="B230" t="s">
        <v>8</v>
      </c>
      <c r="C230">
        <v>46</v>
      </c>
      <c r="D230" t="s">
        <v>101</v>
      </c>
      <c r="E230">
        <v>692</v>
      </c>
      <c r="K230" t="str" cm="1">
        <f t="array" aca="1" ref="K230" ca="1">INDIRECT(_xlfn.CONCAT("A",$Q230))</f>
        <v>connection_phase</v>
      </c>
      <c r="L230" t="str" cm="1">
        <f t="array" aca="1" ref="L230" ca="1">INDIRECT(_xlfn.CONCAT("B",$Q230))</f>
        <v>PVA</v>
      </c>
      <c r="M230" cm="1">
        <f t="array" aca="1" ref="M230" ca="1">INDIRECT(_xlfn.CONCAT("C",$Q230))</f>
        <v>29</v>
      </c>
      <c r="N230" t="str" cm="1">
        <f t="array" aca="1" ref="N230" ca="1">INDIRECT(_xlfn.CONCAT("D",$Q230))</f>
        <v>validation</v>
      </c>
      <c r="O230" cm="1">
        <f t="array" aca="1" ref="O230" ca="1">INDIRECT(_xlfn.CONCAT("E",$Q230))</f>
        <v>389</v>
      </c>
      <c r="Q230">
        <v>144</v>
      </c>
    </row>
    <row r="231" spans="1:17">
      <c r="A231" t="s">
        <v>97</v>
      </c>
      <c r="B231" t="s">
        <v>8</v>
      </c>
      <c r="C231">
        <v>46</v>
      </c>
      <c r="D231" t="s">
        <v>102</v>
      </c>
      <c r="E231">
        <v>4172</v>
      </c>
      <c r="K231" t="str" cm="1">
        <f t="array" aca="1" ref="K231" ca="1">INDIRECT(_xlfn.CONCAT("A",$Q231))</f>
        <v>connection_phase</v>
      </c>
      <c r="L231" t="str" cm="1">
        <f t="array" aca="1" ref="L231" ca="1">INDIRECT(_xlfn.CONCAT("B",$Q231))</f>
        <v>PVA</v>
      </c>
      <c r="M231" cm="1">
        <f t="array" aca="1" ref="M231" ca="1">INDIRECT(_xlfn.CONCAT("C",$Q231))</f>
        <v>30</v>
      </c>
      <c r="N231" t="str" cm="1">
        <f t="array" aca="1" ref="N231" ca="1">INDIRECT(_xlfn.CONCAT("D",$Q231))</f>
        <v>validation</v>
      </c>
      <c r="O231" cm="1">
        <f t="array" aca="1" ref="O231" ca="1">INDIRECT(_xlfn.CONCAT("E",$Q231))</f>
        <v>399</v>
      </c>
      <c r="Q231">
        <v>149</v>
      </c>
    </row>
    <row r="232" spans="1:17">
      <c r="A232" t="s">
        <v>97</v>
      </c>
      <c r="B232" t="s">
        <v>8</v>
      </c>
      <c r="C232">
        <v>47</v>
      </c>
      <c r="D232" t="s">
        <v>98</v>
      </c>
      <c r="E232">
        <v>3362</v>
      </c>
      <c r="K232" t="str" cm="1">
        <f t="array" aca="1" ref="K232" ca="1">INDIRECT(_xlfn.CONCAT("A",$Q232))</f>
        <v>connection_phase</v>
      </c>
      <c r="L232" t="str" cm="1">
        <f t="array" aca="1" ref="L232" ca="1">INDIRECT(_xlfn.CONCAT("B",$Q232))</f>
        <v>PVA</v>
      </c>
      <c r="M232" cm="1">
        <f t="array" aca="1" ref="M232" ca="1">INDIRECT(_xlfn.CONCAT("C",$Q232))</f>
        <v>31</v>
      </c>
      <c r="N232" t="str" cm="1">
        <f t="array" aca="1" ref="N232" ca="1">INDIRECT(_xlfn.CONCAT("D",$Q232))</f>
        <v>validation</v>
      </c>
      <c r="O232" cm="1">
        <f t="array" aca="1" ref="O232" ca="1">INDIRECT(_xlfn.CONCAT("E",$Q232))</f>
        <v>270</v>
      </c>
      <c r="Q232">
        <v>154</v>
      </c>
    </row>
    <row r="233" spans="1:17">
      <c r="A233" t="s">
        <v>97</v>
      </c>
      <c r="B233" t="s">
        <v>8</v>
      </c>
      <c r="C233">
        <v>47</v>
      </c>
      <c r="D233" t="s">
        <v>99</v>
      </c>
      <c r="E233">
        <v>115</v>
      </c>
      <c r="K233" t="str" cm="1">
        <f t="array" aca="1" ref="K233" ca="1">INDIRECT(_xlfn.CONCAT("A",$Q233))</f>
        <v>connection_phase</v>
      </c>
      <c r="L233" t="str" cm="1">
        <f t="array" aca="1" ref="L233" ca="1">INDIRECT(_xlfn.CONCAT("B",$Q233))</f>
        <v>PVA</v>
      </c>
      <c r="M233" cm="1">
        <f t="array" aca="1" ref="M233" ca="1">INDIRECT(_xlfn.CONCAT("C",$Q233))</f>
        <v>32</v>
      </c>
      <c r="N233" t="str" cm="1">
        <f t="array" aca="1" ref="N233" ca="1">INDIRECT(_xlfn.CONCAT("D",$Q233))</f>
        <v>validation</v>
      </c>
      <c r="O233" cm="1">
        <f t="array" aca="1" ref="O233" ca="1">INDIRECT(_xlfn.CONCAT("E",$Q233))</f>
        <v>297</v>
      </c>
      <c r="Q233">
        <v>159</v>
      </c>
    </row>
    <row r="234" spans="1:17">
      <c r="A234" t="s">
        <v>97</v>
      </c>
      <c r="B234" t="s">
        <v>8</v>
      </c>
      <c r="C234">
        <v>47</v>
      </c>
      <c r="D234" t="s">
        <v>100</v>
      </c>
      <c r="E234">
        <v>250</v>
      </c>
      <c r="K234" t="str" cm="1">
        <f t="array" aca="1" ref="K234" ca="1">INDIRECT(_xlfn.CONCAT("A",$Q234))</f>
        <v>connection_phase</v>
      </c>
      <c r="L234" t="str" cm="1">
        <f t="array" aca="1" ref="L234" ca="1">INDIRECT(_xlfn.CONCAT("B",$Q234))</f>
        <v>PVA</v>
      </c>
      <c r="M234" cm="1">
        <f t="array" aca="1" ref="M234" ca="1">INDIRECT(_xlfn.CONCAT("C",$Q234))</f>
        <v>33</v>
      </c>
      <c r="N234" t="str" cm="1">
        <f t="array" aca="1" ref="N234" ca="1">INDIRECT(_xlfn.CONCAT("D",$Q234))</f>
        <v>validation</v>
      </c>
      <c r="O234" cm="1">
        <f t="array" aca="1" ref="O234" ca="1">INDIRECT(_xlfn.CONCAT("E",$Q234))</f>
        <v>313</v>
      </c>
      <c r="Q234">
        <v>164</v>
      </c>
    </row>
    <row r="235" spans="1:17">
      <c r="A235" t="s">
        <v>97</v>
      </c>
      <c r="B235" t="s">
        <v>8</v>
      </c>
      <c r="C235">
        <v>47</v>
      </c>
      <c r="D235" t="s">
        <v>101</v>
      </c>
      <c r="E235">
        <v>399</v>
      </c>
      <c r="K235" t="str" cm="1">
        <f t="array" aca="1" ref="K235" ca="1">INDIRECT(_xlfn.CONCAT("A",$Q235))</f>
        <v>connection_phase</v>
      </c>
      <c r="L235" t="str" cm="1">
        <f t="array" aca="1" ref="L235" ca="1">INDIRECT(_xlfn.CONCAT("B",$Q235))</f>
        <v>PVA</v>
      </c>
      <c r="M235" cm="1">
        <f t="array" aca="1" ref="M235" ca="1">INDIRECT(_xlfn.CONCAT("C",$Q235))</f>
        <v>34</v>
      </c>
      <c r="N235" t="str" cm="1">
        <f t="array" aca="1" ref="N235" ca="1">INDIRECT(_xlfn.CONCAT("D",$Q235))</f>
        <v>validation</v>
      </c>
      <c r="O235" cm="1">
        <f t="array" aca="1" ref="O235" ca="1">INDIRECT(_xlfn.CONCAT("E",$Q235))</f>
        <v>272</v>
      </c>
      <c r="Q235">
        <v>169</v>
      </c>
    </row>
    <row r="236" spans="1:17">
      <c r="A236" t="s">
        <v>97</v>
      </c>
      <c r="B236" t="s">
        <v>8</v>
      </c>
      <c r="C236">
        <v>47</v>
      </c>
      <c r="D236" t="s">
        <v>102</v>
      </c>
      <c r="E236">
        <v>4126</v>
      </c>
      <c r="K236" t="str" cm="1">
        <f t="array" aca="1" ref="K236" ca="1">INDIRECT(_xlfn.CONCAT("A",$Q236))</f>
        <v>connection_phase</v>
      </c>
      <c r="L236" t="str" cm="1">
        <f t="array" aca="1" ref="L236" ca="1">INDIRECT(_xlfn.CONCAT("B",$Q236))</f>
        <v>PVA</v>
      </c>
      <c r="M236" cm="1">
        <f t="array" aca="1" ref="M236" ca="1">INDIRECT(_xlfn.CONCAT("C",$Q236))</f>
        <v>35</v>
      </c>
      <c r="N236" t="str" cm="1">
        <f t="array" aca="1" ref="N236" ca="1">INDIRECT(_xlfn.CONCAT("D",$Q236))</f>
        <v>validation</v>
      </c>
      <c r="O236" cm="1">
        <f t="array" aca="1" ref="O236" ca="1">INDIRECT(_xlfn.CONCAT("E",$Q236))</f>
        <v>429</v>
      </c>
      <c r="Q236">
        <v>174</v>
      </c>
    </row>
    <row r="237" spans="1:17">
      <c r="A237" t="s">
        <v>97</v>
      </c>
      <c r="B237" t="s">
        <v>8</v>
      </c>
      <c r="C237">
        <v>48</v>
      </c>
      <c r="D237" t="s">
        <v>98</v>
      </c>
      <c r="E237">
        <v>3337</v>
      </c>
      <c r="K237" t="str" cm="1">
        <f t="array" aca="1" ref="K237" ca="1">INDIRECT(_xlfn.CONCAT("A",$Q237))</f>
        <v>connection_phase</v>
      </c>
      <c r="L237" t="str" cm="1">
        <f t="array" aca="1" ref="L237" ca="1">INDIRECT(_xlfn.CONCAT("B",$Q237))</f>
        <v>PVA</v>
      </c>
      <c r="M237" cm="1">
        <f t="array" aca="1" ref="M237" ca="1">INDIRECT(_xlfn.CONCAT("C",$Q237))</f>
        <v>36</v>
      </c>
      <c r="N237" t="str" cm="1">
        <f t="array" aca="1" ref="N237" ca="1">INDIRECT(_xlfn.CONCAT("D",$Q237))</f>
        <v>validation</v>
      </c>
      <c r="O237" cm="1">
        <f t="array" aca="1" ref="O237" ca="1">INDIRECT(_xlfn.CONCAT("E",$Q237))</f>
        <v>176</v>
      </c>
      <c r="Q237">
        <v>179</v>
      </c>
    </row>
    <row r="238" spans="1:17">
      <c r="A238" t="s">
        <v>97</v>
      </c>
      <c r="B238" t="s">
        <v>8</v>
      </c>
      <c r="C238">
        <v>48</v>
      </c>
      <c r="D238" t="s">
        <v>99</v>
      </c>
      <c r="E238">
        <v>234</v>
      </c>
      <c r="K238" t="str" cm="1">
        <f t="array" aca="1" ref="K238" ca="1">INDIRECT(_xlfn.CONCAT("A",$Q238))</f>
        <v>connection_phase</v>
      </c>
      <c r="L238" t="str" cm="1">
        <f t="array" aca="1" ref="L238" ca="1">INDIRECT(_xlfn.CONCAT("B",$Q238))</f>
        <v>PVA</v>
      </c>
      <c r="M238" cm="1">
        <f t="array" aca="1" ref="M238" ca="1">INDIRECT(_xlfn.CONCAT("C",$Q238))</f>
        <v>37</v>
      </c>
      <c r="N238" t="str" cm="1">
        <f t="array" aca="1" ref="N238" ca="1">INDIRECT(_xlfn.CONCAT("D",$Q238))</f>
        <v>validation</v>
      </c>
      <c r="O238" cm="1">
        <f t="array" aca="1" ref="O238" ca="1">INDIRECT(_xlfn.CONCAT("E",$Q238))</f>
        <v>246</v>
      </c>
      <c r="Q238">
        <v>184</v>
      </c>
    </row>
    <row r="239" spans="1:17">
      <c r="A239" t="s">
        <v>97</v>
      </c>
      <c r="B239" t="s">
        <v>8</v>
      </c>
      <c r="C239">
        <v>48</v>
      </c>
      <c r="D239" t="s">
        <v>100</v>
      </c>
      <c r="E239">
        <v>282</v>
      </c>
      <c r="K239" t="str" cm="1">
        <f t="array" aca="1" ref="K239" ca="1">INDIRECT(_xlfn.CONCAT("A",$Q239))</f>
        <v>connection_phase</v>
      </c>
      <c r="L239" t="str" cm="1">
        <f t="array" aca="1" ref="L239" ca="1">INDIRECT(_xlfn.CONCAT("B",$Q239))</f>
        <v>PVA</v>
      </c>
      <c r="M239" cm="1">
        <f t="array" aca="1" ref="M239" ca="1">INDIRECT(_xlfn.CONCAT("C",$Q239))</f>
        <v>38</v>
      </c>
      <c r="N239" t="str" cm="1">
        <f t="array" aca="1" ref="N239" ca="1">INDIRECT(_xlfn.CONCAT("D",$Q239))</f>
        <v>validation</v>
      </c>
      <c r="O239" cm="1">
        <f t="array" aca="1" ref="O239" ca="1">INDIRECT(_xlfn.CONCAT("E",$Q239))</f>
        <v>317</v>
      </c>
      <c r="Q239">
        <v>189</v>
      </c>
    </row>
    <row r="240" spans="1:17">
      <c r="A240" t="s">
        <v>97</v>
      </c>
      <c r="B240" t="s">
        <v>8</v>
      </c>
      <c r="C240">
        <v>48</v>
      </c>
      <c r="D240" t="s">
        <v>101</v>
      </c>
      <c r="E240">
        <v>332</v>
      </c>
      <c r="K240" t="str" cm="1">
        <f t="array" aca="1" ref="K240" ca="1">INDIRECT(_xlfn.CONCAT("A",$Q240))</f>
        <v>connection_phase</v>
      </c>
      <c r="L240" t="str" cm="1">
        <f t="array" aca="1" ref="L240" ca="1">INDIRECT(_xlfn.CONCAT("B",$Q240))</f>
        <v>PVA</v>
      </c>
      <c r="M240" cm="1">
        <f t="array" aca="1" ref="M240" ca="1">INDIRECT(_xlfn.CONCAT("C",$Q240))</f>
        <v>39</v>
      </c>
      <c r="N240" t="str" cm="1">
        <f t="array" aca="1" ref="N240" ca="1">INDIRECT(_xlfn.CONCAT("D",$Q240))</f>
        <v>validation</v>
      </c>
      <c r="O240" cm="1">
        <f t="array" aca="1" ref="O240" ca="1">INDIRECT(_xlfn.CONCAT("E",$Q240))</f>
        <v>614</v>
      </c>
      <c r="Q240">
        <v>194</v>
      </c>
    </row>
    <row r="241" spans="1:17">
      <c r="A241" t="s">
        <v>97</v>
      </c>
      <c r="B241" t="s">
        <v>8</v>
      </c>
      <c r="C241">
        <v>48</v>
      </c>
      <c r="D241" t="s">
        <v>102</v>
      </c>
      <c r="E241">
        <v>4185</v>
      </c>
      <c r="K241" t="str" cm="1">
        <f t="array" aca="1" ref="K241" ca="1">INDIRECT(_xlfn.CONCAT("A",$Q241))</f>
        <v>connection_phase</v>
      </c>
      <c r="L241" t="str" cm="1">
        <f t="array" aca="1" ref="L241" ca="1">INDIRECT(_xlfn.CONCAT("B",$Q241))</f>
        <v>PVA</v>
      </c>
      <c r="M241" cm="1">
        <f t="array" aca="1" ref="M241" ca="1">INDIRECT(_xlfn.CONCAT("C",$Q241))</f>
        <v>40</v>
      </c>
      <c r="N241" t="str" cm="1">
        <f t="array" aca="1" ref="N241" ca="1">INDIRECT(_xlfn.CONCAT("D",$Q241))</f>
        <v>validation</v>
      </c>
      <c r="O241" cm="1">
        <f t="array" aca="1" ref="O241" ca="1">INDIRECT(_xlfn.CONCAT("E",$Q241))</f>
        <v>390</v>
      </c>
      <c r="Q241">
        <v>199</v>
      </c>
    </row>
    <row r="242" spans="1:17">
      <c r="A242" t="s">
        <v>97</v>
      </c>
      <c r="B242" t="s">
        <v>8</v>
      </c>
      <c r="C242">
        <v>49</v>
      </c>
      <c r="D242" t="s">
        <v>98</v>
      </c>
      <c r="E242">
        <v>4305</v>
      </c>
      <c r="K242" t="str" cm="1">
        <f t="array" aca="1" ref="K242" ca="1">INDIRECT(_xlfn.CONCAT("A",$Q242))</f>
        <v>connection_phase</v>
      </c>
      <c r="L242" t="str" cm="1">
        <f t="array" aca="1" ref="L242" ca="1">INDIRECT(_xlfn.CONCAT("B",$Q242))</f>
        <v>PVA</v>
      </c>
      <c r="M242" cm="1">
        <f t="array" aca="1" ref="M242" ca="1">INDIRECT(_xlfn.CONCAT("C",$Q242))</f>
        <v>41</v>
      </c>
      <c r="N242" t="str" cm="1">
        <f t="array" aca="1" ref="N242" ca="1">INDIRECT(_xlfn.CONCAT("D",$Q242))</f>
        <v>validation</v>
      </c>
      <c r="O242" cm="1">
        <f t="array" aca="1" ref="O242" ca="1">INDIRECT(_xlfn.CONCAT("E",$Q242))</f>
        <v>463</v>
      </c>
      <c r="Q242">
        <v>204</v>
      </c>
    </row>
    <row r="243" spans="1:17">
      <c r="A243" t="s">
        <v>97</v>
      </c>
      <c r="B243" t="s">
        <v>8</v>
      </c>
      <c r="C243">
        <v>49</v>
      </c>
      <c r="D243" t="s">
        <v>99</v>
      </c>
      <c r="E243">
        <v>55</v>
      </c>
      <c r="K243" t="str" cm="1">
        <f t="array" aca="1" ref="K243" ca="1">INDIRECT(_xlfn.CONCAT("A",$Q243))</f>
        <v>connection_phase</v>
      </c>
      <c r="L243" t="str" cm="1">
        <f t="array" aca="1" ref="L243" ca="1">INDIRECT(_xlfn.CONCAT("B",$Q243))</f>
        <v>PVA</v>
      </c>
      <c r="M243" cm="1">
        <f t="array" aca="1" ref="M243" ca="1">INDIRECT(_xlfn.CONCAT("C",$Q243))</f>
        <v>42</v>
      </c>
      <c r="N243" t="str" cm="1">
        <f t="array" aca="1" ref="N243" ca="1">INDIRECT(_xlfn.CONCAT("D",$Q243))</f>
        <v>validation</v>
      </c>
      <c r="O243" cm="1">
        <f t="array" aca="1" ref="O243" ca="1">INDIRECT(_xlfn.CONCAT("E",$Q243))</f>
        <v>105</v>
      </c>
      <c r="Q243">
        <v>209</v>
      </c>
    </row>
    <row r="244" spans="1:17">
      <c r="A244" t="s">
        <v>97</v>
      </c>
      <c r="B244" t="s">
        <v>8</v>
      </c>
      <c r="C244">
        <v>49</v>
      </c>
      <c r="D244" t="s">
        <v>100</v>
      </c>
      <c r="E244">
        <v>177</v>
      </c>
      <c r="K244" t="str" cm="1">
        <f t="array" aca="1" ref="K244" ca="1">INDIRECT(_xlfn.CONCAT("A",$Q244))</f>
        <v>connection_phase</v>
      </c>
      <c r="L244" t="str" cm="1">
        <f t="array" aca="1" ref="L244" ca="1">INDIRECT(_xlfn.CONCAT("B",$Q244))</f>
        <v>PVA</v>
      </c>
      <c r="M244" cm="1">
        <f t="array" aca="1" ref="M244" ca="1">INDIRECT(_xlfn.CONCAT("C",$Q244))</f>
        <v>43</v>
      </c>
      <c r="N244" t="str" cm="1">
        <f t="array" aca="1" ref="N244" ca="1">INDIRECT(_xlfn.CONCAT("D",$Q244))</f>
        <v>validation</v>
      </c>
      <c r="O244" cm="1">
        <f t="array" aca="1" ref="O244" ca="1">INDIRECT(_xlfn.CONCAT("E",$Q244))</f>
        <v>190</v>
      </c>
      <c r="Q244">
        <v>214</v>
      </c>
    </row>
    <row r="245" spans="1:17">
      <c r="A245" t="s">
        <v>97</v>
      </c>
      <c r="B245" t="s">
        <v>8</v>
      </c>
      <c r="C245">
        <v>49</v>
      </c>
      <c r="D245" t="s">
        <v>101</v>
      </c>
      <c r="E245">
        <v>277</v>
      </c>
      <c r="K245" t="str" cm="1">
        <f t="array" aca="1" ref="K245" ca="1">INDIRECT(_xlfn.CONCAT("A",$Q245))</f>
        <v>connection_phase</v>
      </c>
      <c r="L245" t="str" cm="1">
        <f t="array" aca="1" ref="L245" ca="1">INDIRECT(_xlfn.CONCAT("B",$Q245))</f>
        <v>PVA</v>
      </c>
      <c r="M245" cm="1">
        <f t="array" aca="1" ref="M245" ca="1">INDIRECT(_xlfn.CONCAT("C",$Q245))</f>
        <v>44</v>
      </c>
      <c r="N245" t="str" cm="1">
        <f t="array" aca="1" ref="N245" ca="1">INDIRECT(_xlfn.CONCAT("D",$Q245))</f>
        <v>validation</v>
      </c>
      <c r="O245" cm="1">
        <f t="array" aca="1" ref="O245" ca="1">INDIRECT(_xlfn.CONCAT("E",$Q245))</f>
        <v>134</v>
      </c>
      <c r="Q245">
        <v>219</v>
      </c>
    </row>
    <row r="246" spans="1:17">
      <c r="A246" t="s">
        <v>97</v>
      </c>
      <c r="B246" t="s">
        <v>8</v>
      </c>
      <c r="C246">
        <v>49</v>
      </c>
      <c r="D246" t="s">
        <v>102</v>
      </c>
      <c r="E246">
        <v>4814</v>
      </c>
      <c r="K246" t="str" cm="1">
        <f t="array" aca="1" ref="K246" ca="1">INDIRECT(_xlfn.CONCAT("A",$Q246))</f>
        <v>connection_phase</v>
      </c>
      <c r="L246" t="str" cm="1">
        <f t="array" aca="1" ref="L246" ca="1">INDIRECT(_xlfn.CONCAT("B",$Q246))</f>
        <v>PVA</v>
      </c>
      <c r="M246" cm="1">
        <f t="array" aca="1" ref="M246" ca="1">INDIRECT(_xlfn.CONCAT("C",$Q246))</f>
        <v>45</v>
      </c>
      <c r="N246" t="str" cm="1">
        <f t="array" aca="1" ref="N246" ca="1">INDIRECT(_xlfn.CONCAT("D",$Q246))</f>
        <v>validation</v>
      </c>
      <c r="O246" cm="1">
        <f t="array" aca="1" ref="O246" ca="1">INDIRECT(_xlfn.CONCAT("E",$Q246))</f>
        <v>287</v>
      </c>
      <c r="Q246">
        <v>224</v>
      </c>
    </row>
    <row r="247" spans="1:17">
      <c r="A247" t="s">
        <v>97</v>
      </c>
      <c r="B247" t="s">
        <v>8</v>
      </c>
      <c r="C247">
        <v>50</v>
      </c>
      <c r="D247" t="s">
        <v>98</v>
      </c>
      <c r="E247">
        <v>1633</v>
      </c>
      <c r="K247" t="str" cm="1">
        <f t="array" aca="1" ref="K247" ca="1">INDIRECT(_xlfn.CONCAT("A",$Q247))</f>
        <v>connection_phase</v>
      </c>
      <c r="L247" t="str" cm="1">
        <f t="array" aca="1" ref="L247" ca="1">INDIRECT(_xlfn.CONCAT("B",$Q247))</f>
        <v>PVA</v>
      </c>
      <c r="M247" cm="1">
        <f t="array" aca="1" ref="M247" ca="1">INDIRECT(_xlfn.CONCAT("C",$Q247))</f>
        <v>46</v>
      </c>
      <c r="N247" t="str" cm="1">
        <f t="array" aca="1" ref="N247" ca="1">INDIRECT(_xlfn.CONCAT("D",$Q247))</f>
        <v>validation</v>
      </c>
      <c r="O247" cm="1">
        <f t="array" aca="1" ref="O247" ca="1">INDIRECT(_xlfn.CONCAT("E",$Q247))</f>
        <v>301</v>
      </c>
      <c r="Q247">
        <v>229</v>
      </c>
    </row>
    <row r="248" spans="1:17">
      <c r="A248" t="s">
        <v>97</v>
      </c>
      <c r="B248" t="s">
        <v>8</v>
      </c>
      <c r="C248">
        <v>50</v>
      </c>
      <c r="D248" t="s">
        <v>99</v>
      </c>
      <c r="E248">
        <v>56</v>
      </c>
      <c r="K248" t="str" cm="1">
        <f t="array" aca="1" ref="K248" ca="1">INDIRECT(_xlfn.CONCAT("A",$Q248))</f>
        <v>connection_phase</v>
      </c>
      <c r="L248" t="str" cm="1">
        <f t="array" aca="1" ref="L248" ca="1">INDIRECT(_xlfn.CONCAT("B",$Q248))</f>
        <v>PVA</v>
      </c>
      <c r="M248" cm="1">
        <f t="array" aca="1" ref="M248" ca="1">INDIRECT(_xlfn.CONCAT("C",$Q248))</f>
        <v>47</v>
      </c>
      <c r="N248" t="str" cm="1">
        <f t="array" aca="1" ref="N248" ca="1">INDIRECT(_xlfn.CONCAT("D",$Q248))</f>
        <v>validation</v>
      </c>
      <c r="O248" cm="1">
        <f t="array" aca="1" ref="O248" ca="1">INDIRECT(_xlfn.CONCAT("E",$Q248))</f>
        <v>250</v>
      </c>
      <c r="Q248">
        <v>234</v>
      </c>
    </row>
    <row r="249" spans="1:17">
      <c r="A249" t="s">
        <v>97</v>
      </c>
      <c r="B249" t="s">
        <v>8</v>
      </c>
      <c r="C249">
        <v>50</v>
      </c>
      <c r="D249" t="s">
        <v>100</v>
      </c>
      <c r="E249">
        <v>181</v>
      </c>
      <c r="K249" t="str" cm="1">
        <f t="array" aca="1" ref="K249" ca="1">INDIRECT(_xlfn.CONCAT("A",$Q249))</f>
        <v>connection_phase</v>
      </c>
      <c r="L249" t="str" cm="1">
        <f t="array" aca="1" ref="L249" ca="1">INDIRECT(_xlfn.CONCAT("B",$Q249))</f>
        <v>PVA</v>
      </c>
      <c r="M249" cm="1">
        <f t="array" aca="1" ref="M249" ca="1">INDIRECT(_xlfn.CONCAT("C",$Q249))</f>
        <v>48</v>
      </c>
      <c r="N249" t="str" cm="1">
        <f t="array" aca="1" ref="N249" ca="1">INDIRECT(_xlfn.CONCAT("D",$Q249))</f>
        <v>validation</v>
      </c>
      <c r="O249" cm="1">
        <f t="array" aca="1" ref="O249" ca="1">INDIRECT(_xlfn.CONCAT("E",$Q249))</f>
        <v>282</v>
      </c>
      <c r="Q249">
        <v>239</v>
      </c>
    </row>
    <row r="250" spans="1:17">
      <c r="A250" t="s">
        <v>97</v>
      </c>
      <c r="B250" t="s">
        <v>8</v>
      </c>
      <c r="C250">
        <v>50</v>
      </c>
      <c r="D250" t="s">
        <v>101</v>
      </c>
      <c r="E250">
        <v>346</v>
      </c>
      <c r="K250" t="str" cm="1">
        <f t="array" aca="1" ref="K250" ca="1">INDIRECT(_xlfn.CONCAT("A",$Q250))</f>
        <v>connection_phase</v>
      </c>
      <c r="L250" t="str" cm="1">
        <f t="array" aca="1" ref="L250" ca="1">INDIRECT(_xlfn.CONCAT("B",$Q250))</f>
        <v>PVA</v>
      </c>
      <c r="M250" cm="1">
        <f t="array" aca="1" ref="M250" ca="1">INDIRECT(_xlfn.CONCAT("C",$Q250))</f>
        <v>49</v>
      </c>
      <c r="N250" t="str" cm="1">
        <f t="array" aca="1" ref="N250" ca="1">INDIRECT(_xlfn.CONCAT("D",$Q250))</f>
        <v>validation</v>
      </c>
      <c r="O250" cm="1">
        <f t="array" aca="1" ref="O250" ca="1">INDIRECT(_xlfn.CONCAT("E",$Q250))</f>
        <v>177</v>
      </c>
      <c r="Q250">
        <v>244</v>
      </c>
    </row>
    <row r="251" spans="1:17">
      <c r="A251" t="s">
        <v>97</v>
      </c>
      <c r="B251" t="s">
        <v>8</v>
      </c>
      <c r="C251">
        <v>50</v>
      </c>
      <c r="D251" t="s">
        <v>102</v>
      </c>
      <c r="E251">
        <v>2216</v>
      </c>
      <c r="K251" t="str" cm="1">
        <f t="array" aca="1" ref="K251" ca="1">INDIRECT(_xlfn.CONCAT("A",$Q251))</f>
        <v>connection_phase</v>
      </c>
      <c r="L251" t="str" cm="1">
        <f t="array" aca="1" ref="L251" ca="1">INDIRECT(_xlfn.CONCAT("B",$Q251))</f>
        <v>PVA</v>
      </c>
      <c r="M251" cm="1">
        <f t="array" aca="1" ref="M251" ca="1">INDIRECT(_xlfn.CONCAT("C",$Q251))</f>
        <v>50</v>
      </c>
      <c r="N251" t="str" cm="1">
        <f t="array" aca="1" ref="N251" ca="1">INDIRECT(_xlfn.CONCAT("D",$Q251))</f>
        <v>validation</v>
      </c>
      <c r="O251" cm="1">
        <f t="array" aca="1" ref="O251" ca="1">INDIRECT(_xlfn.CONCAT("E",$Q251))</f>
        <v>181</v>
      </c>
      <c r="Q251">
        <v>249</v>
      </c>
    </row>
    <row r="252" spans="1:17">
      <c r="A252" t="s">
        <v>97</v>
      </c>
      <c r="B252" t="s">
        <v>9</v>
      </c>
      <c r="C252">
        <v>1</v>
      </c>
      <c r="D252" t="s">
        <v>98</v>
      </c>
      <c r="E252">
        <v>3455</v>
      </c>
      <c r="K252" t="str" cm="1">
        <f t="array" aca="1" ref="K252" ca="1">INDIRECT(_xlfn.CONCAT("A",$Q252))</f>
        <v>connection_phase</v>
      </c>
      <c r="L252" t="str" cm="1">
        <f t="array" aca="1" ref="L252" ca="1">INDIRECT(_xlfn.CONCAT("B",$Q252))</f>
        <v>SPVA</v>
      </c>
      <c r="M252" cm="1">
        <f t="array" aca="1" ref="M252" ca="1">INDIRECT(_xlfn.CONCAT("C",$Q252))</f>
        <v>1</v>
      </c>
      <c r="N252" t="str" cm="1">
        <f t="array" aca="1" ref="N252" ca="1">INDIRECT(_xlfn.CONCAT("D",$Q252))</f>
        <v>create_channel</v>
      </c>
      <c r="O252" cm="1">
        <f t="array" aca="1" ref="O252" ca="1">INDIRECT(_xlfn.CONCAT("E",$Q252))</f>
        <v>593</v>
      </c>
      <c r="Q252">
        <v>255</v>
      </c>
    </row>
    <row r="253" spans="1:17">
      <c r="A253" t="s">
        <v>97</v>
      </c>
      <c r="B253" t="s">
        <v>9</v>
      </c>
      <c r="C253">
        <v>1</v>
      </c>
      <c r="D253" t="s">
        <v>99</v>
      </c>
      <c r="E253">
        <v>19062</v>
      </c>
      <c r="K253" t="str" cm="1">
        <f t="array" aca="1" ref="K253" ca="1">INDIRECT(_xlfn.CONCAT("A",$Q253))</f>
        <v>connection_phase</v>
      </c>
      <c r="L253" t="str" cm="1">
        <f t="array" aca="1" ref="L253" ca="1">INDIRECT(_xlfn.CONCAT("B",$Q253))</f>
        <v>SPVA</v>
      </c>
      <c r="M253" cm="1">
        <f t="array" aca="1" ref="M253" ca="1">INDIRECT(_xlfn.CONCAT("C",$Q253))</f>
        <v>2</v>
      </c>
      <c r="N253" t="str" cm="1">
        <f t="array" aca="1" ref="N253" ca="1">INDIRECT(_xlfn.CONCAT("D",$Q253))</f>
        <v>create_channel</v>
      </c>
      <c r="O253" cm="1">
        <f t="array" aca="1" ref="O253" ca="1">INDIRECT(_xlfn.CONCAT("E",$Q253))</f>
        <v>315</v>
      </c>
      <c r="Q253">
        <v>260</v>
      </c>
    </row>
    <row r="254" spans="1:17">
      <c r="A254" t="s">
        <v>97</v>
      </c>
      <c r="B254" t="s">
        <v>9</v>
      </c>
      <c r="C254">
        <v>1</v>
      </c>
      <c r="D254" t="s">
        <v>100</v>
      </c>
      <c r="E254">
        <v>2913</v>
      </c>
      <c r="K254" t="str" cm="1">
        <f t="array" aca="1" ref="K254" ca="1">INDIRECT(_xlfn.CONCAT("A",$Q254))</f>
        <v>connection_phase</v>
      </c>
      <c r="L254" t="str" cm="1">
        <f t="array" aca="1" ref="L254" ca="1">INDIRECT(_xlfn.CONCAT("B",$Q254))</f>
        <v>SPVA</v>
      </c>
      <c r="M254" cm="1">
        <f t="array" aca="1" ref="M254" ca="1">INDIRECT(_xlfn.CONCAT("C",$Q254))</f>
        <v>3</v>
      </c>
      <c r="N254" t="str" cm="1">
        <f t="array" aca="1" ref="N254" ca="1">INDIRECT(_xlfn.CONCAT("D",$Q254))</f>
        <v>create_channel</v>
      </c>
      <c r="O254" cm="1">
        <f t="array" aca="1" ref="O254" ca="1">INDIRECT(_xlfn.CONCAT("E",$Q254))</f>
        <v>320</v>
      </c>
      <c r="Q254">
        <v>265</v>
      </c>
    </row>
    <row r="255" spans="1:17">
      <c r="A255" t="s">
        <v>97</v>
      </c>
      <c r="B255" t="s">
        <v>9</v>
      </c>
      <c r="C255">
        <v>1</v>
      </c>
      <c r="D255" t="s">
        <v>101</v>
      </c>
      <c r="E255">
        <v>593</v>
      </c>
      <c r="K255" t="str" cm="1">
        <f t="array" aca="1" ref="K255" ca="1">INDIRECT(_xlfn.CONCAT("A",$Q255))</f>
        <v>connection_phase</v>
      </c>
      <c r="L255" t="str" cm="1">
        <f t="array" aca="1" ref="L255" ca="1">INDIRECT(_xlfn.CONCAT("B",$Q255))</f>
        <v>SPVA</v>
      </c>
      <c r="M255" cm="1">
        <f t="array" aca="1" ref="M255" ca="1">INDIRECT(_xlfn.CONCAT("C",$Q255))</f>
        <v>4</v>
      </c>
      <c r="N255" t="str" cm="1">
        <f t="array" aca="1" ref="N255" ca="1">INDIRECT(_xlfn.CONCAT("D",$Q255))</f>
        <v>create_channel</v>
      </c>
      <c r="O255" cm="1">
        <f t="array" aca="1" ref="O255" ca="1">INDIRECT(_xlfn.CONCAT("E",$Q255))</f>
        <v>332</v>
      </c>
      <c r="Q255">
        <v>270</v>
      </c>
    </row>
    <row r="256" spans="1:17">
      <c r="A256" t="s">
        <v>97</v>
      </c>
      <c r="B256" t="s">
        <v>9</v>
      </c>
      <c r="C256">
        <v>1</v>
      </c>
      <c r="D256" t="s">
        <v>102</v>
      </c>
      <c r="E256">
        <v>26023</v>
      </c>
      <c r="K256" t="str" cm="1">
        <f t="array" aca="1" ref="K256" ca="1">INDIRECT(_xlfn.CONCAT("A",$Q256))</f>
        <v>connection_phase</v>
      </c>
      <c r="L256" t="str" cm="1">
        <f t="array" aca="1" ref="L256" ca="1">INDIRECT(_xlfn.CONCAT("B",$Q256))</f>
        <v>SPVA</v>
      </c>
      <c r="M256" cm="1">
        <f t="array" aca="1" ref="M256" ca="1">INDIRECT(_xlfn.CONCAT("C",$Q256))</f>
        <v>5</v>
      </c>
      <c r="N256" t="str" cm="1">
        <f t="array" aca="1" ref="N256" ca="1">INDIRECT(_xlfn.CONCAT("D",$Q256))</f>
        <v>create_channel</v>
      </c>
      <c r="O256" cm="1">
        <f t="array" aca="1" ref="O256" ca="1">INDIRECT(_xlfn.CONCAT("E",$Q256))</f>
        <v>353</v>
      </c>
      <c r="Q256">
        <v>275</v>
      </c>
    </row>
    <row r="257" spans="1:17">
      <c r="A257" t="s">
        <v>97</v>
      </c>
      <c r="B257" t="s">
        <v>9</v>
      </c>
      <c r="C257">
        <v>2</v>
      </c>
      <c r="D257" t="s">
        <v>98</v>
      </c>
      <c r="E257">
        <v>2747</v>
      </c>
      <c r="K257" t="str" cm="1">
        <f t="array" aca="1" ref="K257" ca="1">INDIRECT(_xlfn.CONCAT("A",$Q257))</f>
        <v>connection_phase</v>
      </c>
      <c r="L257" t="str" cm="1">
        <f t="array" aca="1" ref="L257" ca="1">INDIRECT(_xlfn.CONCAT("B",$Q257))</f>
        <v>SPVA</v>
      </c>
      <c r="M257" cm="1">
        <f t="array" aca="1" ref="M257" ca="1">INDIRECT(_xlfn.CONCAT("C",$Q257))</f>
        <v>6</v>
      </c>
      <c r="N257" t="str" cm="1">
        <f t="array" aca="1" ref="N257" ca="1">INDIRECT(_xlfn.CONCAT("D",$Q257))</f>
        <v>create_channel</v>
      </c>
      <c r="O257" cm="1">
        <f t="array" aca="1" ref="O257" ca="1">INDIRECT(_xlfn.CONCAT("E",$Q257))</f>
        <v>474</v>
      </c>
      <c r="Q257">
        <v>280</v>
      </c>
    </row>
    <row r="258" spans="1:17">
      <c r="A258" t="s">
        <v>97</v>
      </c>
      <c r="B258" t="s">
        <v>9</v>
      </c>
      <c r="C258">
        <v>2</v>
      </c>
      <c r="D258" t="s">
        <v>99</v>
      </c>
      <c r="E258">
        <v>10705</v>
      </c>
      <c r="K258" t="str" cm="1">
        <f t="array" aca="1" ref="K258" ca="1">INDIRECT(_xlfn.CONCAT("A",$Q258))</f>
        <v>connection_phase</v>
      </c>
      <c r="L258" t="str" cm="1">
        <f t="array" aca="1" ref="L258" ca="1">INDIRECT(_xlfn.CONCAT("B",$Q258))</f>
        <v>SPVA</v>
      </c>
      <c r="M258" cm="1">
        <f t="array" aca="1" ref="M258" ca="1">INDIRECT(_xlfn.CONCAT("C",$Q258))</f>
        <v>7</v>
      </c>
      <c r="N258" t="str" cm="1">
        <f t="array" aca="1" ref="N258" ca="1">INDIRECT(_xlfn.CONCAT("D",$Q258))</f>
        <v>create_channel</v>
      </c>
      <c r="O258" cm="1">
        <f t="array" aca="1" ref="O258" ca="1">INDIRECT(_xlfn.CONCAT("E",$Q258))</f>
        <v>312</v>
      </c>
      <c r="Q258">
        <v>285</v>
      </c>
    </row>
    <row r="259" spans="1:17">
      <c r="A259" t="s">
        <v>97</v>
      </c>
      <c r="B259" t="s">
        <v>9</v>
      </c>
      <c r="C259">
        <v>2</v>
      </c>
      <c r="D259" t="s">
        <v>100</v>
      </c>
      <c r="E259">
        <v>320</v>
      </c>
      <c r="K259" t="str" cm="1">
        <f t="array" aca="1" ref="K259" ca="1">INDIRECT(_xlfn.CONCAT("A",$Q259))</f>
        <v>connection_phase</v>
      </c>
      <c r="L259" t="str" cm="1">
        <f t="array" aca="1" ref="L259" ca="1">INDIRECT(_xlfn.CONCAT("B",$Q259))</f>
        <v>SPVA</v>
      </c>
      <c r="M259" cm="1">
        <f t="array" aca="1" ref="M259" ca="1">INDIRECT(_xlfn.CONCAT("C",$Q259))</f>
        <v>8</v>
      </c>
      <c r="N259" t="str" cm="1">
        <f t="array" aca="1" ref="N259" ca="1">INDIRECT(_xlfn.CONCAT("D",$Q259))</f>
        <v>create_channel</v>
      </c>
      <c r="O259" cm="1">
        <f t="array" aca="1" ref="O259" ca="1">INDIRECT(_xlfn.CONCAT("E",$Q259))</f>
        <v>278</v>
      </c>
      <c r="Q259">
        <v>290</v>
      </c>
    </row>
    <row r="260" spans="1:17">
      <c r="A260" t="s">
        <v>97</v>
      </c>
      <c r="B260" t="s">
        <v>9</v>
      </c>
      <c r="C260">
        <v>2</v>
      </c>
      <c r="D260" t="s">
        <v>101</v>
      </c>
      <c r="E260">
        <v>315</v>
      </c>
      <c r="K260" t="str" cm="1">
        <f t="array" aca="1" ref="K260" ca="1">INDIRECT(_xlfn.CONCAT("A",$Q260))</f>
        <v>connection_phase</v>
      </c>
      <c r="L260" t="str" cm="1">
        <f t="array" aca="1" ref="L260" ca="1">INDIRECT(_xlfn.CONCAT("B",$Q260))</f>
        <v>SPVA</v>
      </c>
      <c r="M260" cm="1">
        <f t="array" aca="1" ref="M260" ca="1">INDIRECT(_xlfn.CONCAT("C",$Q260))</f>
        <v>9</v>
      </c>
      <c r="N260" t="str" cm="1">
        <f t="array" aca="1" ref="N260" ca="1">INDIRECT(_xlfn.CONCAT("D",$Q260))</f>
        <v>create_channel</v>
      </c>
      <c r="O260" cm="1">
        <f t="array" aca="1" ref="O260" ca="1">INDIRECT(_xlfn.CONCAT("E",$Q260))</f>
        <v>361</v>
      </c>
      <c r="Q260">
        <v>295</v>
      </c>
    </row>
    <row r="261" spans="1:17">
      <c r="A261" t="s">
        <v>97</v>
      </c>
      <c r="B261" t="s">
        <v>9</v>
      </c>
      <c r="C261">
        <v>2</v>
      </c>
      <c r="D261" t="s">
        <v>102</v>
      </c>
      <c r="E261">
        <v>14087</v>
      </c>
      <c r="K261" t="str" cm="1">
        <f t="array" aca="1" ref="K261" ca="1">INDIRECT(_xlfn.CONCAT("A",$Q261))</f>
        <v>connection_phase</v>
      </c>
      <c r="L261" t="str" cm="1">
        <f t="array" aca="1" ref="L261" ca="1">INDIRECT(_xlfn.CONCAT("B",$Q261))</f>
        <v>SPVA</v>
      </c>
      <c r="M261" cm="1">
        <f t="array" aca="1" ref="M261" ca="1">INDIRECT(_xlfn.CONCAT("C",$Q261))</f>
        <v>10</v>
      </c>
      <c r="N261" t="str" cm="1">
        <f t="array" aca="1" ref="N261" ca="1">INDIRECT(_xlfn.CONCAT("D",$Q261))</f>
        <v>create_channel</v>
      </c>
      <c r="O261" cm="1">
        <f t="array" aca="1" ref="O261" ca="1">INDIRECT(_xlfn.CONCAT("E",$Q261))</f>
        <v>346</v>
      </c>
      <c r="Q261">
        <v>300</v>
      </c>
    </row>
    <row r="262" spans="1:17">
      <c r="A262" t="s">
        <v>97</v>
      </c>
      <c r="B262" t="s">
        <v>9</v>
      </c>
      <c r="C262">
        <v>3</v>
      </c>
      <c r="D262" t="s">
        <v>98</v>
      </c>
      <c r="E262">
        <v>1788</v>
      </c>
      <c r="K262" t="str" cm="1">
        <f t="array" aca="1" ref="K262" ca="1">INDIRECT(_xlfn.CONCAT("A",$Q262))</f>
        <v>connection_phase</v>
      </c>
      <c r="L262" t="str" cm="1">
        <f t="array" aca="1" ref="L262" ca="1">INDIRECT(_xlfn.CONCAT("B",$Q262))</f>
        <v>SPVA</v>
      </c>
      <c r="M262" cm="1">
        <f t="array" aca="1" ref="M262" ca="1">INDIRECT(_xlfn.CONCAT("C",$Q262))</f>
        <v>11</v>
      </c>
      <c r="N262" t="str" cm="1">
        <f t="array" aca="1" ref="N262" ca="1">INDIRECT(_xlfn.CONCAT("D",$Q262))</f>
        <v>create_channel</v>
      </c>
      <c r="O262" cm="1">
        <f t="array" aca="1" ref="O262" ca="1">INDIRECT(_xlfn.CONCAT("E",$Q262))</f>
        <v>262</v>
      </c>
      <c r="Q262">
        <v>305</v>
      </c>
    </row>
    <row r="263" spans="1:17">
      <c r="A263" t="s">
        <v>97</v>
      </c>
      <c r="B263" t="s">
        <v>9</v>
      </c>
      <c r="C263">
        <v>3</v>
      </c>
      <c r="D263" t="s">
        <v>99</v>
      </c>
      <c r="E263">
        <v>6253</v>
      </c>
      <c r="K263" t="str" cm="1">
        <f t="array" aca="1" ref="K263" ca="1">INDIRECT(_xlfn.CONCAT("A",$Q263))</f>
        <v>connection_phase</v>
      </c>
      <c r="L263" t="str" cm="1">
        <f t="array" aca="1" ref="L263" ca="1">INDIRECT(_xlfn.CONCAT("B",$Q263))</f>
        <v>SPVA</v>
      </c>
      <c r="M263" cm="1">
        <f t="array" aca="1" ref="M263" ca="1">INDIRECT(_xlfn.CONCAT("C",$Q263))</f>
        <v>12</v>
      </c>
      <c r="N263" t="str" cm="1">
        <f t="array" aca="1" ref="N263" ca="1">INDIRECT(_xlfn.CONCAT("D",$Q263))</f>
        <v>create_channel</v>
      </c>
      <c r="O263" cm="1">
        <f t="array" aca="1" ref="O263" ca="1">INDIRECT(_xlfn.CONCAT("E",$Q263))</f>
        <v>301</v>
      </c>
      <c r="Q263">
        <v>310</v>
      </c>
    </row>
    <row r="264" spans="1:17">
      <c r="A264" t="s">
        <v>97</v>
      </c>
      <c r="B264" t="s">
        <v>9</v>
      </c>
      <c r="C264">
        <v>3</v>
      </c>
      <c r="D264" t="s">
        <v>100</v>
      </c>
      <c r="E264">
        <v>533</v>
      </c>
      <c r="K264" t="str" cm="1">
        <f t="array" aca="1" ref="K264" ca="1">INDIRECT(_xlfn.CONCAT("A",$Q264))</f>
        <v>connection_phase</v>
      </c>
      <c r="L264" t="str" cm="1">
        <f t="array" aca="1" ref="L264" ca="1">INDIRECT(_xlfn.CONCAT("B",$Q264))</f>
        <v>SPVA</v>
      </c>
      <c r="M264" cm="1">
        <f t="array" aca="1" ref="M264" ca="1">INDIRECT(_xlfn.CONCAT("C",$Q264))</f>
        <v>13</v>
      </c>
      <c r="N264" t="str" cm="1">
        <f t="array" aca="1" ref="N264" ca="1">INDIRECT(_xlfn.CONCAT("D",$Q264))</f>
        <v>create_channel</v>
      </c>
      <c r="O264" cm="1">
        <f t="array" aca="1" ref="O264" ca="1">INDIRECT(_xlfn.CONCAT("E",$Q264))</f>
        <v>367</v>
      </c>
      <c r="Q264">
        <v>315</v>
      </c>
    </row>
    <row r="265" spans="1:17">
      <c r="A265" t="s">
        <v>97</v>
      </c>
      <c r="B265" t="s">
        <v>9</v>
      </c>
      <c r="C265">
        <v>3</v>
      </c>
      <c r="D265" t="s">
        <v>101</v>
      </c>
      <c r="E265">
        <v>320</v>
      </c>
      <c r="K265" t="str" cm="1">
        <f t="array" aca="1" ref="K265" ca="1">INDIRECT(_xlfn.CONCAT("A",$Q265))</f>
        <v>connection_phase</v>
      </c>
      <c r="L265" t="str" cm="1">
        <f t="array" aca="1" ref="L265" ca="1">INDIRECT(_xlfn.CONCAT("B",$Q265))</f>
        <v>SPVA</v>
      </c>
      <c r="M265" cm="1">
        <f t="array" aca="1" ref="M265" ca="1">INDIRECT(_xlfn.CONCAT("C",$Q265))</f>
        <v>14</v>
      </c>
      <c r="N265" t="str" cm="1">
        <f t="array" aca="1" ref="N265" ca="1">INDIRECT(_xlfn.CONCAT("D",$Q265))</f>
        <v>create_channel</v>
      </c>
      <c r="O265" cm="1">
        <f t="array" aca="1" ref="O265" ca="1">INDIRECT(_xlfn.CONCAT("E",$Q265))</f>
        <v>267</v>
      </c>
      <c r="Q265">
        <v>320</v>
      </c>
    </row>
    <row r="266" spans="1:17">
      <c r="A266" t="s">
        <v>97</v>
      </c>
      <c r="B266" t="s">
        <v>9</v>
      </c>
      <c r="C266">
        <v>3</v>
      </c>
      <c r="D266" t="s">
        <v>102</v>
      </c>
      <c r="E266">
        <v>8894</v>
      </c>
      <c r="K266" t="str" cm="1">
        <f t="array" aca="1" ref="K266" ca="1">INDIRECT(_xlfn.CONCAT("A",$Q266))</f>
        <v>connection_phase</v>
      </c>
      <c r="L266" t="str" cm="1">
        <f t="array" aca="1" ref="L266" ca="1">INDIRECT(_xlfn.CONCAT("B",$Q266))</f>
        <v>SPVA</v>
      </c>
      <c r="M266" cm="1">
        <f t="array" aca="1" ref="M266" ca="1">INDIRECT(_xlfn.CONCAT("C",$Q266))</f>
        <v>15</v>
      </c>
      <c r="N266" t="str" cm="1">
        <f t="array" aca="1" ref="N266" ca="1">INDIRECT(_xlfn.CONCAT("D",$Q266))</f>
        <v>create_channel</v>
      </c>
      <c r="O266" cm="1">
        <f t="array" aca="1" ref="O266" ca="1">INDIRECT(_xlfn.CONCAT("E",$Q266))</f>
        <v>311</v>
      </c>
      <c r="Q266">
        <v>325</v>
      </c>
    </row>
    <row r="267" spans="1:17">
      <c r="A267" t="s">
        <v>97</v>
      </c>
      <c r="B267" t="s">
        <v>9</v>
      </c>
      <c r="C267">
        <v>4</v>
      </c>
      <c r="D267" t="s">
        <v>98</v>
      </c>
      <c r="E267">
        <v>1072</v>
      </c>
      <c r="K267" t="str" cm="1">
        <f t="array" aca="1" ref="K267" ca="1">INDIRECT(_xlfn.CONCAT("A",$Q267))</f>
        <v>connection_phase</v>
      </c>
      <c r="L267" t="str" cm="1">
        <f t="array" aca="1" ref="L267" ca="1">INDIRECT(_xlfn.CONCAT("B",$Q267))</f>
        <v>SPVA</v>
      </c>
      <c r="M267" cm="1">
        <f t="array" aca="1" ref="M267" ca="1">INDIRECT(_xlfn.CONCAT("C",$Q267))</f>
        <v>16</v>
      </c>
      <c r="N267" t="str" cm="1">
        <f t="array" aca="1" ref="N267" ca="1">INDIRECT(_xlfn.CONCAT("D",$Q267))</f>
        <v>create_channel</v>
      </c>
      <c r="O267" cm="1">
        <f t="array" aca="1" ref="O267" ca="1">INDIRECT(_xlfn.CONCAT("E",$Q267))</f>
        <v>348</v>
      </c>
      <c r="Q267">
        <v>330</v>
      </c>
    </row>
    <row r="268" spans="1:17">
      <c r="A268" t="s">
        <v>97</v>
      </c>
      <c r="B268" t="s">
        <v>9</v>
      </c>
      <c r="C268">
        <v>4</v>
      </c>
      <c r="D268" t="s">
        <v>99</v>
      </c>
      <c r="E268">
        <v>2968</v>
      </c>
      <c r="K268" t="str" cm="1">
        <f t="array" aca="1" ref="K268" ca="1">INDIRECT(_xlfn.CONCAT("A",$Q268))</f>
        <v>connection_phase</v>
      </c>
      <c r="L268" t="str" cm="1">
        <f t="array" aca="1" ref="L268" ca="1">INDIRECT(_xlfn.CONCAT("B",$Q268))</f>
        <v>SPVA</v>
      </c>
      <c r="M268" cm="1">
        <f t="array" aca="1" ref="M268" ca="1">INDIRECT(_xlfn.CONCAT("C",$Q268))</f>
        <v>17</v>
      </c>
      <c r="N268" t="str" cm="1">
        <f t="array" aca="1" ref="N268" ca="1">INDIRECT(_xlfn.CONCAT("D",$Q268))</f>
        <v>create_channel</v>
      </c>
      <c r="O268" cm="1">
        <f t="array" aca="1" ref="O268" ca="1">INDIRECT(_xlfn.CONCAT("E",$Q268))</f>
        <v>391</v>
      </c>
      <c r="Q268">
        <v>335</v>
      </c>
    </row>
    <row r="269" spans="1:17">
      <c r="A269" t="s">
        <v>97</v>
      </c>
      <c r="B269" t="s">
        <v>9</v>
      </c>
      <c r="C269">
        <v>4</v>
      </c>
      <c r="D269" t="s">
        <v>100</v>
      </c>
      <c r="E269">
        <v>596</v>
      </c>
      <c r="K269" t="str" cm="1">
        <f t="array" aca="1" ref="K269" ca="1">INDIRECT(_xlfn.CONCAT("A",$Q269))</f>
        <v>connection_phase</v>
      </c>
      <c r="L269" t="str" cm="1">
        <f t="array" aca="1" ref="L269" ca="1">INDIRECT(_xlfn.CONCAT("B",$Q269))</f>
        <v>SPVA</v>
      </c>
      <c r="M269" cm="1">
        <f t="array" aca="1" ref="M269" ca="1">INDIRECT(_xlfn.CONCAT("C",$Q269))</f>
        <v>18</v>
      </c>
      <c r="N269" t="str" cm="1">
        <f t="array" aca="1" ref="N269" ca="1">INDIRECT(_xlfn.CONCAT("D",$Q269))</f>
        <v>create_channel</v>
      </c>
      <c r="O269" cm="1">
        <f t="array" aca="1" ref="O269" ca="1">INDIRECT(_xlfn.CONCAT("E",$Q269))</f>
        <v>303</v>
      </c>
      <c r="Q269">
        <v>340</v>
      </c>
    </row>
    <row r="270" spans="1:17">
      <c r="A270" t="s">
        <v>97</v>
      </c>
      <c r="B270" t="s">
        <v>9</v>
      </c>
      <c r="C270">
        <v>4</v>
      </c>
      <c r="D270" t="s">
        <v>101</v>
      </c>
      <c r="E270">
        <v>332</v>
      </c>
      <c r="K270" t="str" cm="1">
        <f t="array" aca="1" ref="K270" ca="1">INDIRECT(_xlfn.CONCAT("A",$Q270))</f>
        <v>connection_phase</v>
      </c>
      <c r="L270" t="str" cm="1">
        <f t="array" aca="1" ref="L270" ca="1">INDIRECT(_xlfn.CONCAT("B",$Q270))</f>
        <v>SPVA</v>
      </c>
      <c r="M270" cm="1">
        <f t="array" aca="1" ref="M270" ca="1">INDIRECT(_xlfn.CONCAT("C",$Q270))</f>
        <v>19</v>
      </c>
      <c r="N270" t="str" cm="1">
        <f t="array" aca="1" ref="N270" ca="1">INDIRECT(_xlfn.CONCAT("D",$Q270))</f>
        <v>create_channel</v>
      </c>
      <c r="O270" cm="1">
        <f t="array" aca="1" ref="O270" ca="1">INDIRECT(_xlfn.CONCAT("E",$Q270))</f>
        <v>415</v>
      </c>
      <c r="Q270">
        <v>345</v>
      </c>
    </row>
    <row r="271" spans="1:17">
      <c r="A271" t="s">
        <v>97</v>
      </c>
      <c r="B271" t="s">
        <v>9</v>
      </c>
      <c r="C271">
        <v>4</v>
      </c>
      <c r="D271" t="s">
        <v>102</v>
      </c>
      <c r="E271">
        <v>4968</v>
      </c>
      <c r="K271" t="str" cm="1">
        <f t="array" aca="1" ref="K271" ca="1">INDIRECT(_xlfn.CONCAT("A",$Q271))</f>
        <v>connection_phase</v>
      </c>
      <c r="L271" t="str" cm="1">
        <f t="array" aca="1" ref="L271" ca="1">INDIRECT(_xlfn.CONCAT("B",$Q271))</f>
        <v>SPVA</v>
      </c>
      <c r="M271" cm="1">
        <f t="array" aca="1" ref="M271" ca="1">INDIRECT(_xlfn.CONCAT("C",$Q271))</f>
        <v>20</v>
      </c>
      <c r="N271" t="str" cm="1">
        <f t="array" aca="1" ref="N271" ca="1">INDIRECT(_xlfn.CONCAT("D",$Q271))</f>
        <v>create_channel</v>
      </c>
      <c r="O271" cm="1">
        <f t="array" aca="1" ref="O271" ca="1">INDIRECT(_xlfn.CONCAT("E",$Q271))</f>
        <v>330</v>
      </c>
      <c r="Q271">
        <v>350</v>
      </c>
    </row>
    <row r="272" spans="1:17">
      <c r="A272" t="s">
        <v>97</v>
      </c>
      <c r="B272" t="s">
        <v>9</v>
      </c>
      <c r="C272">
        <v>5</v>
      </c>
      <c r="D272" t="s">
        <v>98</v>
      </c>
      <c r="E272">
        <v>971</v>
      </c>
      <c r="K272" t="str" cm="1">
        <f t="array" aca="1" ref="K272" ca="1">INDIRECT(_xlfn.CONCAT("A",$Q272))</f>
        <v>connection_phase</v>
      </c>
      <c r="L272" t="str" cm="1">
        <f t="array" aca="1" ref="L272" ca="1">INDIRECT(_xlfn.CONCAT("B",$Q272))</f>
        <v>SPVA</v>
      </c>
      <c r="M272" cm="1">
        <f t="array" aca="1" ref="M272" ca="1">INDIRECT(_xlfn.CONCAT("C",$Q272))</f>
        <v>21</v>
      </c>
      <c r="N272" t="str" cm="1">
        <f t="array" aca="1" ref="N272" ca="1">INDIRECT(_xlfn.CONCAT("D",$Q272))</f>
        <v>create_channel</v>
      </c>
      <c r="O272" cm="1">
        <f t="array" aca="1" ref="O272" ca="1">INDIRECT(_xlfn.CONCAT("E",$Q272))</f>
        <v>318</v>
      </c>
      <c r="Q272">
        <v>355</v>
      </c>
    </row>
    <row r="273" spans="1:17">
      <c r="A273" t="s">
        <v>97</v>
      </c>
      <c r="B273" t="s">
        <v>9</v>
      </c>
      <c r="C273">
        <v>5</v>
      </c>
      <c r="D273" t="s">
        <v>99</v>
      </c>
      <c r="E273">
        <v>3530</v>
      </c>
      <c r="K273" t="str" cm="1">
        <f t="array" aca="1" ref="K273" ca="1">INDIRECT(_xlfn.CONCAT("A",$Q273))</f>
        <v>connection_phase</v>
      </c>
      <c r="L273" t="str" cm="1">
        <f t="array" aca="1" ref="L273" ca="1">INDIRECT(_xlfn.CONCAT("B",$Q273))</f>
        <v>SPVA</v>
      </c>
      <c r="M273" cm="1">
        <f t="array" aca="1" ref="M273" ca="1">INDIRECT(_xlfn.CONCAT("C",$Q273))</f>
        <v>22</v>
      </c>
      <c r="N273" t="str" cm="1">
        <f t="array" aca="1" ref="N273" ca="1">INDIRECT(_xlfn.CONCAT("D",$Q273))</f>
        <v>create_channel</v>
      </c>
      <c r="O273" cm="1">
        <f t="array" aca="1" ref="O273" ca="1">INDIRECT(_xlfn.CONCAT("E",$Q273))</f>
        <v>334</v>
      </c>
      <c r="Q273">
        <v>360</v>
      </c>
    </row>
    <row r="274" spans="1:17">
      <c r="A274" t="s">
        <v>97</v>
      </c>
      <c r="B274" t="s">
        <v>9</v>
      </c>
      <c r="C274">
        <v>5</v>
      </c>
      <c r="D274" t="s">
        <v>100</v>
      </c>
      <c r="E274">
        <v>520</v>
      </c>
      <c r="K274" t="str" cm="1">
        <f t="array" aca="1" ref="K274" ca="1">INDIRECT(_xlfn.CONCAT("A",$Q274))</f>
        <v>connection_phase</v>
      </c>
      <c r="L274" t="str" cm="1">
        <f t="array" aca="1" ref="L274" ca="1">INDIRECT(_xlfn.CONCAT("B",$Q274))</f>
        <v>SPVA</v>
      </c>
      <c r="M274" cm="1">
        <f t="array" aca="1" ref="M274" ca="1">INDIRECT(_xlfn.CONCAT("C",$Q274))</f>
        <v>23</v>
      </c>
      <c r="N274" t="str" cm="1">
        <f t="array" aca="1" ref="N274" ca="1">INDIRECT(_xlfn.CONCAT("D",$Q274))</f>
        <v>create_channel</v>
      </c>
      <c r="O274" cm="1">
        <f t="array" aca="1" ref="O274" ca="1">INDIRECT(_xlfn.CONCAT("E",$Q274))</f>
        <v>333</v>
      </c>
      <c r="Q274">
        <v>365</v>
      </c>
    </row>
    <row r="275" spans="1:17">
      <c r="A275" t="s">
        <v>97</v>
      </c>
      <c r="B275" t="s">
        <v>9</v>
      </c>
      <c r="C275">
        <v>5</v>
      </c>
      <c r="D275" t="s">
        <v>101</v>
      </c>
      <c r="E275">
        <v>353</v>
      </c>
      <c r="K275" t="str" cm="1">
        <f t="array" aca="1" ref="K275" ca="1">INDIRECT(_xlfn.CONCAT("A",$Q275))</f>
        <v>connection_phase</v>
      </c>
      <c r="L275" t="str" cm="1">
        <f t="array" aca="1" ref="L275" ca="1">INDIRECT(_xlfn.CONCAT("B",$Q275))</f>
        <v>SPVA</v>
      </c>
      <c r="M275" cm="1">
        <f t="array" aca="1" ref="M275" ca="1">INDIRECT(_xlfn.CONCAT("C",$Q275))</f>
        <v>24</v>
      </c>
      <c r="N275" t="str" cm="1">
        <f t="array" aca="1" ref="N275" ca="1">INDIRECT(_xlfn.CONCAT("D",$Q275))</f>
        <v>create_channel</v>
      </c>
      <c r="O275" cm="1">
        <f t="array" aca="1" ref="O275" ca="1">INDIRECT(_xlfn.CONCAT("E",$Q275))</f>
        <v>335</v>
      </c>
      <c r="Q275">
        <v>370</v>
      </c>
    </row>
    <row r="276" spans="1:17">
      <c r="A276" t="s">
        <v>97</v>
      </c>
      <c r="B276" t="s">
        <v>9</v>
      </c>
      <c r="C276">
        <v>5</v>
      </c>
      <c r="D276" t="s">
        <v>102</v>
      </c>
      <c r="E276">
        <v>5374</v>
      </c>
      <c r="K276" t="str" cm="1">
        <f t="array" aca="1" ref="K276" ca="1">INDIRECT(_xlfn.CONCAT("A",$Q276))</f>
        <v>connection_phase</v>
      </c>
      <c r="L276" t="str" cm="1">
        <f t="array" aca="1" ref="L276" ca="1">INDIRECT(_xlfn.CONCAT("B",$Q276))</f>
        <v>SPVA</v>
      </c>
      <c r="M276" cm="1">
        <f t="array" aca="1" ref="M276" ca="1">INDIRECT(_xlfn.CONCAT("C",$Q276))</f>
        <v>25</v>
      </c>
      <c r="N276" t="str" cm="1">
        <f t="array" aca="1" ref="N276" ca="1">INDIRECT(_xlfn.CONCAT("D",$Q276))</f>
        <v>create_channel</v>
      </c>
      <c r="O276" cm="1">
        <f t="array" aca="1" ref="O276" ca="1">INDIRECT(_xlfn.CONCAT("E",$Q276))</f>
        <v>305</v>
      </c>
      <c r="Q276">
        <v>375</v>
      </c>
    </row>
    <row r="277" spans="1:17">
      <c r="A277" t="s">
        <v>97</v>
      </c>
      <c r="B277" t="s">
        <v>9</v>
      </c>
      <c r="C277">
        <v>6</v>
      </c>
      <c r="D277" t="s">
        <v>98</v>
      </c>
      <c r="E277">
        <v>1587</v>
      </c>
      <c r="K277" t="str" cm="1">
        <f t="array" aca="1" ref="K277" ca="1">INDIRECT(_xlfn.CONCAT("A",$Q277))</f>
        <v>connection_phase</v>
      </c>
      <c r="L277" t="str" cm="1">
        <f t="array" aca="1" ref="L277" ca="1">INDIRECT(_xlfn.CONCAT("B",$Q277))</f>
        <v>SPVA</v>
      </c>
      <c r="M277" cm="1">
        <f t="array" aca="1" ref="M277" ca="1">INDIRECT(_xlfn.CONCAT("C",$Q277))</f>
        <v>26</v>
      </c>
      <c r="N277" t="str" cm="1">
        <f t="array" aca="1" ref="N277" ca="1">INDIRECT(_xlfn.CONCAT("D",$Q277))</f>
        <v>create_channel</v>
      </c>
      <c r="O277" cm="1">
        <f t="array" aca="1" ref="O277" ca="1">INDIRECT(_xlfn.CONCAT("E",$Q277))</f>
        <v>286</v>
      </c>
      <c r="Q277">
        <v>380</v>
      </c>
    </row>
    <row r="278" spans="1:17">
      <c r="A278" t="s">
        <v>97</v>
      </c>
      <c r="B278" t="s">
        <v>9</v>
      </c>
      <c r="C278">
        <v>6</v>
      </c>
      <c r="D278" t="s">
        <v>99</v>
      </c>
      <c r="E278">
        <v>3504</v>
      </c>
      <c r="K278" t="str" cm="1">
        <f t="array" aca="1" ref="K278" ca="1">INDIRECT(_xlfn.CONCAT("A",$Q278))</f>
        <v>connection_phase</v>
      </c>
      <c r="L278" t="str" cm="1">
        <f t="array" aca="1" ref="L278" ca="1">INDIRECT(_xlfn.CONCAT("B",$Q278))</f>
        <v>SPVA</v>
      </c>
      <c r="M278" cm="1">
        <f t="array" aca="1" ref="M278" ca="1">INDIRECT(_xlfn.CONCAT("C",$Q278))</f>
        <v>27</v>
      </c>
      <c r="N278" t="str" cm="1">
        <f t="array" aca="1" ref="N278" ca="1">INDIRECT(_xlfn.CONCAT("D",$Q278))</f>
        <v>create_channel</v>
      </c>
      <c r="O278" cm="1">
        <f t="array" aca="1" ref="O278" ca="1">INDIRECT(_xlfn.CONCAT("E",$Q278))</f>
        <v>409</v>
      </c>
      <c r="Q278">
        <v>385</v>
      </c>
    </row>
    <row r="279" spans="1:17">
      <c r="A279" t="s">
        <v>97</v>
      </c>
      <c r="B279" t="s">
        <v>9</v>
      </c>
      <c r="C279">
        <v>6</v>
      </c>
      <c r="D279" t="s">
        <v>100</v>
      </c>
      <c r="E279">
        <v>479</v>
      </c>
      <c r="K279" t="str" cm="1">
        <f t="array" aca="1" ref="K279" ca="1">INDIRECT(_xlfn.CONCAT("A",$Q279))</f>
        <v>connection_phase</v>
      </c>
      <c r="L279" t="str" cm="1">
        <f t="array" aca="1" ref="L279" ca="1">INDIRECT(_xlfn.CONCAT("B",$Q279))</f>
        <v>SPVA</v>
      </c>
      <c r="M279" cm="1">
        <f t="array" aca="1" ref="M279" ca="1">INDIRECT(_xlfn.CONCAT("C",$Q279))</f>
        <v>28</v>
      </c>
      <c r="N279" t="str" cm="1">
        <f t="array" aca="1" ref="N279" ca="1">INDIRECT(_xlfn.CONCAT("D",$Q279))</f>
        <v>create_channel</v>
      </c>
      <c r="O279" cm="1">
        <f t="array" aca="1" ref="O279" ca="1">INDIRECT(_xlfn.CONCAT("E",$Q279))</f>
        <v>255</v>
      </c>
      <c r="Q279">
        <v>390</v>
      </c>
    </row>
    <row r="280" spans="1:17">
      <c r="A280" t="s">
        <v>97</v>
      </c>
      <c r="B280" t="s">
        <v>9</v>
      </c>
      <c r="C280">
        <v>6</v>
      </c>
      <c r="D280" t="s">
        <v>101</v>
      </c>
      <c r="E280">
        <v>474</v>
      </c>
      <c r="K280" t="str" cm="1">
        <f t="array" aca="1" ref="K280" ca="1">INDIRECT(_xlfn.CONCAT("A",$Q280))</f>
        <v>connection_phase</v>
      </c>
      <c r="L280" t="str" cm="1">
        <f t="array" aca="1" ref="L280" ca="1">INDIRECT(_xlfn.CONCAT("B",$Q280))</f>
        <v>SPVA</v>
      </c>
      <c r="M280" cm="1">
        <f t="array" aca="1" ref="M280" ca="1">INDIRECT(_xlfn.CONCAT("C",$Q280))</f>
        <v>29</v>
      </c>
      <c r="N280" t="str" cm="1">
        <f t="array" aca="1" ref="N280" ca="1">INDIRECT(_xlfn.CONCAT("D",$Q280))</f>
        <v>create_channel</v>
      </c>
      <c r="O280" cm="1">
        <f t="array" aca="1" ref="O280" ca="1">INDIRECT(_xlfn.CONCAT("E",$Q280))</f>
        <v>241</v>
      </c>
      <c r="Q280">
        <v>395</v>
      </c>
    </row>
    <row r="281" spans="1:17">
      <c r="A281" t="s">
        <v>97</v>
      </c>
      <c r="B281" t="s">
        <v>9</v>
      </c>
      <c r="C281">
        <v>6</v>
      </c>
      <c r="D281" t="s">
        <v>102</v>
      </c>
      <c r="E281">
        <v>6044</v>
      </c>
      <c r="K281" t="str" cm="1">
        <f t="array" aca="1" ref="K281" ca="1">INDIRECT(_xlfn.CONCAT("A",$Q281))</f>
        <v>connection_phase</v>
      </c>
      <c r="L281" t="str" cm="1">
        <f t="array" aca="1" ref="L281" ca="1">INDIRECT(_xlfn.CONCAT("B",$Q281))</f>
        <v>SPVA</v>
      </c>
      <c r="M281" cm="1">
        <f t="array" aca="1" ref="M281" ca="1">INDIRECT(_xlfn.CONCAT("C",$Q281))</f>
        <v>30</v>
      </c>
      <c r="N281" t="str" cm="1">
        <f t="array" aca="1" ref="N281" ca="1">INDIRECT(_xlfn.CONCAT("D",$Q281))</f>
        <v>create_channel</v>
      </c>
      <c r="O281" cm="1">
        <f t="array" aca="1" ref="O281" ca="1">INDIRECT(_xlfn.CONCAT("E",$Q281))</f>
        <v>278</v>
      </c>
      <c r="Q281">
        <v>400</v>
      </c>
    </row>
    <row r="282" spans="1:17">
      <c r="A282" t="s">
        <v>97</v>
      </c>
      <c r="B282" t="s">
        <v>9</v>
      </c>
      <c r="C282">
        <v>7</v>
      </c>
      <c r="D282" t="s">
        <v>98</v>
      </c>
      <c r="E282">
        <v>1877</v>
      </c>
      <c r="K282" t="str" cm="1">
        <f t="array" aca="1" ref="K282" ca="1">INDIRECT(_xlfn.CONCAT("A",$Q282))</f>
        <v>connection_phase</v>
      </c>
      <c r="L282" t="str" cm="1">
        <f t="array" aca="1" ref="L282" ca="1">INDIRECT(_xlfn.CONCAT("B",$Q282))</f>
        <v>SPVA</v>
      </c>
      <c r="M282" cm="1">
        <f t="array" aca="1" ref="M282" ca="1">INDIRECT(_xlfn.CONCAT("C",$Q282))</f>
        <v>31</v>
      </c>
      <c r="N282" t="str" cm="1">
        <f t="array" aca="1" ref="N282" ca="1">INDIRECT(_xlfn.CONCAT("D",$Q282))</f>
        <v>create_channel</v>
      </c>
      <c r="O282" cm="1">
        <f t="array" aca="1" ref="O282" ca="1">INDIRECT(_xlfn.CONCAT("E",$Q282))</f>
        <v>458</v>
      </c>
      <c r="Q282">
        <v>405</v>
      </c>
    </row>
    <row r="283" spans="1:17">
      <c r="A283" t="s">
        <v>97</v>
      </c>
      <c r="B283" t="s">
        <v>9</v>
      </c>
      <c r="C283">
        <v>7</v>
      </c>
      <c r="D283" t="s">
        <v>99</v>
      </c>
      <c r="E283">
        <v>4909</v>
      </c>
      <c r="K283" t="str" cm="1">
        <f t="array" aca="1" ref="K283" ca="1">INDIRECT(_xlfn.CONCAT("A",$Q283))</f>
        <v>connection_phase</v>
      </c>
      <c r="L283" t="str" cm="1">
        <f t="array" aca="1" ref="L283" ca="1">INDIRECT(_xlfn.CONCAT("B",$Q283))</f>
        <v>SPVA</v>
      </c>
      <c r="M283" cm="1">
        <f t="array" aca="1" ref="M283" ca="1">INDIRECT(_xlfn.CONCAT("C",$Q283))</f>
        <v>32</v>
      </c>
      <c r="N283" t="str" cm="1">
        <f t="array" aca="1" ref="N283" ca="1">INDIRECT(_xlfn.CONCAT("D",$Q283))</f>
        <v>create_channel</v>
      </c>
      <c r="O283" cm="1">
        <f t="array" aca="1" ref="O283" ca="1">INDIRECT(_xlfn.CONCAT("E",$Q283))</f>
        <v>265</v>
      </c>
      <c r="Q283">
        <v>410</v>
      </c>
    </row>
    <row r="284" spans="1:17">
      <c r="A284" t="s">
        <v>97</v>
      </c>
      <c r="B284" t="s">
        <v>9</v>
      </c>
      <c r="C284">
        <v>7</v>
      </c>
      <c r="D284" t="s">
        <v>100</v>
      </c>
      <c r="E284">
        <v>469</v>
      </c>
      <c r="K284" t="str" cm="1">
        <f t="array" aca="1" ref="K284" ca="1">INDIRECT(_xlfn.CONCAT("A",$Q284))</f>
        <v>connection_phase</v>
      </c>
      <c r="L284" t="str" cm="1">
        <f t="array" aca="1" ref="L284" ca="1">INDIRECT(_xlfn.CONCAT("B",$Q284))</f>
        <v>SPVA</v>
      </c>
      <c r="M284" cm="1">
        <f t="array" aca="1" ref="M284" ca="1">INDIRECT(_xlfn.CONCAT("C",$Q284))</f>
        <v>33</v>
      </c>
      <c r="N284" t="str" cm="1">
        <f t="array" aca="1" ref="N284" ca="1">INDIRECT(_xlfn.CONCAT("D",$Q284))</f>
        <v>create_channel</v>
      </c>
      <c r="O284" cm="1">
        <f t="array" aca="1" ref="O284" ca="1">INDIRECT(_xlfn.CONCAT("E",$Q284))</f>
        <v>286</v>
      </c>
      <c r="Q284">
        <v>415</v>
      </c>
    </row>
    <row r="285" spans="1:17">
      <c r="A285" t="s">
        <v>97</v>
      </c>
      <c r="B285" t="s">
        <v>9</v>
      </c>
      <c r="C285">
        <v>7</v>
      </c>
      <c r="D285" t="s">
        <v>101</v>
      </c>
      <c r="E285">
        <v>312</v>
      </c>
      <c r="K285" t="str" cm="1">
        <f t="array" aca="1" ref="K285" ca="1">INDIRECT(_xlfn.CONCAT("A",$Q285))</f>
        <v>connection_phase</v>
      </c>
      <c r="L285" t="str" cm="1">
        <f t="array" aca="1" ref="L285" ca="1">INDIRECT(_xlfn.CONCAT("B",$Q285))</f>
        <v>SPVA</v>
      </c>
      <c r="M285" cm="1">
        <f t="array" aca="1" ref="M285" ca="1">INDIRECT(_xlfn.CONCAT("C",$Q285))</f>
        <v>34</v>
      </c>
      <c r="N285" t="str" cm="1">
        <f t="array" aca="1" ref="N285" ca="1">INDIRECT(_xlfn.CONCAT("D",$Q285))</f>
        <v>create_channel</v>
      </c>
      <c r="O285" cm="1">
        <f t="array" aca="1" ref="O285" ca="1">INDIRECT(_xlfn.CONCAT("E",$Q285))</f>
        <v>321</v>
      </c>
      <c r="Q285">
        <v>420</v>
      </c>
    </row>
    <row r="286" spans="1:17">
      <c r="A286" t="s">
        <v>97</v>
      </c>
      <c r="B286" t="s">
        <v>9</v>
      </c>
      <c r="C286">
        <v>7</v>
      </c>
      <c r="D286" t="s">
        <v>102</v>
      </c>
      <c r="E286">
        <v>7567</v>
      </c>
      <c r="K286" t="str" cm="1">
        <f t="array" aca="1" ref="K286" ca="1">INDIRECT(_xlfn.CONCAT("A",$Q286))</f>
        <v>connection_phase</v>
      </c>
      <c r="L286" t="str" cm="1">
        <f t="array" aca="1" ref="L286" ca="1">INDIRECT(_xlfn.CONCAT("B",$Q286))</f>
        <v>SPVA</v>
      </c>
      <c r="M286" cm="1">
        <f t="array" aca="1" ref="M286" ca="1">INDIRECT(_xlfn.CONCAT("C",$Q286))</f>
        <v>35</v>
      </c>
      <c r="N286" t="str" cm="1">
        <f t="array" aca="1" ref="N286" ca="1">INDIRECT(_xlfn.CONCAT("D",$Q286))</f>
        <v>create_channel</v>
      </c>
      <c r="O286" cm="1">
        <f t="array" aca="1" ref="O286" ca="1">INDIRECT(_xlfn.CONCAT("E",$Q286))</f>
        <v>469</v>
      </c>
      <c r="Q286">
        <v>425</v>
      </c>
    </row>
    <row r="287" spans="1:17">
      <c r="A287" t="s">
        <v>97</v>
      </c>
      <c r="B287" t="s">
        <v>9</v>
      </c>
      <c r="C287">
        <v>8</v>
      </c>
      <c r="D287" t="s">
        <v>98</v>
      </c>
      <c r="E287">
        <v>1018</v>
      </c>
      <c r="K287" t="str" cm="1">
        <f t="array" aca="1" ref="K287" ca="1">INDIRECT(_xlfn.CONCAT("A",$Q287))</f>
        <v>connection_phase</v>
      </c>
      <c r="L287" t="str" cm="1">
        <f t="array" aca="1" ref="L287" ca="1">INDIRECT(_xlfn.CONCAT("B",$Q287))</f>
        <v>SPVA</v>
      </c>
      <c r="M287" cm="1">
        <f t="array" aca="1" ref="M287" ca="1">INDIRECT(_xlfn.CONCAT("C",$Q287))</f>
        <v>36</v>
      </c>
      <c r="N287" t="str" cm="1">
        <f t="array" aca="1" ref="N287" ca="1">INDIRECT(_xlfn.CONCAT("D",$Q287))</f>
        <v>create_channel</v>
      </c>
      <c r="O287" cm="1">
        <f t="array" aca="1" ref="O287" ca="1">INDIRECT(_xlfn.CONCAT("E",$Q287))</f>
        <v>384</v>
      </c>
      <c r="Q287">
        <v>430</v>
      </c>
    </row>
    <row r="288" spans="1:17">
      <c r="A288" t="s">
        <v>97</v>
      </c>
      <c r="B288" t="s">
        <v>9</v>
      </c>
      <c r="C288">
        <v>8</v>
      </c>
      <c r="D288" t="s">
        <v>99</v>
      </c>
      <c r="E288">
        <v>3123</v>
      </c>
      <c r="K288" t="str" cm="1">
        <f t="array" aca="1" ref="K288" ca="1">INDIRECT(_xlfn.CONCAT("A",$Q288))</f>
        <v>connection_phase</v>
      </c>
      <c r="L288" t="str" cm="1">
        <f t="array" aca="1" ref="L288" ca="1">INDIRECT(_xlfn.CONCAT("B",$Q288))</f>
        <v>SPVA</v>
      </c>
      <c r="M288" cm="1">
        <f t="array" aca="1" ref="M288" ca="1">INDIRECT(_xlfn.CONCAT("C",$Q288))</f>
        <v>37</v>
      </c>
      <c r="N288" t="str" cm="1">
        <f t="array" aca="1" ref="N288" ca="1">INDIRECT(_xlfn.CONCAT("D",$Q288))</f>
        <v>create_channel</v>
      </c>
      <c r="O288" cm="1">
        <f t="array" aca="1" ref="O288" ca="1">INDIRECT(_xlfn.CONCAT("E",$Q288))</f>
        <v>302</v>
      </c>
      <c r="Q288">
        <v>435</v>
      </c>
    </row>
    <row r="289" spans="1:17">
      <c r="A289" t="s">
        <v>97</v>
      </c>
      <c r="B289" t="s">
        <v>9</v>
      </c>
      <c r="C289">
        <v>8</v>
      </c>
      <c r="D289" t="s">
        <v>100</v>
      </c>
      <c r="E289">
        <v>448</v>
      </c>
      <c r="K289" t="str" cm="1">
        <f t="array" aca="1" ref="K289" ca="1">INDIRECT(_xlfn.CONCAT("A",$Q289))</f>
        <v>connection_phase</v>
      </c>
      <c r="L289" t="str" cm="1">
        <f t="array" aca="1" ref="L289" ca="1">INDIRECT(_xlfn.CONCAT("B",$Q289))</f>
        <v>SPVA</v>
      </c>
      <c r="M289" cm="1">
        <f t="array" aca="1" ref="M289" ca="1">INDIRECT(_xlfn.CONCAT("C",$Q289))</f>
        <v>38</v>
      </c>
      <c r="N289" t="str" cm="1">
        <f t="array" aca="1" ref="N289" ca="1">INDIRECT(_xlfn.CONCAT("D",$Q289))</f>
        <v>create_channel</v>
      </c>
      <c r="O289" cm="1">
        <f t="array" aca="1" ref="O289" ca="1">INDIRECT(_xlfn.CONCAT("E",$Q289))</f>
        <v>343</v>
      </c>
      <c r="Q289">
        <v>440</v>
      </c>
    </row>
    <row r="290" spans="1:17">
      <c r="A290" t="s">
        <v>97</v>
      </c>
      <c r="B290" t="s">
        <v>9</v>
      </c>
      <c r="C290">
        <v>8</v>
      </c>
      <c r="D290" t="s">
        <v>101</v>
      </c>
      <c r="E290">
        <v>278</v>
      </c>
      <c r="K290" t="str" cm="1">
        <f t="array" aca="1" ref="K290" ca="1">INDIRECT(_xlfn.CONCAT("A",$Q290))</f>
        <v>connection_phase</v>
      </c>
      <c r="L290" t="str" cm="1">
        <f t="array" aca="1" ref="L290" ca="1">INDIRECT(_xlfn.CONCAT("B",$Q290))</f>
        <v>SPVA</v>
      </c>
      <c r="M290" cm="1">
        <f t="array" aca="1" ref="M290" ca="1">INDIRECT(_xlfn.CONCAT("C",$Q290))</f>
        <v>39</v>
      </c>
      <c r="N290" t="str" cm="1">
        <f t="array" aca="1" ref="N290" ca="1">INDIRECT(_xlfn.CONCAT("D",$Q290))</f>
        <v>create_channel</v>
      </c>
      <c r="O290" cm="1">
        <f t="array" aca="1" ref="O290" ca="1">INDIRECT(_xlfn.CONCAT("E",$Q290))</f>
        <v>330</v>
      </c>
      <c r="Q290">
        <v>445</v>
      </c>
    </row>
    <row r="291" spans="1:17">
      <c r="A291" t="s">
        <v>97</v>
      </c>
      <c r="B291" t="s">
        <v>9</v>
      </c>
      <c r="C291">
        <v>8</v>
      </c>
      <c r="D291" t="s">
        <v>102</v>
      </c>
      <c r="E291">
        <v>4867</v>
      </c>
      <c r="K291" t="str" cm="1">
        <f t="array" aca="1" ref="K291" ca="1">INDIRECT(_xlfn.CONCAT("A",$Q291))</f>
        <v>connection_phase</v>
      </c>
      <c r="L291" t="str" cm="1">
        <f t="array" aca="1" ref="L291" ca="1">INDIRECT(_xlfn.CONCAT("B",$Q291))</f>
        <v>SPVA</v>
      </c>
      <c r="M291" cm="1">
        <f t="array" aca="1" ref="M291" ca="1">INDIRECT(_xlfn.CONCAT("C",$Q291))</f>
        <v>40</v>
      </c>
      <c r="N291" t="str" cm="1">
        <f t="array" aca="1" ref="N291" ca="1">INDIRECT(_xlfn.CONCAT("D",$Q291))</f>
        <v>create_channel</v>
      </c>
      <c r="O291" cm="1">
        <f t="array" aca="1" ref="O291" ca="1">INDIRECT(_xlfn.CONCAT("E",$Q291))</f>
        <v>309</v>
      </c>
      <c r="Q291">
        <v>450</v>
      </c>
    </row>
    <row r="292" spans="1:17">
      <c r="A292" t="s">
        <v>97</v>
      </c>
      <c r="B292" t="s">
        <v>9</v>
      </c>
      <c r="C292">
        <v>9</v>
      </c>
      <c r="D292" t="s">
        <v>98</v>
      </c>
      <c r="E292">
        <v>1015</v>
      </c>
      <c r="K292" t="str" cm="1">
        <f t="array" aca="1" ref="K292" ca="1">INDIRECT(_xlfn.CONCAT("A",$Q292))</f>
        <v>connection_phase</v>
      </c>
      <c r="L292" t="str" cm="1">
        <f t="array" aca="1" ref="L292" ca="1">INDIRECT(_xlfn.CONCAT("B",$Q292))</f>
        <v>SPVA</v>
      </c>
      <c r="M292" cm="1">
        <f t="array" aca="1" ref="M292" ca="1">INDIRECT(_xlfn.CONCAT("C",$Q292))</f>
        <v>41</v>
      </c>
      <c r="N292" t="str" cm="1">
        <f t="array" aca="1" ref="N292" ca="1">INDIRECT(_xlfn.CONCAT("D",$Q292))</f>
        <v>create_channel</v>
      </c>
      <c r="O292" cm="1">
        <f t="array" aca="1" ref="O292" ca="1">INDIRECT(_xlfn.CONCAT("E",$Q292))</f>
        <v>302</v>
      </c>
      <c r="Q292">
        <v>455</v>
      </c>
    </row>
    <row r="293" spans="1:17">
      <c r="A293" t="s">
        <v>97</v>
      </c>
      <c r="B293" t="s">
        <v>9</v>
      </c>
      <c r="C293">
        <v>9</v>
      </c>
      <c r="D293" t="s">
        <v>99</v>
      </c>
      <c r="E293">
        <v>3171</v>
      </c>
      <c r="K293" t="str" cm="1">
        <f t="array" aca="1" ref="K293" ca="1">INDIRECT(_xlfn.CONCAT("A",$Q293))</f>
        <v>connection_phase</v>
      </c>
      <c r="L293" t="str" cm="1">
        <f t="array" aca="1" ref="L293" ca="1">INDIRECT(_xlfn.CONCAT("B",$Q293))</f>
        <v>SPVA</v>
      </c>
      <c r="M293" cm="1">
        <f t="array" aca="1" ref="M293" ca="1">INDIRECT(_xlfn.CONCAT("C",$Q293))</f>
        <v>42</v>
      </c>
      <c r="N293" t="str" cm="1">
        <f t="array" aca="1" ref="N293" ca="1">INDIRECT(_xlfn.CONCAT("D",$Q293))</f>
        <v>create_channel</v>
      </c>
      <c r="O293" cm="1">
        <f t="array" aca="1" ref="O293" ca="1">INDIRECT(_xlfn.CONCAT("E",$Q293))</f>
        <v>387</v>
      </c>
      <c r="Q293">
        <v>460</v>
      </c>
    </row>
    <row r="294" spans="1:17">
      <c r="A294" t="s">
        <v>97</v>
      </c>
      <c r="B294" t="s">
        <v>9</v>
      </c>
      <c r="C294">
        <v>9</v>
      </c>
      <c r="D294" t="s">
        <v>100</v>
      </c>
      <c r="E294">
        <v>375</v>
      </c>
      <c r="K294" t="str" cm="1">
        <f t="array" aca="1" ref="K294" ca="1">INDIRECT(_xlfn.CONCAT("A",$Q294))</f>
        <v>connection_phase</v>
      </c>
      <c r="L294" t="str" cm="1">
        <f t="array" aca="1" ref="L294" ca="1">INDIRECT(_xlfn.CONCAT("B",$Q294))</f>
        <v>SPVA</v>
      </c>
      <c r="M294" cm="1">
        <f t="array" aca="1" ref="M294" ca="1">INDIRECT(_xlfn.CONCAT("C",$Q294))</f>
        <v>43</v>
      </c>
      <c r="N294" t="str" cm="1">
        <f t="array" aca="1" ref="N294" ca="1">INDIRECT(_xlfn.CONCAT("D",$Q294))</f>
        <v>create_channel</v>
      </c>
      <c r="O294" cm="1">
        <f t="array" aca="1" ref="O294" ca="1">INDIRECT(_xlfn.CONCAT("E",$Q294))</f>
        <v>383</v>
      </c>
      <c r="Q294">
        <v>465</v>
      </c>
    </row>
    <row r="295" spans="1:17">
      <c r="A295" t="s">
        <v>97</v>
      </c>
      <c r="B295" t="s">
        <v>9</v>
      </c>
      <c r="C295">
        <v>9</v>
      </c>
      <c r="D295" t="s">
        <v>101</v>
      </c>
      <c r="E295">
        <v>361</v>
      </c>
      <c r="K295" t="str" cm="1">
        <f t="array" aca="1" ref="K295" ca="1">INDIRECT(_xlfn.CONCAT("A",$Q295))</f>
        <v>connection_phase</v>
      </c>
      <c r="L295" t="str" cm="1">
        <f t="array" aca="1" ref="L295" ca="1">INDIRECT(_xlfn.CONCAT("B",$Q295))</f>
        <v>SPVA</v>
      </c>
      <c r="M295" cm="1">
        <f t="array" aca="1" ref="M295" ca="1">INDIRECT(_xlfn.CONCAT("C",$Q295))</f>
        <v>44</v>
      </c>
      <c r="N295" t="str" cm="1">
        <f t="array" aca="1" ref="N295" ca="1">INDIRECT(_xlfn.CONCAT("D",$Q295))</f>
        <v>create_channel</v>
      </c>
      <c r="O295" cm="1">
        <f t="array" aca="1" ref="O295" ca="1">INDIRECT(_xlfn.CONCAT("E",$Q295))</f>
        <v>393</v>
      </c>
      <c r="Q295">
        <v>470</v>
      </c>
    </row>
    <row r="296" spans="1:17">
      <c r="A296" t="s">
        <v>97</v>
      </c>
      <c r="B296" t="s">
        <v>9</v>
      </c>
      <c r="C296">
        <v>9</v>
      </c>
      <c r="D296" t="s">
        <v>102</v>
      </c>
      <c r="E296">
        <v>4922</v>
      </c>
      <c r="K296" t="str" cm="1">
        <f t="array" aca="1" ref="K296" ca="1">INDIRECT(_xlfn.CONCAT("A",$Q296))</f>
        <v>connection_phase</v>
      </c>
      <c r="L296" t="str" cm="1">
        <f t="array" aca="1" ref="L296" ca="1">INDIRECT(_xlfn.CONCAT("B",$Q296))</f>
        <v>SPVA</v>
      </c>
      <c r="M296" cm="1">
        <f t="array" aca="1" ref="M296" ca="1">INDIRECT(_xlfn.CONCAT("C",$Q296))</f>
        <v>45</v>
      </c>
      <c r="N296" t="str" cm="1">
        <f t="array" aca="1" ref="N296" ca="1">INDIRECT(_xlfn.CONCAT("D",$Q296))</f>
        <v>create_channel</v>
      </c>
      <c r="O296" cm="1">
        <f t="array" aca="1" ref="O296" ca="1">INDIRECT(_xlfn.CONCAT("E",$Q296))</f>
        <v>308</v>
      </c>
      <c r="Q296">
        <v>475</v>
      </c>
    </row>
    <row r="297" spans="1:17">
      <c r="A297" t="s">
        <v>97</v>
      </c>
      <c r="B297" t="s">
        <v>9</v>
      </c>
      <c r="C297">
        <v>10</v>
      </c>
      <c r="D297" t="s">
        <v>98</v>
      </c>
      <c r="E297">
        <v>2342</v>
      </c>
      <c r="K297" t="str" cm="1">
        <f t="array" aca="1" ref="K297" ca="1">INDIRECT(_xlfn.CONCAT("A",$Q297))</f>
        <v>connection_phase</v>
      </c>
      <c r="L297" t="str" cm="1">
        <f t="array" aca="1" ref="L297" ca="1">INDIRECT(_xlfn.CONCAT("B",$Q297))</f>
        <v>SPVA</v>
      </c>
      <c r="M297" cm="1">
        <f t="array" aca="1" ref="M297" ca="1">INDIRECT(_xlfn.CONCAT("C",$Q297))</f>
        <v>46</v>
      </c>
      <c r="N297" t="str" cm="1">
        <f t="array" aca="1" ref="N297" ca="1">INDIRECT(_xlfn.CONCAT("D",$Q297))</f>
        <v>create_channel</v>
      </c>
      <c r="O297" cm="1">
        <f t="array" aca="1" ref="O297" ca="1">INDIRECT(_xlfn.CONCAT("E",$Q297))</f>
        <v>320</v>
      </c>
      <c r="Q297">
        <v>480</v>
      </c>
    </row>
    <row r="298" spans="1:17">
      <c r="A298" t="s">
        <v>97</v>
      </c>
      <c r="B298" t="s">
        <v>9</v>
      </c>
      <c r="C298">
        <v>10</v>
      </c>
      <c r="D298" t="s">
        <v>99</v>
      </c>
      <c r="E298">
        <v>5732</v>
      </c>
      <c r="K298" t="str" cm="1">
        <f t="array" aca="1" ref="K298" ca="1">INDIRECT(_xlfn.CONCAT("A",$Q298))</f>
        <v>connection_phase</v>
      </c>
      <c r="L298" t="str" cm="1">
        <f t="array" aca="1" ref="L298" ca="1">INDIRECT(_xlfn.CONCAT("B",$Q298))</f>
        <v>SPVA</v>
      </c>
      <c r="M298" cm="1">
        <f t="array" aca="1" ref="M298" ca="1">INDIRECT(_xlfn.CONCAT("C",$Q298))</f>
        <v>47</v>
      </c>
      <c r="N298" t="str" cm="1">
        <f t="array" aca="1" ref="N298" ca="1">INDIRECT(_xlfn.CONCAT("D",$Q298))</f>
        <v>create_channel</v>
      </c>
      <c r="O298" cm="1">
        <f t="array" aca="1" ref="O298" ca="1">INDIRECT(_xlfn.CONCAT("E",$Q298))</f>
        <v>320</v>
      </c>
      <c r="Q298">
        <v>485</v>
      </c>
    </row>
    <row r="299" spans="1:17">
      <c r="A299" t="s">
        <v>97</v>
      </c>
      <c r="B299" t="s">
        <v>9</v>
      </c>
      <c r="C299">
        <v>10</v>
      </c>
      <c r="D299" t="s">
        <v>100</v>
      </c>
      <c r="E299">
        <v>408</v>
      </c>
      <c r="K299" t="str" cm="1">
        <f t="array" aca="1" ref="K299" ca="1">INDIRECT(_xlfn.CONCAT("A",$Q299))</f>
        <v>connection_phase</v>
      </c>
      <c r="L299" t="str" cm="1">
        <f t="array" aca="1" ref="L299" ca="1">INDIRECT(_xlfn.CONCAT("B",$Q299))</f>
        <v>SPVA</v>
      </c>
      <c r="M299" cm="1">
        <f t="array" aca="1" ref="M299" ca="1">INDIRECT(_xlfn.CONCAT("C",$Q299))</f>
        <v>48</v>
      </c>
      <c r="N299" t="str" cm="1">
        <f t="array" aca="1" ref="N299" ca="1">INDIRECT(_xlfn.CONCAT("D",$Q299))</f>
        <v>create_channel</v>
      </c>
      <c r="O299" cm="1">
        <f t="array" aca="1" ref="O299" ca="1">INDIRECT(_xlfn.CONCAT("E",$Q299))</f>
        <v>309</v>
      </c>
      <c r="Q299">
        <v>490</v>
      </c>
    </row>
    <row r="300" spans="1:17">
      <c r="A300" t="s">
        <v>97</v>
      </c>
      <c r="B300" t="s">
        <v>9</v>
      </c>
      <c r="C300">
        <v>10</v>
      </c>
      <c r="D300" t="s">
        <v>101</v>
      </c>
      <c r="E300">
        <v>346</v>
      </c>
      <c r="K300" t="str" cm="1">
        <f t="array" aca="1" ref="K300" ca="1">INDIRECT(_xlfn.CONCAT("A",$Q300))</f>
        <v>connection_phase</v>
      </c>
      <c r="L300" t="str" cm="1">
        <f t="array" aca="1" ref="L300" ca="1">INDIRECT(_xlfn.CONCAT("B",$Q300))</f>
        <v>SPVA</v>
      </c>
      <c r="M300" cm="1">
        <f t="array" aca="1" ref="M300" ca="1">INDIRECT(_xlfn.CONCAT("C",$Q300))</f>
        <v>49</v>
      </c>
      <c r="N300" t="str" cm="1">
        <f t="array" aca="1" ref="N300" ca="1">INDIRECT(_xlfn.CONCAT("D",$Q300))</f>
        <v>create_channel</v>
      </c>
      <c r="O300" cm="1">
        <f t="array" aca="1" ref="O300" ca="1">INDIRECT(_xlfn.CONCAT("E",$Q300))</f>
        <v>365</v>
      </c>
      <c r="Q300">
        <v>495</v>
      </c>
    </row>
    <row r="301" spans="1:17">
      <c r="A301" t="s">
        <v>97</v>
      </c>
      <c r="B301" t="s">
        <v>9</v>
      </c>
      <c r="C301">
        <v>10</v>
      </c>
      <c r="D301" t="s">
        <v>102</v>
      </c>
      <c r="E301">
        <v>8828</v>
      </c>
      <c r="K301" t="str" cm="1">
        <f t="array" aca="1" ref="K301" ca="1">INDIRECT(_xlfn.CONCAT("A",$Q301))</f>
        <v>connection_phase</v>
      </c>
      <c r="L301" t="str" cm="1">
        <f t="array" aca="1" ref="L301" ca="1">INDIRECT(_xlfn.CONCAT("B",$Q301))</f>
        <v>SPVA</v>
      </c>
      <c r="M301" cm="1">
        <f t="array" aca="1" ref="M301" ca="1">INDIRECT(_xlfn.CONCAT("C",$Q301))</f>
        <v>50</v>
      </c>
      <c r="N301" t="str" cm="1">
        <f t="array" aca="1" ref="N301" ca="1">INDIRECT(_xlfn.CONCAT("D",$Q301))</f>
        <v>create_channel</v>
      </c>
      <c r="O301" cm="1">
        <f t="array" aca="1" ref="O301" ca="1">INDIRECT(_xlfn.CONCAT("E",$Q301))</f>
        <v>406</v>
      </c>
      <c r="Q301">
        <v>500</v>
      </c>
    </row>
    <row r="302" spans="1:17">
      <c r="A302" t="s">
        <v>97</v>
      </c>
      <c r="B302" t="s">
        <v>9</v>
      </c>
      <c r="C302">
        <v>11</v>
      </c>
      <c r="D302" t="s">
        <v>98</v>
      </c>
      <c r="E302">
        <v>1012</v>
      </c>
      <c r="K302" t="str" cm="1">
        <f t="array" aca="1" ref="K302" ca="1">INDIRECT(_xlfn.CONCAT("A",$Q302))</f>
        <v>connection_phase</v>
      </c>
      <c r="L302" t="str" cm="1">
        <f t="array" aca="1" ref="L302" ca="1">INDIRECT(_xlfn.CONCAT("B",$Q302))</f>
        <v>SPVA</v>
      </c>
      <c r="M302" cm="1">
        <f t="array" aca="1" ref="M302" ca="1">INDIRECT(_xlfn.CONCAT("C",$Q302))</f>
        <v>1</v>
      </c>
      <c r="N302" t="str" cm="1">
        <f t="array" aca="1" ref="N302" ca="1">INDIRECT(_xlfn.CONCAT("D",$Q302))</f>
        <v>search</v>
      </c>
      <c r="O302" cm="1">
        <f t="array" aca="1" ref="O302" ca="1">INDIRECT(_xlfn.CONCAT("E",$Q302))</f>
        <v>3455</v>
      </c>
      <c r="Q302">
        <v>252</v>
      </c>
    </row>
    <row r="303" spans="1:17">
      <c r="A303" t="s">
        <v>97</v>
      </c>
      <c r="B303" t="s">
        <v>9</v>
      </c>
      <c r="C303">
        <v>11</v>
      </c>
      <c r="D303" t="s">
        <v>99</v>
      </c>
      <c r="E303">
        <v>3041</v>
      </c>
      <c r="K303" t="str" cm="1">
        <f t="array" aca="1" ref="K303" ca="1">INDIRECT(_xlfn.CONCAT("A",$Q303))</f>
        <v>connection_phase</v>
      </c>
      <c r="L303" t="str" cm="1">
        <f t="array" aca="1" ref="L303" ca="1">INDIRECT(_xlfn.CONCAT("B",$Q303))</f>
        <v>SPVA</v>
      </c>
      <c r="M303" cm="1">
        <f t="array" aca="1" ref="M303" ca="1">INDIRECT(_xlfn.CONCAT("C",$Q303))</f>
        <v>2</v>
      </c>
      <c r="N303" t="str" cm="1">
        <f t="array" aca="1" ref="N303" ca="1">INDIRECT(_xlfn.CONCAT("D",$Q303))</f>
        <v>search</v>
      </c>
      <c r="O303" cm="1">
        <f t="array" aca="1" ref="O303" ca="1">INDIRECT(_xlfn.CONCAT("E",$Q303))</f>
        <v>2747</v>
      </c>
      <c r="Q303">
        <v>257</v>
      </c>
    </row>
    <row r="304" spans="1:17">
      <c r="A304" t="s">
        <v>97</v>
      </c>
      <c r="B304" t="s">
        <v>9</v>
      </c>
      <c r="C304">
        <v>11</v>
      </c>
      <c r="D304" t="s">
        <v>100</v>
      </c>
      <c r="E304">
        <v>394</v>
      </c>
      <c r="K304" t="str" cm="1">
        <f t="array" aca="1" ref="K304" ca="1">INDIRECT(_xlfn.CONCAT("A",$Q304))</f>
        <v>connection_phase</v>
      </c>
      <c r="L304" t="str" cm="1">
        <f t="array" aca="1" ref="L304" ca="1">INDIRECT(_xlfn.CONCAT("B",$Q304))</f>
        <v>SPVA</v>
      </c>
      <c r="M304" cm="1">
        <f t="array" aca="1" ref="M304" ca="1">INDIRECT(_xlfn.CONCAT("C",$Q304))</f>
        <v>3</v>
      </c>
      <c r="N304" t="str" cm="1">
        <f t="array" aca="1" ref="N304" ca="1">INDIRECT(_xlfn.CONCAT("D",$Q304))</f>
        <v>search</v>
      </c>
      <c r="O304" cm="1">
        <f t="array" aca="1" ref="O304" ca="1">INDIRECT(_xlfn.CONCAT("E",$Q304))</f>
        <v>1788</v>
      </c>
      <c r="Q304">
        <v>262</v>
      </c>
    </row>
    <row r="305" spans="1:17">
      <c r="A305" t="s">
        <v>97</v>
      </c>
      <c r="B305" t="s">
        <v>9</v>
      </c>
      <c r="C305">
        <v>11</v>
      </c>
      <c r="D305" t="s">
        <v>101</v>
      </c>
      <c r="E305">
        <v>262</v>
      </c>
      <c r="K305" t="str" cm="1">
        <f t="array" aca="1" ref="K305" ca="1">INDIRECT(_xlfn.CONCAT("A",$Q305))</f>
        <v>connection_phase</v>
      </c>
      <c r="L305" t="str" cm="1">
        <f t="array" aca="1" ref="L305" ca="1">INDIRECT(_xlfn.CONCAT("B",$Q305))</f>
        <v>SPVA</v>
      </c>
      <c r="M305" cm="1">
        <f t="array" aca="1" ref="M305" ca="1">INDIRECT(_xlfn.CONCAT("C",$Q305))</f>
        <v>4</v>
      </c>
      <c r="N305" t="str" cm="1">
        <f t="array" aca="1" ref="N305" ca="1">INDIRECT(_xlfn.CONCAT("D",$Q305))</f>
        <v>search</v>
      </c>
      <c r="O305" cm="1">
        <f t="array" aca="1" ref="O305" ca="1">INDIRECT(_xlfn.CONCAT("E",$Q305))</f>
        <v>1072</v>
      </c>
      <c r="Q305">
        <v>267</v>
      </c>
    </row>
    <row r="306" spans="1:17">
      <c r="A306" t="s">
        <v>97</v>
      </c>
      <c r="B306" t="s">
        <v>9</v>
      </c>
      <c r="C306">
        <v>11</v>
      </c>
      <c r="D306" t="s">
        <v>102</v>
      </c>
      <c r="E306">
        <v>4709</v>
      </c>
      <c r="K306" t="str" cm="1">
        <f t="array" aca="1" ref="K306" ca="1">INDIRECT(_xlfn.CONCAT("A",$Q306))</f>
        <v>connection_phase</v>
      </c>
      <c r="L306" t="str" cm="1">
        <f t="array" aca="1" ref="L306" ca="1">INDIRECT(_xlfn.CONCAT("B",$Q306))</f>
        <v>SPVA</v>
      </c>
      <c r="M306" cm="1">
        <f t="array" aca="1" ref="M306" ca="1">INDIRECT(_xlfn.CONCAT("C",$Q306))</f>
        <v>5</v>
      </c>
      <c r="N306" t="str" cm="1">
        <f t="array" aca="1" ref="N306" ca="1">INDIRECT(_xlfn.CONCAT("D",$Q306))</f>
        <v>search</v>
      </c>
      <c r="O306" cm="1">
        <f t="array" aca="1" ref="O306" ca="1">INDIRECT(_xlfn.CONCAT("E",$Q306))</f>
        <v>971</v>
      </c>
      <c r="Q306">
        <v>272</v>
      </c>
    </row>
    <row r="307" spans="1:17">
      <c r="A307" t="s">
        <v>97</v>
      </c>
      <c r="B307" t="s">
        <v>9</v>
      </c>
      <c r="C307">
        <v>12</v>
      </c>
      <c r="D307" t="s">
        <v>98</v>
      </c>
      <c r="E307">
        <v>902</v>
      </c>
      <c r="K307" t="str" cm="1">
        <f t="array" aca="1" ref="K307" ca="1">INDIRECT(_xlfn.CONCAT("A",$Q307))</f>
        <v>connection_phase</v>
      </c>
      <c r="L307" t="str" cm="1">
        <f t="array" aca="1" ref="L307" ca="1">INDIRECT(_xlfn.CONCAT("B",$Q307))</f>
        <v>SPVA</v>
      </c>
      <c r="M307" cm="1">
        <f t="array" aca="1" ref="M307" ca="1">INDIRECT(_xlfn.CONCAT("C",$Q307))</f>
        <v>6</v>
      </c>
      <c r="N307" t="str" cm="1">
        <f t="array" aca="1" ref="N307" ca="1">INDIRECT(_xlfn.CONCAT("D",$Q307))</f>
        <v>search</v>
      </c>
      <c r="O307" cm="1">
        <f t="array" aca="1" ref="O307" ca="1">INDIRECT(_xlfn.CONCAT("E",$Q307))</f>
        <v>1587</v>
      </c>
      <c r="Q307">
        <v>277</v>
      </c>
    </row>
    <row r="308" spans="1:17">
      <c r="A308" t="s">
        <v>97</v>
      </c>
      <c r="B308" t="s">
        <v>9</v>
      </c>
      <c r="C308">
        <v>12</v>
      </c>
      <c r="D308" t="s">
        <v>99</v>
      </c>
      <c r="E308">
        <v>3151</v>
      </c>
      <c r="K308" t="str" cm="1">
        <f t="array" aca="1" ref="K308" ca="1">INDIRECT(_xlfn.CONCAT("A",$Q308))</f>
        <v>connection_phase</v>
      </c>
      <c r="L308" t="str" cm="1">
        <f t="array" aca="1" ref="L308" ca="1">INDIRECT(_xlfn.CONCAT("B",$Q308))</f>
        <v>SPVA</v>
      </c>
      <c r="M308" cm="1">
        <f t="array" aca="1" ref="M308" ca="1">INDIRECT(_xlfn.CONCAT("C",$Q308))</f>
        <v>7</v>
      </c>
      <c r="N308" t="str" cm="1">
        <f t="array" aca="1" ref="N308" ca="1">INDIRECT(_xlfn.CONCAT("D",$Q308))</f>
        <v>search</v>
      </c>
      <c r="O308" cm="1">
        <f t="array" aca="1" ref="O308" ca="1">INDIRECT(_xlfn.CONCAT("E",$Q308))</f>
        <v>1877</v>
      </c>
      <c r="Q308">
        <v>282</v>
      </c>
    </row>
    <row r="309" spans="1:17">
      <c r="A309" t="s">
        <v>97</v>
      </c>
      <c r="B309" t="s">
        <v>9</v>
      </c>
      <c r="C309">
        <v>12</v>
      </c>
      <c r="D309" t="s">
        <v>100</v>
      </c>
      <c r="E309">
        <v>534</v>
      </c>
      <c r="K309" t="str" cm="1">
        <f t="array" aca="1" ref="K309" ca="1">INDIRECT(_xlfn.CONCAT("A",$Q309))</f>
        <v>connection_phase</v>
      </c>
      <c r="L309" t="str" cm="1">
        <f t="array" aca="1" ref="L309" ca="1">INDIRECT(_xlfn.CONCAT("B",$Q309))</f>
        <v>SPVA</v>
      </c>
      <c r="M309" cm="1">
        <f t="array" aca="1" ref="M309" ca="1">INDIRECT(_xlfn.CONCAT("C",$Q309))</f>
        <v>8</v>
      </c>
      <c r="N309" t="str" cm="1">
        <f t="array" aca="1" ref="N309" ca="1">INDIRECT(_xlfn.CONCAT("D",$Q309))</f>
        <v>search</v>
      </c>
      <c r="O309" cm="1">
        <f t="array" aca="1" ref="O309" ca="1">INDIRECT(_xlfn.CONCAT("E",$Q309))</f>
        <v>1018</v>
      </c>
      <c r="Q309">
        <v>287</v>
      </c>
    </row>
    <row r="310" spans="1:17">
      <c r="A310" t="s">
        <v>97</v>
      </c>
      <c r="B310" t="s">
        <v>9</v>
      </c>
      <c r="C310">
        <v>12</v>
      </c>
      <c r="D310" t="s">
        <v>101</v>
      </c>
      <c r="E310">
        <v>301</v>
      </c>
      <c r="K310" t="str" cm="1">
        <f t="array" aca="1" ref="K310" ca="1">INDIRECT(_xlfn.CONCAT("A",$Q310))</f>
        <v>connection_phase</v>
      </c>
      <c r="L310" t="str" cm="1">
        <f t="array" aca="1" ref="L310" ca="1">INDIRECT(_xlfn.CONCAT("B",$Q310))</f>
        <v>SPVA</v>
      </c>
      <c r="M310" cm="1">
        <f t="array" aca="1" ref="M310" ca="1">INDIRECT(_xlfn.CONCAT("C",$Q310))</f>
        <v>9</v>
      </c>
      <c r="N310" t="str" cm="1">
        <f t="array" aca="1" ref="N310" ca="1">INDIRECT(_xlfn.CONCAT("D",$Q310))</f>
        <v>search</v>
      </c>
      <c r="O310" cm="1">
        <f t="array" aca="1" ref="O310" ca="1">INDIRECT(_xlfn.CONCAT("E",$Q310))</f>
        <v>1015</v>
      </c>
      <c r="Q310">
        <v>292</v>
      </c>
    </row>
    <row r="311" spans="1:17">
      <c r="A311" t="s">
        <v>97</v>
      </c>
      <c r="B311" t="s">
        <v>9</v>
      </c>
      <c r="C311">
        <v>12</v>
      </c>
      <c r="D311" t="s">
        <v>102</v>
      </c>
      <c r="E311">
        <v>4888</v>
      </c>
      <c r="K311" t="str" cm="1">
        <f t="array" aca="1" ref="K311" ca="1">INDIRECT(_xlfn.CONCAT("A",$Q311))</f>
        <v>connection_phase</v>
      </c>
      <c r="L311" t="str" cm="1">
        <f t="array" aca="1" ref="L311" ca="1">INDIRECT(_xlfn.CONCAT("B",$Q311))</f>
        <v>SPVA</v>
      </c>
      <c r="M311" cm="1">
        <f t="array" aca="1" ref="M311" ca="1">INDIRECT(_xlfn.CONCAT("C",$Q311))</f>
        <v>10</v>
      </c>
      <c r="N311" t="str" cm="1">
        <f t="array" aca="1" ref="N311" ca="1">INDIRECT(_xlfn.CONCAT("D",$Q311))</f>
        <v>search</v>
      </c>
      <c r="O311" cm="1">
        <f t="array" aca="1" ref="O311" ca="1">INDIRECT(_xlfn.CONCAT("E",$Q311))</f>
        <v>2342</v>
      </c>
      <c r="Q311">
        <v>297</v>
      </c>
    </row>
    <row r="312" spans="1:17">
      <c r="A312" t="s">
        <v>97</v>
      </c>
      <c r="B312" t="s">
        <v>9</v>
      </c>
      <c r="C312">
        <v>13</v>
      </c>
      <c r="D312" t="s">
        <v>98</v>
      </c>
      <c r="E312">
        <v>1917</v>
      </c>
      <c r="K312" t="str" cm="1">
        <f t="array" aca="1" ref="K312" ca="1">INDIRECT(_xlfn.CONCAT("A",$Q312))</f>
        <v>connection_phase</v>
      </c>
      <c r="L312" t="str" cm="1">
        <f t="array" aca="1" ref="L312" ca="1">INDIRECT(_xlfn.CONCAT("B",$Q312))</f>
        <v>SPVA</v>
      </c>
      <c r="M312" cm="1">
        <f t="array" aca="1" ref="M312" ca="1">INDIRECT(_xlfn.CONCAT("C",$Q312))</f>
        <v>11</v>
      </c>
      <c r="N312" t="str" cm="1">
        <f t="array" aca="1" ref="N312" ca="1">INDIRECT(_xlfn.CONCAT("D",$Q312))</f>
        <v>search</v>
      </c>
      <c r="O312" cm="1">
        <f t="array" aca="1" ref="O312" ca="1">INDIRECT(_xlfn.CONCAT("E",$Q312))</f>
        <v>1012</v>
      </c>
      <c r="Q312">
        <v>302</v>
      </c>
    </row>
    <row r="313" spans="1:17">
      <c r="A313" t="s">
        <v>97</v>
      </c>
      <c r="B313" t="s">
        <v>9</v>
      </c>
      <c r="C313">
        <v>13</v>
      </c>
      <c r="D313" t="s">
        <v>99</v>
      </c>
      <c r="E313">
        <v>13835</v>
      </c>
      <c r="K313" t="str" cm="1">
        <f t="array" aca="1" ref="K313" ca="1">INDIRECT(_xlfn.CONCAT("A",$Q313))</f>
        <v>connection_phase</v>
      </c>
      <c r="L313" t="str" cm="1">
        <f t="array" aca="1" ref="L313" ca="1">INDIRECT(_xlfn.CONCAT("B",$Q313))</f>
        <v>SPVA</v>
      </c>
      <c r="M313" cm="1">
        <f t="array" aca="1" ref="M313" ca="1">INDIRECT(_xlfn.CONCAT("C",$Q313))</f>
        <v>12</v>
      </c>
      <c r="N313" t="str" cm="1">
        <f t="array" aca="1" ref="N313" ca="1">INDIRECT(_xlfn.CONCAT("D",$Q313))</f>
        <v>search</v>
      </c>
      <c r="O313" cm="1">
        <f t="array" aca="1" ref="O313" ca="1">INDIRECT(_xlfn.CONCAT("E",$Q313))</f>
        <v>902</v>
      </c>
      <c r="Q313">
        <v>307</v>
      </c>
    </row>
    <row r="314" spans="1:17">
      <c r="A314" t="s">
        <v>97</v>
      </c>
      <c r="B314" t="s">
        <v>9</v>
      </c>
      <c r="C314">
        <v>13</v>
      </c>
      <c r="D314" t="s">
        <v>100</v>
      </c>
      <c r="E314">
        <v>413</v>
      </c>
      <c r="K314" t="str" cm="1">
        <f t="array" aca="1" ref="K314" ca="1">INDIRECT(_xlfn.CONCAT("A",$Q314))</f>
        <v>connection_phase</v>
      </c>
      <c r="L314" t="str" cm="1">
        <f t="array" aca="1" ref="L314" ca="1">INDIRECT(_xlfn.CONCAT("B",$Q314))</f>
        <v>SPVA</v>
      </c>
      <c r="M314" cm="1">
        <f t="array" aca="1" ref="M314" ca="1">INDIRECT(_xlfn.CONCAT("C",$Q314))</f>
        <v>13</v>
      </c>
      <c r="N314" t="str" cm="1">
        <f t="array" aca="1" ref="N314" ca="1">INDIRECT(_xlfn.CONCAT("D",$Q314))</f>
        <v>search</v>
      </c>
      <c r="O314" cm="1">
        <f t="array" aca="1" ref="O314" ca="1">INDIRECT(_xlfn.CONCAT("E",$Q314))</f>
        <v>1917</v>
      </c>
      <c r="Q314">
        <v>312</v>
      </c>
    </row>
    <row r="315" spans="1:17">
      <c r="A315" t="s">
        <v>97</v>
      </c>
      <c r="B315" t="s">
        <v>9</v>
      </c>
      <c r="C315">
        <v>13</v>
      </c>
      <c r="D315" t="s">
        <v>101</v>
      </c>
      <c r="E315">
        <v>367</v>
      </c>
      <c r="K315" t="str" cm="1">
        <f t="array" aca="1" ref="K315" ca="1">INDIRECT(_xlfn.CONCAT("A",$Q315))</f>
        <v>connection_phase</v>
      </c>
      <c r="L315" t="str" cm="1">
        <f t="array" aca="1" ref="L315" ca="1">INDIRECT(_xlfn.CONCAT("B",$Q315))</f>
        <v>SPVA</v>
      </c>
      <c r="M315" cm="1">
        <f t="array" aca="1" ref="M315" ca="1">INDIRECT(_xlfn.CONCAT("C",$Q315))</f>
        <v>14</v>
      </c>
      <c r="N315" t="str" cm="1">
        <f t="array" aca="1" ref="N315" ca="1">INDIRECT(_xlfn.CONCAT("D",$Q315))</f>
        <v>search</v>
      </c>
      <c r="O315" cm="1">
        <f t="array" aca="1" ref="O315" ca="1">INDIRECT(_xlfn.CONCAT("E",$Q315))</f>
        <v>1030</v>
      </c>
      <c r="Q315">
        <v>317</v>
      </c>
    </row>
    <row r="316" spans="1:17">
      <c r="A316" t="s">
        <v>97</v>
      </c>
      <c r="B316" t="s">
        <v>9</v>
      </c>
      <c r="C316">
        <v>13</v>
      </c>
      <c r="D316" t="s">
        <v>102</v>
      </c>
      <c r="E316">
        <v>16532</v>
      </c>
      <c r="K316" t="str" cm="1">
        <f t="array" aca="1" ref="K316" ca="1">INDIRECT(_xlfn.CONCAT("A",$Q316))</f>
        <v>connection_phase</v>
      </c>
      <c r="L316" t="str" cm="1">
        <f t="array" aca="1" ref="L316" ca="1">INDIRECT(_xlfn.CONCAT("B",$Q316))</f>
        <v>SPVA</v>
      </c>
      <c r="M316" cm="1">
        <f t="array" aca="1" ref="M316" ca="1">INDIRECT(_xlfn.CONCAT("C",$Q316))</f>
        <v>15</v>
      </c>
      <c r="N316" t="str" cm="1">
        <f t="array" aca="1" ref="N316" ca="1">INDIRECT(_xlfn.CONCAT("D",$Q316))</f>
        <v>search</v>
      </c>
      <c r="O316" cm="1">
        <f t="array" aca="1" ref="O316" ca="1">INDIRECT(_xlfn.CONCAT("E",$Q316))</f>
        <v>1009</v>
      </c>
      <c r="Q316">
        <v>322</v>
      </c>
    </row>
    <row r="317" spans="1:17">
      <c r="A317" t="s">
        <v>97</v>
      </c>
      <c r="B317" t="s">
        <v>9</v>
      </c>
      <c r="C317">
        <v>14</v>
      </c>
      <c r="D317" t="s">
        <v>98</v>
      </c>
      <c r="E317">
        <v>1030</v>
      </c>
      <c r="K317" t="str" cm="1">
        <f t="array" aca="1" ref="K317" ca="1">INDIRECT(_xlfn.CONCAT("A",$Q317))</f>
        <v>connection_phase</v>
      </c>
      <c r="L317" t="str" cm="1">
        <f t="array" aca="1" ref="L317" ca="1">INDIRECT(_xlfn.CONCAT("B",$Q317))</f>
        <v>SPVA</v>
      </c>
      <c r="M317" cm="1">
        <f t="array" aca="1" ref="M317" ca="1">INDIRECT(_xlfn.CONCAT("C",$Q317))</f>
        <v>16</v>
      </c>
      <c r="N317" t="str" cm="1">
        <f t="array" aca="1" ref="N317" ca="1">INDIRECT(_xlfn.CONCAT("D",$Q317))</f>
        <v>search</v>
      </c>
      <c r="O317" cm="1">
        <f t="array" aca="1" ref="O317" ca="1">INDIRECT(_xlfn.CONCAT("E",$Q317))</f>
        <v>1879</v>
      </c>
      <c r="Q317">
        <v>327</v>
      </c>
    </row>
    <row r="318" spans="1:17">
      <c r="A318" t="s">
        <v>97</v>
      </c>
      <c r="B318" t="s">
        <v>9</v>
      </c>
      <c r="C318">
        <v>14</v>
      </c>
      <c r="D318" t="s">
        <v>99</v>
      </c>
      <c r="E318">
        <v>3126</v>
      </c>
      <c r="K318" t="str" cm="1">
        <f t="array" aca="1" ref="K318" ca="1">INDIRECT(_xlfn.CONCAT("A",$Q318))</f>
        <v>connection_phase</v>
      </c>
      <c r="L318" t="str" cm="1">
        <f t="array" aca="1" ref="L318" ca="1">INDIRECT(_xlfn.CONCAT("B",$Q318))</f>
        <v>SPVA</v>
      </c>
      <c r="M318" cm="1">
        <f t="array" aca="1" ref="M318" ca="1">INDIRECT(_xlfn.CONCAT("C",$Q318))</f>
        <v>17</v>
      </c>
      <c r="N318" t="str" cm="1">
        <f t="array" aca="1" ref="N318" ca="1">INDIRECT(_xlfn.CONCAT("D",$Q318))</f>
        <v>search</v>
      </c>
      <c r="O318" cm="1">
        <f t="array" aca="1" ref="O318" ca="1">INDIRECT(_xlfn.CONCAT("E",$Q318))</f>
        <v>2207</v>
      </c>
      <c r="Q318">
        <v>332</v>
      </c>
    </row>
    <row r="319" spans="1:17">
      <c r="A319" t="s">
        <v>97</v>
      </c>
      <c r="B319" t="s">
        <v>9</v>
      </c>
      <c r="C319">
        <v>14</v>
      </c>
      <c r="D319" t="s">
        <v>100</v>
      </c>
      <c r="E319">
        <v>552</v>
      </c>
      <c r="K319" t="str" cm="1">
        <f t="array" aca="1" ref="K319" ca="1">INDIRECT(_xlfn.CONCAT("A",$Q319))</f>
        <v>connection_phase</v>
      </c>
      <c r="L319" t="str" cm="1">
        <f t="array" aca="1" ref="L319" ca="1">INDIRECT(_xlfn.CONCAT("B",$Q319))</f>
        <v>SPVA</v>
      </c>
      <c r="M319" cm="1">
        <f t="array" aca="1" ref="M319" ca="1">INDIRECT(_xlfn.CONCAT("C",$Q319))</f>
        <v>18</v>
      </c>
      <c r="N319" t="str" cm="1">
        <f t="array" aca="1" ref="N319" ca="1">INDIRECT(_xlfn.CONCAT("D",$Q319))</f>
        <v>search</v>
      </c>
      <c r="O319" cm="1">
        <f t="array" aca="1" ref="O319" ca="1">INDIRECT(_xlfn.CONCAT("E",$Q319))</f>
        <v>934</v>
      </c>
      <c r="Q319">
        <v>337</v>
      </c>
    </row>
    <row r="320" spans="1:17">
      <c r="A320" t="s">
        <v>97</v>
      </c>
      <c r="B320" t="s">
        <v>9</v>
      </c>
      <c r="C320">
        <v>14</v>
      </c>
      <c r="D320" t="s">
        <v>101</v>
      </c>
      <c r="E320">
        <v>267</v>
      </c>
      <c r="K320" t="str" cm="1">
        <f t="array" aca="1" ref="K320" ca="1">INDIRECT(_xlfn.CONCAT("A",$Q320))</f>
        <v>connection_phase</v>
      </c>
      <c r="L320" t="str" cm="1">
        <f t="array" aca="1" ref="L320" ca="1">INDIRECT(_xlfn.CONCAT("B",$Q320))</f>
        <v>SPVA</v>
      </c>
      <c r="M320" cm="1">
        <f t="array" aca="1" ref="M320" ca="1">INDIRECT(_xlfn.CONCAT("C",$Q320))</f>
        <v>19</v>
      </c>
      <c r="N320" t="str" cm="1">
        <f t="array" aca="1" ref="N320" ca="1">INDIRECT(_xlfn.CONCAT("D",$Q320))</f>
        <v>search</v>
      </c>
      <c r="O320" cm="1">
        <f t="array" aca="1" ref="O320" ca="1">INDIRECT(_xlfn.CONCAT("E",$Q320))</f>
        <v>981</v>
      </c>
      <c r="Q320">
        <v>342</v>
      </c>
    </row>
    <row r="321" spans="1:17">
      <c r="A321" t="s">
        <v>97</v>
      </c>
      <c r="B321" t="s">
        <v>9</v>
      </c>
      <c r="C321">
        <v>14</v>
      </c>
      <c r="D321" t="s">
        <v>102</v>
      </c>
      <c r="E321">
        <v>4975</v>
      </c>
      <c r="K321" t="str" cm="1">
        <f t="array" aca="1" ref="K321" ca="1">INDIRECT(_xlfn.CONCAT("A",$Q321))</f>
        <v>connection_phase</v>
      </c>
      <c r="L321" t="str" cm="1">
        <f t="array" aca="1" ref="L321" ca="1">INDIRECT(_xlfn.CONCAT("B",$Q321))</f>
        <v>SPVA</v>
      </c>
      <c r="M321" cm="1">
        <f t="array" aca="1" ref="M321" ca="1">INDIRECT(_xlfn.CONCAT("C",$Q321))</f>
        <v>20</v>
      </c>
      <c r="N321" t="str" cm="1">
        <f t="array" aca="1" ref="N321" ca="1">INDIRECT(_xlfn.CONCAT("D",$Q321))</f>
        <v>search</v>
      </c>
      <c r="O321" cm="1">
        <f t="array" aca="1" ref="O321" ca="1">INDIRECT(_xlfn.CONCAT("E",$Q321))</f>
        <v>952</v>
      </c>
      <c r="Q321">
        <v>347</v>
      </c>
    </row>
    <row r="322" spans="1:17">
      <c r="A322" t="s">
        <v>97</v>
      </c>
      <c r="B322" t="s">
        <v>9</v>
      </c>
      <c r="C322">
        <v>15</v>
      </c>
      <c r="D322" t="s">
        <v>98</v>
      </c>
      <c r="E322">
        <v>1009</v>
      </c>
      <c r="K322" t="str" cm="1">
        <f t="array" aca="1" ref="K322" ca="1">INDIRECT(_xlfn.CONCAT("A",$Q322))</f>
        <v>connection_phase</v>
      </c>
      <c r="L322" t="str" cm="1">
        <f t="array" aca="1" ref="L322" ca="1">INDIRECT(_xlfn.CONCAT("B",$Q322))</f>
        <v>SPVA</v>
      </c>
      <c r="M322" cm="1">
        <f t="array" aca="1" ref="M322" ca="1">INDIRECT(_xlfn.CONCAT("C",$Q322))</f>
        <v>21</v>
      </c>
      <c r="N322" t="str" cm="1">
        <f t="array" aca="1" ref="N322" ca="1">INDIRECT(_xlfn.CONCAT("D",$Q322))</f>
        <v>search</v>
      </c>
      <c r="O322" cm="1">
        <f t="array" aca="1" ref="O322" ca="1">INDIRECT(_xlfn.CONCAT("E",$Q322))</f>
        <v>4151</v>
      </c>
      <c r="Q322">
        <v>352</v>
      </c>
    </row>
    <row r="323" spans="1:17">
      <c r="A323" t="s">
        <v>97</v>
      </c>
      <c r="B323" t="s">
        <v>9</v>
      </c>
      <c r="C323">
        <v>15</v>
      </c>
      <c r="D323" t="s">
        <v>99</v>
      </c>
      <c r="E323">
        <v>3639</v>
      </c>
      <c r="K323" t="str" cm="1">
        <f t="array" aca="1" ref="K323" ca="1">INDIRECT(_xlfn.CONCAT("A",$Q323))</f>
        <v>connection_phase</v>
      </c>
      <c r="L323" t="str" cm="1">
        <f t="array" aca="1" ref="L323" ca="1">INDIRECT(_xlfn.CONCAT("B",$Q323))</f>
        <v>SPVA</v>
      </c>
      <c r="M323" cm="1">
        <f t="array" aca="1" ref="M323" ca="1">INDIRECT(_xlfn.CONCAT("C",$Q323))</f>
        <v>22</v>
      </c>
      <c r="N323" t="str" cm="1">
        <f t="array" aca="1" ref="N323" ca="1">INDIRECT(_xlfn.CONCAT("D",$Q323))</f>
        <v>search</v>
      </c>
      <c r="O323" cm="1">
        <f t="array" aca="1" ref="O323" ca="1">INDIRECT(_xlfn.CONCAT("E",$Q323))</f>
        <v>7240</v>
      </c>
      <c r="Q323">
        <v>357</v>
      </c>
    </row>
    <row r="324" spans="1:17">
      <c r="A324" t="s">
        <v>97</v>
      </c>
      <c r="B324" t="s">
        <v>9</v>
      </c>
      <c r="C324">
        <v>15</v>
      </c>
      <c r="D324" t="s">
        <v>100</v>
      </c>
      <c r="E324">
        <v>950</v>
      </c>
      <c r="K324" t="str" cm="1">
        <f t="array" aca="1" ref="K324" ca="1">INDIRECT(_xlfn.CONCAT("A",$Q324))</f>
        <v>connection_phase</v>
      </c>
      <c r="L324" t="str" cm="1">
        <f t="array" aca="1" ref="L324" ca="1">INDIRECT(_xlfn.CONCAT("B",$Q324))</f>
        <v>SPVA</v>
      </c>
      <c r="M324" cm="1">
        <f t="array" aca="1" ref="M324" ca="1">INDIRECT(_xlfn.CONCAT("C",$Q324))</f>
        <v>23</v>
      </c>
      <c r="N324" t="str" cm="1">
        <f t="array" aca="1" ref="N324" ca="1">INDIRECT(_xlfn.CONCAT("D",$Q324))</f>
        <v>search</v>
      </c>
      <c r="O324" cm="1">
        <f t="array" aca="1" ref="O324" ca="1">INDIRECT(_xlfn.CONCAT("E",$Q324))</f>
        <v>949</v>
      </c>
      <c r="Q324">
        <v>362</v>
      </c>
    </row>
    <row r="325" spans="1:17">
      <c r="A325" t="s">
        <v>97</v>
      </c>
      <c r="B325" t="s">
        <v>9</v>
      </c>
      <c r="C325">
        <v>15</v>
      </c>
      <c r="D325" t="s">
        <v>101</v>
      </c>
      <c r="E325">
        <v>311</v>
      </c>
      <c r="K325" t="str" cm="1">
        <f t="array" aca="1" ref="K325" ca="1">INDIRECT(_xlfn.CONCAT("A",$Q325))</f>
        <v>connection_phase</v>
      </c>
      <c r="L325" t="str" cm="1">
        <f t="array" aca="1" ref="L325" ca="1">INDIRECT(_xlfn.CONCAT("B",$Q325))</f>
        <v>SPVA</v>
      </c>
      <c r="M325" cm="1">
        <f t="array" aca="1" ref="M325" ca="1">INDIRECT(_xlfn.CONCAT("C",$Q325))</f>
        <v>24</v>
      </c>
      <c r="N325" t="str" cm="1">
        <f t="array" aca="1" ref="N325" ca="1">INDIRECT(_xlfn.CONCAT("D",$Q325))</f>
        <v>search</v>
      </c>
      <c r="O325" cm="1">
        <f t="array" aca="1" ref="O325" ca="1">INDIRECT(_xlfn.CONCAT("E",$Q325))</f>
        <v>6609</v>
      </c>
      <c r="Q325">
        <v>367</v>
      </c>
    </row>
    <row r="326" spans="1:17">
      <c r="A326" t="s">
        <v>97</v>
      </c>
      <c r="B326" t="s">
        <v>9</v>
      </c>
      <c r="C326">
        <v>15</v>
      </c>
      <c r="D326" t="s">
        <v>102</v>
      </c>
      <c r="E326">
        <v>5909</v>
      </c>
      <c r="K326" t="str" cm="1">
        <f t="array" aca="1" ref="K326" ca="1">INDIRECT(_xlfn.CONCAT("A",$Q326))</f>
        <v>connection_phase</v>
      </c>
      <c r="L326" t="str" cm="1">
        <f t="array" aca="1" ref="L326" ca="1">INDIRECT(_xlfn.CONCAT("B",$Q326))</f>
        <v>SPVA</v>
      </c>
      <c r="M326" cm="1">
        <f t="array" aca="1" ref="M326" ca="1">INDIRECT(_xlfn.CONCAT("C",$Q326))</f>
        <v>25</v>
      </c>
      <c r="N326" t="str" cm="1">
        <f t="array" aca="1" ref="N326" ca="1">INDIRECT(_xlfn.CONCAT("D",$Q326))</f>
        <v>search</v>
      </c>
      <c r="O326" cm="1">
        <f t="array" aca="1" ref="O326" ca="1">INDIRECT(_xlfn.CONCAT("E",$Q326))</f>
        <v>1781</v>
      </c>
      <c r="Q326">
        <v>372</v>
      </c>
    </row>
    <row r="327" spans="1:17">
      <c r="A327" t="s">
        <v>97</v>
      </c>
      <c r="B327" t="s">
        <v>9</v>
      </c>
      <c r="C327">
        <v>16</v>
      </c>
      <c r="D327" t="s">
        <v>98</v>
      </c>
      <c r="E327">
        <v>1879</v>
      </c>
      <c r="K327" t="str" cm="1">
        <f t="array" aca="1" ref="K327" ca="1">INDIRECT(_xlfn.CONCAT("A",$Q327))</f>
        <v>connection_phase</v>
      </c>
      <c r="L327" t="str" cm="1">
        <f t="array" aca="1" ref="L327" ca="1">INDIRECT(_xlfn.CONCAT("B",$Q327))</f>
        <v>SPVA</v>
      </c>
      <c r="M327" cm="1">
        <f t="array" aca="1" ref="M327" ca="1">INDIRECT(_xlfn.CONCAT("C",$Q327))</f>
        <v>26</v>
      </c>
      <c r="N327" t="str" cm="1">
        <f t="array" aca="1" ref="N327" ca="1">INDIRECT(_xlfn.CONCAT("D",$Q327))</f>
        <v>search</v>
      </c>
      <c r="O327" cm="1">
        <f t="array" aca="1" ref="O327" ca="1">INDIRECT(_xlfn.CONCAT("E",$Q327))</f>
        <v>2250</v>
      </c>
      <c r="Q327">
        <v>377</v>
      </c>
    </row>
    <row r="328" spans="1:17">
      <c r="A328" t="s">
        <v>97</v>
      </c>
      <c r="B328" t="s">
        <v>9</v>
      </c>
      <c r="C328">
        <v>16</v>
      </c>
      <c r="D328" t="s">
        <v>99</v>
      </c>
      <c r="E328">
        <v>3334</v>
      </c>
      <c r="K328" t="str" cm="1">
        <f t="array" aca="1" ref="K328" ca="1">INDIRECT(_xlfn.CONCAT("A",$Q328))</f>
        <v>connection_phase</v>
      </c>
      <c r="L328" t="str" cm="1">
        <f t="array" aca="1" ref="L328" ca="1">INDIRECT(_xlfn.CONCAT("B",$Q328))</f>
        <v>SPVA</v>
      </c>
      <c r="M328" cm="1">
        <f t="array" aca="1" ref="M328" ca="1">INDIRECT(_xlfn.CONCAT("C",$Q328))</f>
        <v>27</v>
      </c>
      <c r="N328" t="str" cm="1">
        <f t="array" aca="1" ref="N328" ca="1">INDIRECT(_xlfn.CONCAT("D",$Q328))</f>
        <v>search</v>
      </c>
      <c r="O328" cm="1">
        <f t="array" aca="1" ref="O328" ca="1">INDIRECT(_xlfn.CONCAT("E",$Q328))</f>
        <v>903</v>
      </c>
      <c r="Q328">
        <v>382</v>
      </c>
    </row>
    <row r="329" spans="1:17">
      <c r="A329" t="s">
        <v>97</v>
      </c>
      <c r="B329" t="s">
        <v>9</v>
      </c>
      <c r="C329">
        <v>16</v>
      </c>
      <c r="D329" t="s">
        <v>100</v>
      </c>
      <c r="E329">
        <v>508</v>
      </c>
      <c r="K329" t="str" cm="1">
        <f t="array" aca="1" ref="K329" ca="1">INDIRECT(_xlfn.CONCAT("A",$Q329))</f>
        <v>connection_phase</v>
      </c>
      <c r="L329" t="str" cm="1">
        <f t="array" aca="1" ref="L329" ca="1">INDIRECT(_xlfn.CONCAT("B",$Q329))</f>
        <v>SPVA</v>
      </c>
      <c r="M329" cm="1">
        <f t="array" aca="1" ref="M329" ca="1">INDIRECT(_xlfn.CONCAT("C",$Q329))</f>
        <v>28</v>
      </c>
      <c r="N329" t="str" cm="1">
        <f t="array" aca="1" ref="N329" ca="1">INDIRECT(_xlfn.CONCAT("D",$Q329))</f>
        <v>search</v>
      </c>
      <c r="O329" cm="1">
        <f t="array" aca="1" ref="O329" ca="1">INDIRECT(_xlfn.CONCAT("E",$Q329))</f>
        <v>4662</v>
      </c>
      <c r="Q329">
        <v>387</v>
      </c>
    </row>
    <row r="330" spans="1:17">
      <c r="A330" t="s">
        <v>97</v>
      </c>
      <c r="B330" t="s">
        <v>9</v>
      </c>
      <c r="C330">
        <v>16</v>
      </c>
      <c r="D330" t="s">
        <v>101</v>
      </c>
      <c r="E330">
        <v>348</v>
      </c>
      <c r="K330" t="str" cm="1">
        <f t="array" aca="1" ref="K330" ca="1">INDIRECT(_xlfn.CONCAT("A",$Q330))</f>
        <v>connection_phase</v>
      </c>
      <c r="L330" t="str" cm="1">
        <f t="array" aca="1" ref="L330" ca="1">INDIRECT(_xlfn.CONCAT("B",$Q330))</f>
        <v>SPVA</v>
      </c>
      <c r="M330" cm="1">
        <f t="array" aca="1" ref="M330" ca="1">INDIRECT(_xlfn.CONCAT("C",$Q330))</f>
        <v>29</v>
      </c>
      <c r="N330" t="str" cm="1">
        <f t="array" aca="1" ref="N330" ca="1">INDIRECT(_xlfn.CONCAT("D",$Q330))</f>
        <v>search</v>
      </c>
      <c r="O330" cm="1">
        <f t="array" aca="1" ref="O330" ca="1">INDIRECT(_xlfn.CONCAT("E",$Q330))</f>
        <v>1650</v>
      </c>
      <c r="Q330">
        <v>392</v>
      </c>
    </row>
    <row r="331" spans="1:17">
      <c r="A331" t="s">
        <v>97</v>
      </c>
      <c r="B331" t="s">
        <v>9</v>
      </c>
      <c r="C331">
        <v>16</v>
      </c>
      <c r="D331" t="s">
        <v>102</v>
      </c>
      <c r="E331">
        <v>6069</v>
      </c>
      <c r="K331" t="str" cm="1">
        <f t="array" aca="1" ref="K331" ca="1">INDIRECT(_xlfn.CONCAT("A",$Q331))</f>
        <v>connection_phase</v>
      </c>
      <c r="L331" t="str" cm="1">
        <f t="array" aca="1" ref="L331" ca="1">INDIRECT(_xlfn.CONCAT("B",$Q331))</f>
        <v>SPVA</v>
      </c>
      <c r="M331" cm="1">
        <f t="array" aca="1" ref="M331" ca="1">INDIRECT(_xlfn.CONCAT("C",$Q331))</f>
        <v>30</v>
      </c>
      <c r="N331" t="str" cm="1">
        <f t="array" aca="1" ref="N331" ca="1">INDIRECT(_xlfn.CONCAT("D",$Q331))</f>
        <v>search</v>
      </c>
      <c r="O331" cm="1">
        <f t="array" aca="1" ref="O331" ca="1">INDIRECT(_xlfn.CONCAT("E",$Q331))</f>
        <v>1880</v>
      </c>
      <c r="Q331">
        <v>397</v>
      </c>
    </row>
    <row r="332" spans="1:17">
      <c r="A332" t="s">
        <v>97</v>
      </c>
      <c r="B332" t="s">
        <v>9</v>
      </c>
      <c r="C332">
        <v>17</v>
      </c>
      <c r="D332" t="s">
        <v>98</v>
      </c>
      <c r="E332">
        <v>2207</v>
      </c>
      <c r="K332" t="str" cm="1">
        <f t="array" aca="1" ref="K332" ca="1">INDIRECT(_xlfn.CONCAT("A",$Q332))</f>
        <v>connection_phase</v>
      </c>
      <c r="L332" t="str" cm="1">
        <f t="array" aca="1" ref="L332" ca="1">INDIRECT(_xlfn.CONCAT("B",$Q332))</f>
        <v>SPVA</v>
      </c>
      <c r="M332" cm="1">
        <f t="array" aca="1" ref="M332" ca="1">INDIRECT(_xlfn.CONCAT("C",$Q332))</f>
        <v>31</v>
      </c>
      <c r="N332" t="str" cm="1">
        <f t="array" aca="1" ref="N332" ca="1">INDIRECT(_xlfn.CONCAT("D",$Q332))</f>
        <v>search</v>
      </c>
      <c r="O332" cm="1">
        <f t="array" aca="1" ref="O332" ca="1">INDIRECT(_xlfn.CONCAT("E",$Q332))</f>
        <v>1094</v>
      </c>
      <c r="Q332">
        <v>402</v>
      </c>
    </row>
    <row r="333" spans="1:17">
      <c r="A333" t="s">
        <v>97</v>
      </c>
      <c r="B333" t="s">
        <v>9</v>
      </c>
      <c r="C333">
        <v>17</v>
      </c>
      <c r="D333" t="s">
        <v>99</v>
      </c>
      <c r="E333">
        <v>6348</v>
      </c>
      <c r="K333" t="str" cm="1">
        <f t="array" aca="1" ref="K333" ca="1">INDIRECT(_xlfn.CONCAT("A",$Q333))</f>
        <v>connection_phase</v>
      </c>
      <c r="L333" t="str" cm="1">
        <f t="array" aca="1" ref="L333" ca="1">INDIRECT(_xlfn.CONCAT("B",$Q333))</f>
        <v>SPVA</v>
      </c>
      <c r="M333" cm="1">
        <f t="array" aca="1" ref="M333" ca="1">INDIRECT(_xlfn.CONCAT("C",$Q333))</f>
        <v>32</v>
      </c>
      <c r="N333" t="str" cm="1">
        <f t="array" aca="1" ref="N333" ca="1">INDIRECT(_xlfn.CONCAT("D",$Q333))</f>
        <v>search</v>
      </c>
      <c r="O333" cm="1">
        <f t="array" aca="1" ref="O333" ca="1">INDIRECT(_xlfn.CONCAT("E",$Q333))</f>
        <v>1903</v>
      </c>
      <c r="Q333">
        <v>407</v>
      </c>
    </row>
    <row r="334" spans="1:17">
      <c r="A334" t="s">
        <v>97</v>
      </c>
      <c r="B334" t="s">
        <v>9</v>
      </c>
      <c r="C334">
        <v>17</v>
      </c>
      <c r="D334" t="s">
        <v>100</v>
      </c>
      <c r="E334">
        <v>853</v>
      </c>
      <c r="K334" t="str" cm="1">
        <f t="array" aca="1" ref="K334" ca="1">INDIRECT(_xlfn.CONCAT("A",$Q334))</f>
        <v>connection_phase</v>
      </c>
      <c r="L334" t="str" cm="1">
        <f t="array" aca="1" ref="L334" ca="1">INDIRECT(_xlfn.CONCAT("B",$Q334))</f>
        <v>SPVA</v>
      </c>
      <c r="M334" cm="1">
        <f t="array" aca="1" ref="M334" ca="1">INDIRECT(_xlfn.CONCAT("C",$Q334))</f>
        <v>33</v>
      </c>
      <c r="N334" t="str" cm="1">
        <f t="array" aca="1" ref="N334" ca="1">INDIRECT(_xlfn.CONCAT("D",$Q334))</f>
        <v>search</v>
      </c>
      <c r="O334" cm="1">
        <f t="array" aca="1" ref="O334" ca="1">INDIRECT(_xlfn.CONCAT("E",$Q334))</f>
        <v>2159</v>
      </c>
      <c r="Q334">
        <v>412</v>
      </c>
    </row>
    <row r="335" spans="1:17">
      <c r="A335" t="s">
        <v>97</v>
      </c>
      <c r="B335" t="s">
        <v>9</v>
      </c>
      <c r="C335">
        <v>17</v>
      </c>
      <c r="D335" t="s">
        <v>101</v>
      </c>
      <c r="E335">
        <v>391</v>
      </c>
      <c r="K335" t="str" cm="1">
        <f t="array" aca="1" ref="K335" ca="1">INDIRECT(_xlfn.CONCAT("A",$Q335))</f>
        <v>connection_phase</v>
      </c>
      <c r="L335" t="str" cm="1">
        <f t="array" aca="1" ref="L335" ca="1">INDIRECT(_xlfn.CONCAT("B",$Q335))</f>
        <v>SPVA</v>
      </c>
      <c r="M335" cm="1">
        <f t="array" aca="1" ref="M335" ca="1">INDIRECT(_xlfn.CONCAT("C",$Q335))</f>
        <v>34</v>
      </c>
      <c r="N335" t="str" cm="1">
        <f t="array" aca="1" ref="N335" ca="1">INDIRECT(_xlfn.CONCAT("D",$Q335))</f>
        <v>search</v>
      </c>
      <c r="O335" cm="1">
        <f t="array" aca="1" ref="O335" ca="1">INDIRECT(_xlfn.CONCAT("E",$Q335))</f>
        <v>3031</v>
      </c>
      <c r="Q335">
        <v>417</v>
      </c>
    </row>
    <row r="336" spans="1:17">
      <c r="A336" t="s">
        <v>97</v>
      </c>
      <c r="B336" t="s">
        <v>9</v>
      </c>
      <c r="C336">
        <v>17</v>
      </c>
      <c r="D336" t="s">
        <v>102</v>
      </c>
      <c r="E336">
        <v>9799</v>
      </c>
      <c r="K336" t="str" cm="1">
        <f t="array" aca="1" ref="K336" ca="1">INDIRECT(_xlfn.CONCAT("A",$Q336))</f>
        <v>connection_phase</v>
      </c>
      <c r="L336" t="str" cm="1">
        <f t="array" aca="1" ref="L336" ca="1">INDIRECT(_xlfn.CONCAT("B",$Q336))</f>
        <v>SPVA</v>
      </c>
      <c r="M336" cm="1">
        <f t="array" aca="1" ref="M336" ca="1">INDIRECT(_xlfn.CONCAT("C",$Q336))</f>
        <v>35</v>
      </c>
      <c r="N336" t="str" cm="1">
        <f t="array" aca="1" ref="N336" ca="1">INDIRECT(_xlfn.CONCAT("D",$Q336))</f>
        <v>search</v>
      </c>
      <c r="O336" cm="1">
        <f t="array" aca="1" ref="O336" ca="1">INDIRECT(_xlfn.CONCAT("E",$Q336))</f>
        <v>1702</v>
      </c>
      <c r="Q336">
        <v>422</v>
      </c>
    </row>
    <row r="337" spans="1:17">
      <c r="A337" t="s">
        <v>97</v>
      </c>
      <c r="B337" t="s">
        <v>9</v>
      </c>
      <c r="C337">
        <v>18</v>
      </c>
      <c r="D337" t="s">
        <v>98</v>
      </c>
      <c r="E337">
        <v>934</v>
      </c>
      <c r="K337" t="str" cm="1">
        <f t="array" aca="1" ref="K337" ca="1">INDIRECT(_xlfn.CONCAT("A",$Q337))</f>
        <v>connection_phase</v>
      </c>
      <c r="L337" t="str" cm="1">
        <f t="array" aca="1" ref="L337" ca="1">INDIRECT(_xlfn.CONCAT("B",$Q337))</f>
        <v>SPVA</v>
      </c>
      <c r="M337" cm="1">
        <f t="array" aca="1" ref="M337" ca="1">INDIRECT(_xlfn.CONCAT("C",$Q337))</f>
        <v>36</v>
      </c>
      <c r="N337" t="str" cm="1">
        <f t="array" aca="1" ref="N337" ca="1">INDIRECT(_xlfn.CONCAT("D",$Q337))</f>
        <v>search</v>
      </c>
      <c r="O337" cm="1">
        <f t="array" aca="1" ref="O337" ca="1">INDIRECT(_xlfn.CONCAT("E",$Q337))</f>
        <v>973</v>
      </c>
      <c r="Q337">
        <v>427</v>
      </c>
    </row>
    <row r="338" spans="1:17">
      <c r="A338" t="s">
        <v>97</v>
      </c>
      <c r="B338" t="s">
        <v>9</v>
      </c>
      <c r="C338">
        <v>18</v>
      </c>
      <c r="D338" t="s">
        <v>99</v>
      </c>
      <c r="E338">
        <v>9413</v>
      </c>
      <c r="K338" t="str" cm="1">
        <f t="array" aca="1" ref="K338" ca="1">INDIRECT(_xlfn.CONCAT("A",$Q338))</f>
        <v>connection_phase</v>
      </c>
      <c r="L338" t="str" cm="1">
        <f t="array" aca="1" ref="L338" ca="1">INDIRECT(_xlfn.CONCAT("B",$Q338))</f>
        <v>SPVA</v>
      </c>
      <c r="M338" cm="1">
        <f t="array" aca="1" ref="M338" ca="1">INDIRECT(_xlfn.CONCAT("C",$Q338))</f>
        <v>37</v>
      </c>
      <c r="N338" t="str" cm="1">
        <f t="array" aca="1" ref="N338" ca="1">INDIRECT(_xlfn.CONCAT("D",$Q338))</f>
        <v>search</v>
      </c>
      <c r="O338" cm="1">
        <f t="array" aca="1" ref="O338" ca="1">INDIRECT(_xlfn.CONCAT("E",$Q338))</f>
        <v>3658</v>
      </c>
      <c r="Q338">
        <v>432</v>
      </c>
    </row>
    <row r="339" spans="1:17">
      <c r="A339" t="s">
        <v>97</v>
      </c>
      <c r="B339" t="s">
        <v>9</v>
      </c>
      <c r="C339">
        <v>18</v>
      </c>
      <c r="D339" t="s">
        <v>100</v>
      </c>
      <c r="E339">
        <v>368</v>
      </c>
      <c r="K339" t="str" cm="1">
        <f t="array" aca="1" ref="K339" ca="1">INDIRECT(_xlfn.CONCAT("A",$Q339))</f>
        <v>connection_phase</v>
      </c>
      <c r="L339" t="str" cm="1">
        <f t="array" aca="1" ref="L339" ca="1">INDIRECT(_xlfn.CONCAT("B",$Q339))</f>
        <v>SPVA</v>
      </c>
      <c r="M339" cm="1">
        <f t="array" aca="1" ref="M339" ca="1">INDIRECT(_xlfn.CONCAT("C",$Q339))</f>
        <v>38</v>
      </c>
      <c r="N339" t="str" cm="1">
        <f t="array" aca="1" ref="N339" ca="1">INDIRECT(_xlfn.CONCAT("D",$Q339))</f>
        <v>search</v>
      </c>
      <c r="O339" cm="1">
        <f t="array" aca="1" ref="O339" ca="1">INDIRECT(_xlfn.CONCAT("E",$Q339))</f>
        <v>3667</v>
      </c>
      <c r="Q339">
        <v>437</v>
      </c>
    </row>
    <row r="340" spans="1:17">
      <c r="A340" t="s">
        <v>97</v>
      </c>
      <c r="B340" t="s">
        <v>9</v>
      </c>
      <c r="C340">
        <v>18</v>
      </c>
      <c r="D340" t="s">
        <v>101</v>
      </c>
      <c r="E340">
        <v>303</v>
      </c>
      <c r="K340" t="str" cm="1">
        <f t="array" aca="1" ref="K340" ca="1">INDIRECT(_xlfn.CONCAT("A",$Q340))</f>
        <v>connection_phase</v>
      </c>
      <c r="L340" t="str" cm="1">
        <f t="array" aca="1" ref="L340" ca="1">INDIRECT(_xlfn.CONCAT("B",$Q340))</f>
        <v>SPVA</v>
      </c>
      <c r="M340" cm="1">
        <f t="array" aca="1" ref="M340" ca="1">INDIRECT(_xlfn.CONCAT("C",$Q340))</f>
        <v>39</v>
      </c>
      <c r="N340" t="str" cm="1">
        <f t="array" aca="1" ref="N340" ca="1">INDIRECT(_xlfn.CONCAT("D",$Q340))</f>
        <v>search</v>
      </c>
      <c r="O340" cm="1">
        <f t="array" aca="1" ref="O340" ca="1">INDIRECT(_xlfn.CONCAT("E",$Q340))</f>
        <v>1038</v>
      </c>
      <c r="Q340">
        <v>442</v>
      </c>
    </row>
    <row r="341" spans="1:17">
      <c r="A341" t="s">
        <v>97</v>
      </c>
      <c r="B341" t="s">
        <v>9</v>
      </c>
      <c r="C341">
        <v>18</v>
      </c>
      <c r="D341" t="s">
        <v>102</v>
      </c>
      <c r="E341">
        <v>11018</v>
      </c>
      <c r="K341" t="str" cm="1">
        <f t="array" aca="1" ref="K341" ca="1">INDIRECT(_xlfn.CONCAT("A",$Q341))</f>
        <v>connection_phase</v>
      </c>
      <c r="L341" t="str" cm="1">
        <f t="array" aca="1" ref="L341" ca="1">INDIRECT(_xlfn.CONCAT("B",$Q341))</f>
        <v>SPVA</v>
      </c>
      <c r="M341" cm="1">
        <f t="array" aca="1" ref="M341" ca="1">INDIRECT(_xlfn.CONCAT("C",$Q341))</f>
        <v>40</v>
      </c>
      <c r="N341" t="str" cm="1">
        <f t="array" aca="1" ref="N341" ca="1">INDIRECT(_xlfn.CONCAT("D",$Q341))</f>
        <v>search</v>
      </c>
      <c r="O341" cm="1">
        <f t="array" aca="1" ref="O341" ca="1">INDIRECT(_xlfn.CONCAT("E",$Q341))</f>
        <v>1718</v>
      </c>
      <c r="Q341">
        <v>447</v>
      </c>
    </row>
    <row r="342" spans="1:17">
      <c r="A342" t="s">
        <v>97</v>
      </c>
      <c r="B342" t="s">
        <v>9</v>
      </c>
      <c r="C342">
        <v>19</v>
      </c>
      <c r="D342" t="s">
        <v>98</v>
      </c>
      <c r="E342">
        <v>981</v>
      </c>
      <c r="K342" t="str" cm="1">
        <f t="array" aca="1" ref="K342" ca="1">INDIRECT(_xlfn.CONCAT("A",$Q342))</f>
        <v>connection_phase</v>
      </c>
      <c r="L342" t="str" cm="1">
        <f t="array" aca="1" ref="L342" ca="1">INDIRECT(_xlfn.CONCAT("B",$Q342))</f>
        <v>SPVA</v>
      </c>
      <c r="M342" cm="1">
        <f t="array" aca="1" ref="M342" ca="1">INDIRECT(_xlfn.CONCAT("C",$Q342))</f>
        <v>41</v>
      </c>
      <c r="N342" t="str" cm="1">
        <f t="array" aca="1" ref="N342" ca="1">INDIRECT(_xlfn.CONCAT("D",$Q342))</f>
        <v>search</v>
      </c>
      <c r="O342" cm="1">
        <f t="array" aca="1" ref="O342" ca="1">INDIRECT(_xlfn.CONCAT("E",$Q342))</f>
        <v>2878</v>
      </c>
      <c r="Q342">
        <v>452</v>
      </c>
    </row>
    <row r="343" spans="1:17">
      <c r="A343" t="s">
        <v>97</v>
      </c>
      <c r="B343" t="s">
        <v>9</v>
      </c>
      <c r="C343">
        <v>19</v>
      </c>
      <c r="D343" t="s">
        <v>99</v>
      </c>
      <c r="E343">
        <v>3109</v>
      </c>
      <c r="K343" t="str" cm="1">
        <f t="array" aca="1" ref="K343" ca="1">INDIRECT(_xlfn.CONCAT("A",$Q343))</f>
        <v>connection_phase</v>
      </c>
      <c r="L343" t="str" cm="1">
        <f t="array" aca="1" ref="L343" ca="1">INDIRECT(_xlfn.CONCAT("B",$Q343))</f>
        <v>SPVA</v>
      </c>
      <c r="M343" cm="1">
        <f t="array" aca="1" ref="M343" ca="1">INDIRECT(_xlfn.CONCAT("C",$Q343))</f>
        <v>42</v>
      </c>
      <c r="N343" t="str" cm="1">
        <f t="array" aca="1" ref="N343" ca="1">INDIRECT(_xlfn.CONCAT("D",$Q343))</f>
        <v>search</v>
      </c>
      <c r="O343" cm="1">
        <f t="array" aca="1" ref="O343" ca="1">INDIRECT(_xlfn.CONCAT("E",$Q343))</f>
        <v>1036</v>
      </c>
      <c r="Q343">
        <v>457</v>
      </c>
    </row>
    <row r="344" spans="1:17">
      <c r="A344" t="s">
        <v>97</v>
      </c>
      <c r="B344" t="s">
        <v>9</v>
      </c>
      <c r="C344">
        <v>19</v>
      </c>
      <c r="D344" t="s">
        <v>100</v>
      </c>
      <c r="E344">
        <v>437</v>
      </c>
      <c r="K344" t="str" cm="1">
        <f t="array" aca="1" ref="K344" ca="1">INDIRECT(_xlfn.CONCAT("A",$Q344))</f>
        <v>connection_phase</v>
      </c>
      <c r="L344" t="str" cm="1">
        <f t="array" aca="1" ref="L344" ca="1">INDIRECT(_xlfn.CONCAT("B",$Q344))</f>
        <v>SPVA</v>
      </c>
      <c r="M344" cm="1">
        <f t="array" aca="1" ref="M344" ca="1">INDIRECT(_xlfn.CONCAT("C",$Q344))</f>
        <v>43</v>
      </c>
      <c r="N344" t="str" cm="1">
        <f t="array" aca="1" ref="N344" ca="1">INDIRECT(_xlfn.CONCAT("D",$Q344))</f>
        <v>search</v>
      </c>
      <c r="O344" cm="1">
        <f t="array" aca="1" ref="O344" ca="1">INDIRECT(_xlfn.CONCAT("E",$Q344))</f>
        <v>963</v>
      </c>
      <c r="Q344">
        <v>462</v>
      </c>
    </row>
    <row r="345" spans="1:17">
      <c r="A345" t="s">
        <v>97</v>
      </c>
      <c r="B345" t="s">
        <v>9</v>
      </c>
      <c r="C345">
        <v>19</v>
      </c>
      <c r="D345" t="s">
        <v>101</v>
      </c>
      <c r="E345">
        <v>415</v>
      </c>
      <c r="K345" t="str" cm="1">
        <f t="array" aca="1" ref="K345" ca="1">INDIRECT(_xlfn.CONCAT("A",$Q345))</f>
        <v>connection_phase</v>
      </c>
      <c r="L345" t="str" cm="1">
        <f t="array" aca="1" ref="L345" ca="1">INDIRECT(_xlfn.CONCAT("B",$Q345))</f>
        <v>SPVA</v>
      </c>
      <c r="M345" cm="1">
        <f t="array" aca="1" ref="M345" ca="1">INDIRECT(_xlfn.CONCAT("C",$Q345))</f>
        <v>44</v>
      </c>
      <c r="N345" t="str" cm="1">
        <f t="array" aca="1" ref="N345" ca="1">INDIRECT(_xlfn.CONCAT("D",$Q345))</f>
        <v>search</v>
      </c>
      <c r="O345" cm="1">
        <f t="array" aca="1" ref="O345" ca="1">INDIRECT(_xlfn.CONCAT("E",$Q345))</f>
        <v>985</v>
      </c>
      <c r="Q345">
        <v>467</v>
      </c>
    </row>
    <row r="346" spans="1:17">
      <c r="A346" t="s">
        <v>97</v>
      </c>
      <c r="B346" t="s">
        <v>9</v>
      </c>
      <c r="C346">
        <v>19</v>
      </c>
      <c r="D346" t="s">
        <v>102</v>
      </c>
      <c r="E346">
        <v>4942</v>
      </c>
      <c r="K346" t="str" cm="1">
        <f t="array" aca="1" ref="K346" ca="1">INDIRECT(_xlfn.CONCAT("A",$Q346))</f>
        <v>connection_phase</v>
      </c>
      <c r="L346" t="str" cm="1">
        <f t="array" aca="1" ref="L346" ca="1">INDIRECT(_xlfn.CONCAT("B",$Q346))</f>
        <v>SPVA</v>
      </c>
      <c r="M346" cm="1">
        <f t="array" aca="1" ref="M346" ca="1">INDIRECT(_xlfn.CONCAT("C",$Q346))</f>
        <v>45</v>
      </c>
      <c r="N346" t="str" cm="1">
        <f t="array" aca="1" ref="N346" ca="1">INDIRECT(_xlfn.CONCAT("D",$Q346))</f>
        <v>search</v>
      </c>
      <c r="O346" cm="1">
        <f t="array" aca="1" ref="O346" ca="1">INDIRECT(_xlfn.CONCAT("E",$Q346))</f>
        <v>1124</v>
      </c>
      <c r="Q346">
        <v>472</v>
      </c>
    </row>
    <row r="347" spans="1:17">
      <c r="A347" t="s">
        <v>97</v>
      </c>
      <c r="B347" t="s">
        <v>9</v>
      </c>
      <c r="C347">
        <v>20</v>
      </c>
      <c r="D347" t="s">
        <v>98</v>
      </c>
      <c r="E347">
        <v>952</v>
      </c>
      <c r="K347" t="str" cm="1">
        <f t="array" aca="1" ref="K347" ca="1">INDIRECT(_xlfn.CONCAT("A",$Q347))</f>
        <v>connection_phase</v>
      </c>
      <c r="L347" t="str" cm="1">
        <f t="array" aca="1" ref="L347" ca="1">INDIRECT(_xlfn.CONCAT("B",$Q347))</f>
        <v>SPVA</v>
      </c>
      <c r="M347" cm="1">
        <f t="array" aca="1" ref="M347" ca="1">INDIRECT(_xlfn.CONCAT("C",$Q347))</f>
        <v>46</v>
      </c>
      <c r="N347" t="str" cm="1">
        <f t="array" aca="1" ref="N347" ca="1">INDIRECT(_xlfn.CONCAT("D",$Q347))</f>
        <v>search</v>
      </c>
      <c r="O347" cm="1">
        <f t="array" aca="1" ref="O347" ca="1">INDIRECT(_xlfn.CONCAT("E",$Q347))</f>
        <v>1987</v>
      </c>
      <c r="Q347">
        <v>477</v>
      </c>
    </row>
    <row r="348" spans="1:17">
      <c r="A348" t="s">
        <v>97</v>
      </c>
      <c r="B348" t="s">
        <v>9</v>
      </c>
      <c r="C348">
        <v>20</v>
      </c>
      <c r="D348" t="s">
        <v>99</v>
      </c>
      <c r="E348">
        <v>2933</v>
      </c>
      <c r="K348" t="str" cm="1">
        <f t="array" aca="1" ref="K348" ca="1">INDIRECT(_xlfn.CONCAT("A",$Q348))</f>
        <v>connection_phase</v>
      </c>
      <c r="L348" t="str" cm="1">
        <f t="array" aca="1" ref="L348" ca="1">INDIRECT(_xlfn.CONCAT("B",$Q348))</f>
        <v>SPVA</v>
      </c>
      <c r="M348" cm="1">
        <f t="array" aca="1" ref="M348" ca="1">INDIRECT(_xlfn.CONCAT("C",$Q348))</f>
        <v>47</v>
      </c>
      <c r="N348" t="str" cm="1">
        <f t="array" aca="1" ref="N348" ca="1">INDIRECT(_xlfn.CONCAT("D",$Q348))</f>
        <v>search</v>
      </c>
      <c r="O348" cm="1">
        <f t="array" aca="1" ref="O348" ca="1">INDIRECT(_xlfn.CONCAT("E",$Q348))</f>
        <v>2785</v>
      </c>
      <c r="Q348">
        <v>482</v>
      </c>
    </row>
    <row r="349" spans="1:17">
      <c r="A349" t="s">
        <v>97</v>
      </c>
      <c r="B349" t="s">
        <v>9</v>
      </c>
      <c r="C349">
        <v>20</v>
      </c>
      <c r="D349" t="s">
        <v>100</v>
      </c>
      <c r="E349">
        <v>502</v>
      </c>
      <c r="K349" t="str" cm="1">
        <f t="array" aca="1" ref="K349" ca="1">INDIRECT(_xlfn.CONCAT("A",$Q349))</f>
        <v>connection_phase</v>
      </c>
      <c r="L349" t="str" cm="1">
        <f t="array" aca="1" ref="L349" ca="1">INDIRECT(_xlfn.CONCAT("B",$Q349))</f>
        <v>SPVA</v>
      </c>
      <c r="M349" cm="1">
        <f t="array" aca="1" ref="M349" ca="1">INDIRECT(_xlfn.CONCAT("C",$Q349))</f>
        <v>48</v>
      </c>
      <c r="N349" t="str" cm="1">
        <f t="array" aca="1" ref="N349" ca="1">INDIRECT(_xlfn.CONCAT("D",$Q349))</f>
        <v>search</v>
      </c>
      <c r="O349" cm="1">
        <f t="array" aca="1" ref="O349" ca="1">INDIRECT(_xlfn.CONCAT("E",$Q349))</f>
        <v>935</v>
      </c>
      <c r="Q349">
        <v>487</v>
      </c>
    </row>
    <row r="350" spans="1:17">
      <c r="A350" t="s">
        <v>97</v>
      </c>
      <c r="B350" t="s">
        <v>9</v>
      </c>
      <c r="C350">
        <v>20</v>
      </c>
      <c r="D350" t="s">
        <v>101</v>
      </c>
      <c r="E350">
        <v>330</v>
      </c>
      <c r="K350" t="str" cm="1">
        <f t="array" aca="1" ref="K350" ca="1">INDIRECT(_xlfn.CONCAT("A",$Q350))</f>
        <v>connection_phase</v>
      </c>
      <c r="L350" t="str" cm="1">
        <f t="array" aca="1" ref="L350" ca="1">INDIRECT(_xlfn.CONCAT("B",$Q350))</f>
        <v>SPVA</v>
      </c>
      <c r="M350" cm="1">
        <f t="array" aca="1" ref="M350" ca="1">INDIRECT(_xlfn.CONCAT("C",$Q350))</f>
        <v>49</v>
      </c>
      <c r="N350" t="str" cm="1">
        <f t="array" aca="1" ref="N350" ca="1">INDIRECT(_xlfn.CONCAT("D",$Q350))</f>
        <v>search</v>
      </c>
      <c r="O350" cm="1">
        <f t="array" aca="1" ref="O350" ca="1">INDIRECT(_xlfn.CONCAT("E",$Q350))</f>
        <v>1149</v>
      </c>
      <c r="Q350">
        <v>492</v>
      </c>
    </row>
    <row r="351" spans="1:17">
      <c r="A351" t="s">
        <v>97</v>
      </c>
      <c r="B351" t="s">
        <v>9</v>
      </c>
      <c r="C351">
        <v>20</v>
      </c>
      <c r="D351" t="s">
        <v>102</v>
      </c>
      <c r="E351">
        <v>4717</v>
      </c>
      <c r="K351" t="str" cm="1">
        <f t="array" aca="1" ref="K351" ca="1">INDIRECT(_xlfn.CONCAT("A",$Q351))</f>
        <v>connection_phase</v>
      </c>
      <c r="L351" t="str" cm="1">
        <f t="array" aca="1" ref="L351" ca="1">INDIRECT(_xlfn.CONCAT("B",$Q351))</f>
        <v>SPVA</v>
      </c>
      <c r="M351" cm="1">
        <f t="array" aca="1" ref="M351" ca="1">INDIRECT(_xlfn.CONCAT("C",$Q351))</f>
        <v>50</v>
      </c>
      <c r="N351" t="str" cm="1">
        <f t="array" aca="1" ref="N351" ca="1">INDIRECT(_xlfn.CONCAT("D",$Q351))</f>
        <v>search</v>
      </c>
      <c r="O351" cm="1">
        <f t="array" aca="1" ref="O351" ca="1">INDIRECT(_xlfn.CONCAT("E",$Q351))</f>
        <v>1008</v>
      </c>
      <c r="Q351">
        <v>497</v>
      </c>
    </row>
    <row r="352" spans="1:17">
      <c r="A352" t="s">
        <v>97</v>
      </c>
      <c r="B352" t="s">
        <v>9</v>
      </c>
      <c r="C352">
        <v>21</v>
      </c>
      <c r="D352" t="s">
        <v>98</v>
      </c>
      <c r="E352">
        <v>4151</v>
      </c>
      <c r="K352" t="str" cm="1">
        <f t="array" aca="1" ref="K352" ca="1">INDIRECT(_xlfn.CONCAT("A",$Q352))</f>
        <v>connection_phase</v>
      </c>
      <c r="L352" t="str" cm="1">
        <f t="array" aca="1" ref="L352" ca="1">INDIRECT(_xlfn.CONCAT("B",$Q352))</f>
        <v>SPVA</v>
      </c>
      <c r="M352" cm="1">
        <f t="array" aca="1" ref="M352" ca="1">INDIRECT(_xlfn.CONCAT("C",$Q352))</f>
        <v>1</v>
      </c>
      <c r="N352" t="str" cm="1">
        <f t="array" aca="1" ref="N352" ca="1">INDIRECT(_xlfn.CONCAT("D",$Q352))</f>
        <v>tcp_connect</v>
      </c>
      <c r="O352" cm="1">
        <f t="array" aca="1" ref="O352" ca="1">INDIRECT(_xlfn.CONCAT("E",$Q352))</f>
        <v>19062</v>
      </c>
      <c r="Q352">
        <v>253</v>
      </c>
    </row>
    <row r="353" spans="1:17">
      <c r="A353" t="s">
        <v>97</v>
      </c>
      <c r="B353" t="s">
        <v>9</v>
      </c>
      <c r="C353">
        <v>21</v>
      </c>
      <c r="D353" t="s">
        <v>99</v>
      </c>
      <c r="E353">
        <v>5042</v>
      </c>
      <c r="K353" t="str" cm="1">
        <f t="array" aca="1" ref="K353" ca="1">INDIRECT(_xlfn.CONCAT("A",$Q353))</f>
        <v>connection_phase</v>
      </c>
      <c r="L353" t="str" cm="1">
        <f t="array" aca="1" ref="L353" ca="1">INDIRECT(_xlfn.CONCAT("B",$Q353))</f>
        <v>SPVA</v>
      </c>
      <c r="M353" cm="1">
        <f t="array" aca="1" ref="M353" ca="1">INDIRECT(_xlfn.CONCAT("C",$Q353))</f>
        <v>2</v>
      </c>
      <c r="N353" t="str" cm="1">
        <f t="array" aca="1" ref="N353" ca="1">INDIRECT(_xlfn.CONCAT("D",$Q353))</f>
        <v>tcp_connect</v>
      </c>
      <c r="O353" cm="1">
        <f t="array" aca="1" ref="O353" ca="1">INDIRECT(_xlfn.CONCAT("E",$Q353))</f>
        <v>10705</v>
      </c>
      <c r="Q353">
        <v>258</v>
      </c>
    </row>
    <row r="354" spans="1:17">
      <c r="A354" t="s">
        <v>97</v>
      </c>
      <c r="B354" t="s">
        <v>9</v>
      </c>
      <c r="C354">
        <v>21</v>
      </c>
      <c r="D354" t="s">
        <v>100</v>
      </c>
      <c r="E354">
        <v>553</v>
      </c>
      <c r="K354" t="str" cm="1">
        <f t="array" aca="1" ref="K354" ca="1">INDIRECT(_xlfn.CONCAT("A",$Q354))</f>
        <v>connection_phase</v>
      </c>
      <c r="L354" t="str" cm="1">
        <f t="array" aca="1" ref="L354" ca="1">INDIRECT(_xlfn.CONCAT("B",$Q354))</f>
        <v>SPVA</v>
      </c>
      <c r="M354" cm="1">
        <f t="array" aca="1" ref="M354" ca="1">INDIRECT(_xlfn.CONCAT("C",$Q354))</f>
        <v>3</v>
      </c>
      <c r="N354" t="str" cm="1">
        <f t="array" aca="1" ref="N354" ca="1">INDIRECT(_xlfn.CONCAT("D",$Q354))</f>
        <v>tcp_connect</v>
      </c>
      <c r="O354" cm="1">
        <f t="array" aca="1" ref="O354" ca="1">INDIRECT(_xlfn.CONCAT("E",$Q354))</f>
        <v>6253</v>
      </c>
      <c r="Q354">
        <v>263</v>
      </c>
    </row>
    <row r="355" spans="1:17">
      <c r="A355" t="s">
        <v>97</v>
      </c>
      <c r="B355" t="s">
        <v>9</v>
      </c>
      <c r="C355">
        <v>21</v>
      </c>
      <c r="D355" t="s">
        <v>101</v>
      </c>
      <c r="E355">
        <v>318</v>
      </c>
      <c r="K355" t="str" cm="1">
        <f t="array" aca="1" ref="K355" ca="1">INDIRECT(_xlfn.CONCAT("A",$Q355))</f>
        <v>connection_phase</v>
      </c>
      <c r="L355" t="str" cm="1">
        <f t="array" aca="1" ref="L355" ca="1">INDIRECT(_xlfn.CONCAT("B",$Q355))</f>
        <v>SPVA</v>
      </c>
      <c r="M355" cm="1">
        <f t="array" aca="1" ref="M355" ca="1">INDIRECT(_xlfn.CONCAT("C",$Q355))</f>
        <v>4</v>
      </c>
      <c r="N355" t="str" cm="1">
        <f t="array" aca="1" ref="N355" ca="1">INDIRECT(_xlfn.CONCAT("D",$Q355))</f>
        <v>tcp_connect</v>
      </c>
      <c r="O355" cm="1">
        <f t="array" aca="1" ref="O355" ca="1">INDIRECT(_xlfn.CONCAT("E",$Q355))</f>
        <v>2968</v>
      </c>
      <c r="Q355">
        <v>268</v>
      </c>
    </row>
    <row r="356" spans="1:17">
      <c r="A356" t="s">
        <v>97</v>
      </c>
      <c r="B356" t="s">
        <v>9</v>
      </c>
      <c r="C356">
        <v>21</v>
      </c>
      <c r="D356" t="s">
        <v>102</v>
      </c>
      <c r="E356">
        <v>10064</v>
      </c>
      <c r="K356" t="str" cm="1">
        <f t="array" aca="1" ref="K356" ca="1">INDIRECT(_xlfn.CONCAT("A",$Q356))</f>
        <v>connection_phase</v>
      </c>
      <c r="L356" t="str" cm="1">
        <f t="array" aca="1" ref="L356" ca="1">INDIRECT(_xlfn.CONCAT("B",$Q356))</f>
        <v>SPVA</v>
      </c>
      <c r="M356" cm="1">
        <f t="array" aca="1" ref="M356" ca="1">INDIRECT(_xlfn.CONCAT("C",$Q356))</f>
        <v>5</v>
      </c>
      <c r="N356" t="str" cm="1">
        <f t="array" aca="1" ref="N356" ca="1">INDIRECT(_xlfn.CONCAT("D",$Q356))</f>
        <v>tcp_connect</v>
      </c>
      <c r="O356" cm="1">
        <f t="array" aca="1" ref="O356" ca="1">INDIRECT(_xlfn.CONCAT("E",$Q356))</f>
        <v>3530</v>
      </c>
      <c r="Q356">
        <v>273</v>
      </c>
    </row>
    <row r="357" spans="1:17">
      <c r="A357" t="s">
        <v>97</v>
      </c>
      <c r="B357" t="s">
        <v>9</v>
      </c>
      <c r="C357">
        <v>22</v>
      </c>
      <c r="D357" t="s">
        <v>98</v>
      </c>
      <c r="E357">
        <v>7240</v>
      </c>
      <c r="K357" t="str" cm="1">
        <f t="array" aca="1" ref="K357" ca="1">INDIRECT(_xlfn.CONCAT("A",$Q357))</f>
        <v>connection_phase</v>
      </c>
      <c r="L357" t="str" cm="1">
        <f t="array" aca="1" ref="L357" ca="1">INDIRECT(_xlfn.CONCAT("B",$Q357))</f>
        <v>SPVA</v>
      </c>
      <c r="M357" cm="1">
        <f t="array" aca="1" ref="M357" ca="1">INDIRECT(_xlfn.CONCAT("C",$Q357))</f>
        <v>6</v>
      </c>
      <c r="N357" t="str" cm="1">
        <f t="array" aca="1" ref="N357" ca="1">INDIRECT(_xlfn.CONCAT("D",$Q357))</f>
        <v>tcp_connect</v>
      </c>
      <c r="O357" cm="1">
        <f t="array" aca="1" ref="O357" ca="1">INDIRECT(_xlfn.CONCAT("E",$Q357))</f>
        <v>3504</v>
      </c>
      <c r="Q357">
        <v>278</v>
      </c>
    </row>
    <row r="358" spans="1:17">
      <c r="A358" t="s">
        <v>97</v>
      </c>
      <c r="B358" t="s">
        <v>9</v>
      </c>
      <c r="C358">
        <v>22</v>
      </c>
      <c r="D358" t="s">
        <v>99</v>
      </c>
      <c r="E358">
        <v>3899</v>
      </c>
      <c r="K358" t="str" cm="1">
        <f t="array" aca="1" ref="K358" ca="1">INDIRECT(_xlfn.CONCAT("A",$Q358))</f>
        <v>connection_phase</v>
      </c>
      <c r="L358" t="str" cm="1">
        <f t="array" aca="1" ref="L358" ca="1">INDIRECT(_xlfn.CONCAT("B",$Q358))</f>
        <v>SPVA</v>
      </c>
      <c r="M358" cm="1">
        <f t="array" aca="1" ref="M358" ca="1">INDIRECT(_xlfn.CONCAT("C",$Q358))</f>
        <v>7</v>
      </c>
      <c r="N358" t="str" cm="1">
        <f t="array" aca="1" ref="N358" ca="1">INDIRECT(_xlfn.CONCAT("D",$Q358))</f>
        <v>tcp_connect</v>
      </c>
      <c r="O358" cm="1">
        <f t="array" aca="1" ref="O358" ca="1">INDIRECT(_xlfn.CONCAT("E",$Q358))</f>
        <v>4909</v>
      </c>
      <c r="Q358">
        <v>283</v>
      </c>
    </row>
    <row r="359" spans="1:17">
      <c r="A359" t="s">
        <v>97</v>
      </c>
      <c r="B359" t="s">
        <v>9</v>
      </c>
      <c r="C359">
        <v>22</v>
      </c>
      <c r="D359" t="s">
        <v>100</v>
      </c>
      <c r="E359">
        <v>461</v>
      </c>
      <c r="K359" t="str" cm="1">
        <f t="array" aca="1" ref="K359" ca="1">INDIRECT(_xlfn.CONCAT("A",$Q359))</f>
        <v>connection_phase</v>
      </c>
      <c r="L359" t="str" cm="1">
        <f t="array" aca="1" ref="L359" ca="1">INDIRECT(_xlfn.CONCAT("B",$Q359))</f>
        <v>SPVA</v>
      </c>
      <c r="M359" cm="1">
        <f t="array" aca="1" ref="M359" ca="1">INDIRECT(_xlfn.CONCAT("C",$Q359))</f>
        <v>8</v>
      </c>
      <c r="N359" t="str" cm="1">
        <f t="array" aca="1" ref="N359" ca="1">INDIRECT(_xlfn.CONCAT("D",$Q359))</f>
        <v>tcp_connect</v>
      </c>
      <c r="O359" cm="1">
        <f t="array" aca="1" ref="O359" ca="1">INDIRECT(_xlfn.CONCAT("E",$Q359))</f>
        <v>3123</v>
      </c>
      <c r="Q359">
        <v>288</v>
      </c>
    </row>
    <row r="360" spans="1:17">
      <c r="A360" t="s">
        <v>97</v>
      </c>
      <c r="B360" t="s">
        <v>9</v>
      </c>
      <c r="C360">
        <v>22</v>
      </c>
      <c r="D360" t="s">
        <v>101</v>
      </c>
      <c r="E360">
        <v>334</v>
      </c>
      <c r="K360" t="str" cm="1">
        <f t="array" aca="1" ref="K360" ca="1">INDIRECT(_xlfn.CONCAT("A",$Q360))</f>
        <v>connection_phase</v>
      </c>
      <c r="L360" t="str" cm="1">
        <f t="array" aca="1" ref="L360" ca="1">INDIRECT(_xlfn.CONCAT("B",$Q360))</f>
        <v>SPVA</v>
      </c>
      <c r="M360" cm="1">
        <f t="array" aca="1" ref="M360" ca="1">INDIRECT(_xlfn.CONCAT("C",$Q360))</f>
        <v>9</v>
      </c>
      <c r="N360" t="str" cm="1">
        <f t="array" aca="1" ref="N360" ca="1">INDIRECT(_xlfn.CONCAT("D",$Q360))</f>
        <v>tcp_connect</v>
      </c>
      <c r="O360" cm="1">
        <f t="array" aca="1" ref="O360" ca="1">INDIRECT(_xlfn.CONCAT("E",$Q360))</f>
        <v>3171</v>
      </c>
      <c r="Q360">
        <v>293</v>
      </c>
    </row>
    <row r="361" spans="1:17">
      <c r="A361" t="s">
        <v>97</v>
      </c>
      <c r="B361" t="s">
        <v>9</v>
      </c>
      <c r="C361">
        <v>22</v>
      </c>
      <c r="D361" t="s">
        <v>102</v>
      </c>
      <c r="E361">
        <v>11934</v>
      </c>
      <c r="K361" t="str" cm="1">
        <f t="array" aca="1" ref="K361" ca="1">INDIRECT(_xlfn.CONCAT("A",$Q361))</f>
        <v>connection_phase</v>
      </c>
      <c r="L361" t="str" cm="1">
        <f t="array" aca="1" ref="L361" ca="1">INDIRECT(_xlfn.CONCAT("B",$Q361))</f>
        <v>SPVA</v>
      </c>
      <c r="M361" cm="1">
        <f t="array" aca="1" ref="M361" ca="1">INDIRECT(_xlfn.CONCAT("C",$Q361))</f>
        <v>10</v>
      </c>
      <c r="N361" t="str" cm="1">
        <f t="array" aca="1" ref="N361" ca="1">INDIRECT(_xlfn.CONCAT("D",$Q361))</f>
        <v>tcp_connect</v>
      </c>
      <c r="O361" cm="1">
        <f t="array" aca="1" ref="O361" ca="1">INDIRECT(_xlfn.CONCAT("E",$Q361))</f>
        <v>5732</v>
      </c>
      <c r="Q361">
        <v>298</v>
      </c>
    </row>
    <row r="362" spans="1:17">
      <c r="A362" t="s">
        <v>97</v>
      </c>
      <c r="B362" t="s">
        <v>9</v>
      </c>
      <c r="C362">
        <v>23</v>
      </c>
      <c r="D362" t="s">
        <v>98</v>
      </c>
      <c r="E362">
        <v>949</v>
      </c>
      <c r="K362" t="str" cm="1">
        <f t="array" aca="1" ref="K362" ca="1">INDIRECT(_xlfn.CONCAT("A",$Q362))</f>
        <v>connection_phase</v>
      </c>
      <c r="L362" t="str" cm="1">
        <f t="array" aca="1" ref="L362" ca="1">INDIRECT(_xlfn.CONCAT("B",$Q362))</f>
        <v>SPVA</v>
      </c>
      <c r="M362" cm="1">
        <f t="array" aca="1" ref="M362" ca="1">INDIRECT(_xlfn.CONCAT("C",$Q362))</f>
        <v>11</v>
      </c>
      <c r="N362" t="str" cm="1">
        <f t="array" aca="1" ref="N362" ca="1">INDIRECT(_xlfn.CONCAT("D",$Q362))</f>
        <v>tcp_connect</v>
      </c>
      <c r="O362" cm="1">
        <f t="array" aca="1" ref="O362" ca="1">INDIRECT(_xlfn.CONCAT("E",$Q362))</f>
        <v>3041</v>
      </c>
      <c r="Q362">
        <v>303</v>
      </c>
    </row>
    <row r="363" spans="1:17">
      <c r="A363" t="s">
        <v>97</v>
      </c>
      <c r="B363" t="s">
        <v>9</v>
      </c>
      <c r="C363">
        <v>23</v>
      </c>
      <c r="D363" t="s">
        <v>99</v>
      </c>
      <c r="E363">
        <v>3289</v>
      </c>
      <c r="K363" t="str" cm="1">
        <f t="array" aca="1" ref="K363" ca="1">INDIRECT(_xlfn.CONCAT("A",$Q363))</f>
        <v>connection_phase</v>
      </c>
      <c r="L363" t="str" cm="1">
        <f t="array" aca="1" ref="L363" ca="1">INDIRECT(_xlfn.CONCAT("B",$Q363))</f>
        <v>SPVA</v>
      </c>
      <c r="M363" cm="1">
        <f t="array" aca="1" ref="M363" ca="1">INDIRECT(_xlfn.CONCAT("C",$Q363))</f>
        <v>12</v>
      </c>
      <c r="N363" t="str" cm="1">
        <f t="array" aca="1" ref="N363" ca="1">INDIRECT(_xlfn.CONCAT("D",$Q363))</f>
        <v>tcp_connect</v>
      </c>
      <c r="O363" cm="1">
        <f t="array" aca="1" ref="O363" ca="1">INDIRECT(_xlfn.CONCAT("E",$Q363))</f>
        <v>3151</v>
      </c>
      <c r="Q363">
        <v>308</v>
      </c>
    </row>
    <row r="364" spans="1:17">
      <c r="A364" t="s">
        <v>97</v>
      </c>
      <c r="B364" t="s">
        <v>9</v>
      </c>
      <c r="C364">
        <v>23</v>
      </c>
      <c r="D364" t="s">
        <v>100</v>
      </c>
      <c r="E364">
        <v>477</v>
      </c>
      <c r="K364" t="str" cm="1">
        <f t="array" aca="1" ref="K364" ca="1">INDIRECT(_xlfn.CONCAT("A",$Q364))</f>
        <v>connection_phase</v>
      </c>
      <c r="L364" t="str" cm="1">
        <f t="array" aca="1" ref="L364" ca="1">INDIRECT(_xlfn.CONCAT("B",$Q364))</f>
        <v>SPVA</v>
      </c>
      <c r="M364" cm="1">
        <f t="array" aca="1" ref="M364" ca="1">INDIRECT(_xlfn.CONCAT("C",$Q364))</f>
        <v>13</v>
      </c>
      <c r="N364" t="str" cm="1">
        <f t="array" aca="1" ref="N364" ca="1">INDIRECT(_xlfn.CONCAT("D",$Q364))</f>
        <v>tcp_connect</v>
      </c>
      <c r="O364" cm="1">
        <f t="array" aca="1" ref="O364" ca="1">INDIRECT(_xlfn.CONCAT("E",$Q364))</f>
        <v>13835</v>
      </c>
      <c r="Q364">
        <v>313</v>
      </c>
    </row>
    <row r="365" spans="1:17">
      <c r="A365" t="s">
        <v>97</v>
      </c>
      <c r="B365" t="s">
        <v>9</v>
      </c>
      <c r="C365">
        <v>23</v>
      </c>
      <c r="D365" t="s">
        <v>101</v>
      </c>
      <c r="E365">
        <v>333</v>
      </c>
      <c r="K365" t="str" cm="1">
        <f t="array" aca="1" ref="K365" ca="1">INDIRECT(_xlfn.CONCAT("A",$Q365))</f>
        <v>connection_phase</v>
      </c>
      <c r="L365" t="str" cm="1">
        <f t="array" aca="1" ref="L365" ca="1">INDIRECT(_xlfn.CONCAT("B",$Q365))</f>
        <v>SPVA</v>
      </c>
      <c r="M365" cm="1">
        <f t="array" aca="1" ref="M365" ca="1">INDIRECT(_xlfn.CONCAT("C",$Q365))</f>
        <v>14</v>
      </c>
      <c r="N365" t="str" cm="1">
        <f t="array" aca="1" ref="N365" ca="1">INDIRECT(_xlfn.CONCAT("D",$Q365))</f>
        <v>tcp_connect</v>
      </c>
      <c r="O365" cm="1">
        <f t="array" aca="1" ref="O365" ca="1">INDIRECT(_xlfn.CONCAT("E",$Q365))</f>
        <v>3126</v>
      </c>
      <c r="Q365">
        <v>318</v>
      </c>
    </row>
    <row r="366" spans="1:17">
      <c r="A366" t="s">
        <v>97</v>
      </c>
      <c r="B366" t="s">
        <v>9</v>
      </c>
      <c r="C366">
        <v>23</v>
      </c>
      <c r="D366" t="s">
        <v>102</v>
      </c>
      <c r="E366">
        <v>5048</v>
      </c>
      <c r="K366" t="str" cm="1">
        <f t="array" aca="1" ref="K366" ca="1">INDIRECT(_xlfn.CONCAT("A",$Q366))</f>
        <v>connection_phase</v>
      </c>
      <c r="L366" t="str" cm="1">
        <f t="array" aca="1" ref="L366" ca="1">INDIRECT(_xlfn.CONCAT("B",$Q366))</f>
        <v>SPVA</v>
      </c>
      <c r="M366" cm="1">
        <f t="array" aca="1" ref="M366" ca="1">INDIRECT(_xlfn.CONCAT("C",$Q366))</f>
        <v>15</v>
      </c>
      <c r="N366" t="str" cm="1">
        <f t="array" aca="1" ref="N366" ca="1">INDIRECT(_xlfn.CONCAT("D",$Q366))</f>
        <v>tcp_connect</v>
      </c>
      <c r="O366" cm="1">
        <f t="array" aca="1" ref="O366" ca="1">INDIRECT(_xlfn.CONCAT("E",$Q366))</f>
        <v>3639</v>
      </c>
      <c r="Q366">
        <v>323</v>
      </c>
    </row>
    <row r="367" spans="1:17">
      <c r="A367" t="s">
        <v>97</v>
      </c>
      <c r="B367" t="s">
        <v>9</v>
      </c>
      <c r="C367">
        <v>24</v>
      </c>
      <c r="D367" t="s">
        <v>98</v>
      </c>
      <c r="E367">
        <v>6609</v>
      </c>
      <c r="K367" t="str" cm="1">
        <f t="array" aca="1" ref="K367" ca="1">INDIRECT(_xlfn.CONCAT("A",$Q367))</f>
        <v>connection_phase</v>
      </c>
      <c r="L367" t="str" cm="1">
        <f t="array" aca="1" ref="L367" ca="1">INDIRECT(_xlfn.CONCAT("B",$Q367))</f>
        <v>SPVA</v>
      </c>
      <c r="M367" cm="1">
        <f t="array" aca="1" ref="M367" ca="1">INDIRECT(_xlfn.CONCAT("C",$Q367))</f>
        <v>16</v>
      </c>
      <c r="N367" t="str" cm="1">
        <f t="array" aca="1" ref="N367" ca="1">INDIRECT(_xlfn.CONCAT("D",$Q367))</f>
        <v>tcp_connect</v>
      </c>
      <c r="O367" cm="1">
        <f t="array" aca="1" ref="O367" ca="1">INDIRECT(_xlfn.CONCAT("E",$Q367))</f>
        <v>3334</v>
      </c>
      <c r="Q367">
        <v>328</v>
      </c>
    </row>
    <row r="368" spans="1:17">
      <c r="A368" t="s">
        <v>97</v>
      </c>
      <c r="B368" t="s">
        <v>9</v>
      </c>
      <c r="C368">
        <v>24</v>
      </c>
      <c r="D368" t="s">
        <v>99</v>
      </c>
      <c r="E368">
        <v>4054</v>
      </c>
      <c r="K368" t="str" cm="1">
        <f t="array" aca="1" ref="K368" ca="1">INDIRECT(_xlfn.CONCAT("A",$Q368))</f>
        <v>connection_phase</v>
      </c>
      <c r="L368" t="str" cm="1">
        <f t="array" aca="1" ref="L368" ca="1">INDIRECT(_xlfn.CONCAT("B",$Q368))</f>
        <v>SPVA</v>
      </c>
      <c r="M368" cm="1">
        <f t="array" aca="1" ref="M368" ca="1">INDIRECT(_xlfn.CONCAT("C",$Q368))</f>
        <v>17</v>
      </c>
      <c r="N368" t="str" cm="1">
        <f t="array" aca="1" ref="N368" ca="1">INDIRECT(_xlfn.CONCAT("D",$Q368))</f>
        <v>tcp_connect</v>
      </c>
      <c r="O368" cm="1">
        <f t="array" aca="1" ref="O368" ca="1">INDIRECT(_xlfn.CONCAT("E",$Q368))</f>
        <v>6348</v>
      </c>
      <c r="Q368">
        <v>333</v>
      </c>
    </row>
    <row r="369" spans="1:17">
      <c r="A369" t="s">
        <v>97</v>
      </c>
      <c r="B369" t="s">
        <v>9</v>
      </c>
      <c r="C369">
        <v>24</v>
      </c>
      <c r="D369" t="s">
        <v>100</v>
      </c>
      <c r="E369">
        <v>456</v>
      </c>
      <c r="K369" t="str" cm="1">
        <f t="array" aca="1" ref="K369" ca="1">INDIRECT(_xlfn.CONCAT("A",$Q369))</f>
        <v>connection_phase</v>
      </c>
      <c r="L369" t="str" cm="1">
        <f t="array" aca="1" ref="L369" ca="1">INDIRECT(_xlfn.CONCAT("B",$Q369))</f>
        <v>SPVA</v>
      </c>
      <c r="M369" cm="1">
        <f t="array" aca="1" ref="M369" ca="1">INDIRECT(_xlfn.CONCAT("C",$Q369))</f>
        <v>18</v>
      </c>
      <c r="N369" t="str" cm="1">
        <f t="array" aca="1" ref="N369" ca="1">INDIRECT(_xlfn.CONCAT("D",$Q369))</f>
        <v>tcp_connect</v>
      </c>
      <c r="O369" cm="1">
        <f t="array" aca="1" ref="O369" ca="1">INDIRECT(_xlfn.CONCAT("E",$Q369))</f>
        <v>9413</v>
      </c>
      <c r="Q369">
        <v>338</v>
      </c>
    </row>
    <row r="370" spans="1:17">
      <c r="A370" t="s">
        <v>97</v>
      </c>
      <c r="B370" t="s">
        <v>9</v>
      </c>
      <c r="C370">
        <v>24</v>
      </c>
      <c r="D370" t="s">
        <v>101</v>
      </c>
      <c r="E370">
        <v>335</v>
      </c>
      <c r="K370" t="str" cm="1">
        <f t="array" aca="1" ref="K370" ca="1">INDIRECT(_xlfn.CONCAT("A",$Q370))</f>
        <v>connection_phase</v>
      </c>
      <c r="L370" t="str" cm="1">
        <f t="array" aca="1" ref="L370" ca="1">INDIRECT(_xlfn.CONCAT("B",$Q370))</f>
        <v>SPVA</v>
      </c>
      <c r="M370" cm="1">
        <f t="array" aca="1" ref="M370" ca="1">INDIRECT(_xlfn.CONCAT("C",$Q370))</f>
        <v>19</v>
      </c>
      <c r="N370" t="str" cm="1">
        <f t="array" aca="1" ref="N370" ca="1">INDIRECT(_xlfn.CONCAT("D",$Q370))</f>
        <v>tcp_connect</v>
      </c>
      <c r="O370" cm="1">
        <f t="array" aca="1" ref="O370" ca="1">INDIRECT(_xlfn.CONCAT("E",$Q370))</f>
        <v>3109</v>
      </c>
      <c r="Q370">
        <v>343</v>
      </c>
    </row>
    <row r="371" spans="1:17">
      <c r="A371" t="s">
        <v>97</v>
      </c>
      <c r="B371" t="s">
        <v>9</v>
      </c>
      <c r="C371">
        <v>24</v>
      </c>
      <c r="D371" t="s">
        <v>102</v>
      </c>
      <c r="E371">
        <v>11454</v>
      </c>
      <c r="K371" t="str" cm="1">
        <f t="array" aca="1" ref="K371" ca="1">INDIRECT(_xlfn.CONCAT("A",$Q371))</f>
        <v>connection_phase</v>
      </c>
      <c r="L371" t="str" cm="1">
        <f t="array" aca="1" ref="L371" ca="1">INDIRECT(_xlfn.CONCAT("B",$Q371))</f>
        <v>SPVA</v>
      </c>
      <c r="M371" cm="1">
        <f t="array" aca="1" ref="M371" ca="1">INDIRECT(_xlfn.CONCAT("C",$Q371))</f>
        <v>20</v>
      </c>
      <c r="N371" t="str" cm="1">
        <f t="array" aca="1" ref="N371" ca="1">INDIRECT(_xlfn.CONCAT("D",$Q371))</f>
        <v>tcp_connect</v>
      </c>
      <c r="O371" cm="1">
        <f t="array" aca="1" ref="O371" ca="1">INDIRECT(_xlfn.CONCAT("E",$Q371))</f>
        <v>2933</v>
      </c>
      <c r="Q371">
        <v>348</v>
      </c>
    </row>
    <row r="372" spans="1:17">
      <c r="A372" t="s">
        <v>97</v>
      </c>
      <c r="B372" t="s">
        <v>9</v>
      </c>
      <c r="C372">
        <v>25</v>
      </c>
      <c r="D372" t="s">
        <v>98</v>
      </c>
      <c r="E372">
        <v>1781</v>
      </c>
      <c r="K372" t="str" cm="1">
        <f t="array" aca="1" ref="K372" ca="1">INDIRECT(_xlfn.CONCAT("A",$Q372))</f>
        <v>connection_phase</v>
      </c>
      <c r="L372" t="str" cm="1">
        <f t="array" aca="1" ref="L372" ca="1">INDIRECT(_xlfn.CONCAT("B",$Q372))</f>
        <v>SPVA</v>
      </c>
      <c r="M372" cm="1">
        <f t="array" aca="1" ref="M372" ca="1">INDIRECT(_xlfn.CONCAT("C",$Q372))</f>
        <v>21</v>
      </c>
      <c r="N372" t="str" cm="1">
        <f t="array" aca="1" ref="N372" ca="1">INDIRECT(_xlfn.CONCAT("D",$Q372))</f>
        <v>tcp_connect</v>
      </c>
      <c r="O372" cm="1">
        <f t="array" aca="1" ref="O372" ca="1">INDIRECT(_xlfn.CONCAT("E",$Q372))</f>
        <v>5042</v>
      </c>
      <c r="Q372">
        <v>353</v>
      </c>
    </row>
    <row r="373" spans="1:17">
      <c r="A373" t="s">
        <v>97</v>
      </c>
      <c r="B373" t="s">
        <v>9</v>
      </c>
      <c r="C373">
        <v>25</v>
      </c>
      <c r="D373" t="s">
        <v>99</v>
      </c>
      <c r="E373">
        <v>6010</v>
      </c>
      <c r="K373" t="str" cm="1">
        <f t="array" aca="1" ref="K373" ca="1">INDIRECT(_xlfn.CONCAT("A",$Q373))</f>
        <v>connection_phase</v>
      </c>
      <c r="L373" t="str" cm="1">
        <f t="array" aca="1" ref="L373" ca="1">INDIRECT(_xlfn.CONCAT("B",$Q373))</f>
        <v>SPVA</v>
      </c>
      <c r="M373" cm="1">
        <f t="array" aca="1" ref="M373" ca="1">INDIRECT(_xlfn.CONCAT("C",$Q373))</f>
        <v>22</v>
      </c>
      <c r="N373" t="str" cm="1">
        <f t="array" aca="1" ref="N373" ca="1">INDIRECT(_xlfn.CONCAT("D",$Q373))</f>
        <v>tcp_connect</v>
      </c>
      <c r="O373" cm="1">
        <f t="array" aca="1" ref="O373" ca="1">INDIRECT(_xlfn.CONCAT("E",$Q373))</f>
        <v>3899</v>
      </c>
      <c r="Q373">
        <v>358</v>
      </c>
    </row>
    <row r="374" spans="1:17">
      <c r="A374" t="s">
        <v>97</v>
      </c>
      <c r="B374" t="s">
        <v>9</v>
      </c>
      <c r="C374">
        <v>25</v>
      </c>
      <c r="D374" t="s">
        <v>100</v>
      </c>
      <c r="E374">
        <v>441</v>
      </c>
      <c r="K374" t="str" cm="1">
        <f t="array" aca="1" ref="K374" ca="1">INDIRECT(_xlfn.CONCAT("A",$Q374))</f>
        <v>connection_phase</v>
      </c>
      <c r="L374" t="str" cm="1">
        <f t="array" aca="1" ref="L374" ca="1">INDIRECT(_xlfn.CONCAT("B",$Q374))</f>
        <v>SPVA</v>
      </c>
      <c r="M374" cm="1">
        <f t="array" aca="1" ref="M374" ca="1">INDIRECT(_xlfn.CONCAT("C",$Q374))</f>
        <v>23</v>
      </c>
      <c r="N374" t="str" cm="1">
        <f t="array" aca="1" ref="N374" ca="1">INDIRECT(_xlfn.CONCAT("D",$Q374))</f>
        <v>tcp_connect</v>
      </c>
      <c r="O374" cm="1">
        <f t="array" aca="1" ref="O374" ca="1">INDIRECT(_xlfn.CONCAT("E",$Q374))</f>
        <v>3289</v>
      </c>
      <c r="Q374">
        <v>363</v>
      </c>
    </row>
    <row r="375" spans="1:17">
      <c r="A375" t="s">
        <v>97</v>
      </c>
      <c r="B375" t="s">
        <v>9</v>
      </c>
      <c r="C375">
        <v>25</v>
      </c>
      <c r="D375" t="s">
        <v>101</v>
      </c>
      <c r="E375">
        <v>305</v>
      </c>
      <c r="K375" t="str" cm="1">
        <f t="array" aca="1" ref="K375" ca="1">INDIRECT(_xlfn.CONCAT("A",$Q375))</f>
        <v>connection_phase</v>
      </c>
      <c r="L375" t="str" cm="1">
        <f t="array" aca="1" ref="L375" ca="1">INDIRECT(_xlfn.CONCAT("B",$Q375))</f>
        <v>SPVA</v>
      </c>
      <c r="M375" cm="1">
        <f t="array" aca="1" ref="M375" ca="1">INDIRECT(_xlfn.CONCAT("C",$Q375))</f>
        <v>24</v>
      </c>
      <c r="N375" t="str" cm="1">
        <f t="array" aca="1" ref="N375" ca="1">INDIRECT(_xlfn.CONCAT("D",$Q375))</f>
        <v>tcp_connect</v>
      </c>
      <c r="O375" cm="1">
        <f t="array" aca="1" ref="O375" ca="1">INDIRECT(_xlfn.CONCAT("E",$Q375))</f>
        <v>4054</v>
      </c>
      <c r="Q375">
        <v>368</v>
      </c>
    </row>
    <row r="376" spans="1:17">
      <c r="A376" t="s">
        <v>97</v>
      </c>
      <c r="B376" t="s">
        <v>9</v>
      </c>
      <c r="C376">
        <v>25</v>
      </c>
      <c r="D376" t="s">
        <v>102</v>
      </c>
      <c r="E376">
        <v>8537</v>
      </c>
      <c r="K376" t="str" cm="1">
        <f t="array" aca="1" ref="K376" ca="1">INDIRECT(_xlfn.CONCAT("A",$Q376))</f>
        <v>connection_phase</v>
      </c>
      <c r="L376" t="str" cm="1">
        <f t="array" aca="1" ref="L376" ca="1">INDIRECT(_xlfn.CONCAT("B",$Q376))</f>
        <v>SPVA</v>
      </c>
      <c r="M376" cm="1">
        <f t="array" aca="1" ref="M376" ca="1">INDIRECT(_xlfn.CONCAT("C",$Q376))</f>
        <v>25</v>
      </c>
      <c r="N376" t="str" cm="1">
        <f t="array" aca="1" ref="N376" ca="1">INDIRECT(_xlfn.CONCAT("D",$Q376))</f>
        <v>tcp_connect</v>
      </c>
      <c r="O376" cm="1">
        <f t="array" aca="1" ref="O376" ca="1">INDIRECT(_xlfn.CONCAT("E",$Q376))</f>
        <v>6010</v>
      </c>
      <c r="Q376">
        <v>373</v>
      </c>
    </row>
    <row r="377" spans="1:17">
      <c r="A377" t="s">
        <v>97</v>
      </c>
      <c r="B377" t="s">
        <v>9</v>
      </c>
      <c r="C377">
        <v>26</v>
      </c>
      <c r="D377" t="s">
        <v>98</v>
      </c>
      <c r="E377">
        <v>2250</v>
      </c>
      <c r="K377" t="str" cm="1">
        <f t="array" aca="1" ref="K377" ca="1">INDIRECT(_xlfn.CONCAT("A",$Q377))</f>
        <v>connection_phase</v>
      </c>
      <c r="L377" t="str" cm="1">
        <f t="array" aca="1" ref="L377" ca="1">INDIRECT(_xlfn.CONCAT("B",$Q377))</f>
        <v>SPVA</v>
      </c>
      <c r="M377" cm="1">
        <f t="array" aca="1" ref="M377" ca="1">INDIRECT(_xlfn.CONCAT("C",$Q377))</f>
        <v>26</v>
      </c>
      <c r="N377" t="str" cm="1">
        <f t="array" aca="1" ref="N377" ca="1">INDIRECT(_xlfn.CONCAT("D",$Q377))</f>
        <v>tcp_connect</v>
      </c>
      <c r="O377" cm="1">
        <f t="array" aca="1" ref="O377" ca="1">INDIRECT(_xlfn.CONCAT("E",$Q377))</f>
        <v>7056</v>
      </c>
      <c r="Q377">
        <v>378</v>
      </c>
    </row>
    <row r="378" spans="1:17">
      <c r="A378" t="s">
        <v>97</v>
      </c>
      <c r="B378" t="s">
        <v>9</v>
      </c>
      <c r="C378">
        <v>26</v>
      </c>
      <c r="D378" t="s">
        <v>99</v>
      </c>
      <c r="E378">
        <v>7056</v>
      </c>
      <c r="K378" t="str" cm="1">
        <f t="array" aca="1" ref="K378" ca="1">INDIRECT(_xlfn.CONCAT("A",$Q378))</f>
        <v>connection_phase</v>
      </c>
      <c r="L378" t="str" cm="1">
        <f t="array" aca="1" ref="L378" ca="1">INDIRECT(_xlfn.CONCAT("B",$Q378))</f>
        <v>SPVA</v>
      </c>
      <c r="M378" cm="1">
        <f t="array" aca="1" ref="M378" ca="1">INDIRECT(_xlfn.CONCAT("C",$Q378))</f>
        <v>27</v>
      </c>
      <c r="N378" t="str" cm="1">
        <f t="array" aca="1" ref="N378" ca="1">INDIRECT(_xlfn.CONCAT("D",$Q378))</f>
        <v>tcp_connect</v>
      </c>
      <c r="O378" cm="1">
        <f t="array" aca="1" ref="O378" ca="1">INDIRECT(_xlfn.CONCAT("E",$Q378))</f>
        <v>3031</v>
      </c>
      <c r="Q378">
        <v>383</v>
      </c>
    </row>
    <row r="379" spans="1:17">
      <c r="A379" t="s">
        <v>97</v>
      </c>
      <c r="B379" t="s">
        <v>9</v>
      </c>
      <c r="C379">
        <v>26</v>
      </c>
      <c r="D379" t="s">
        <v>100</v>
      </c>
      <c r="E379">
        <v>699</v>
      </c>
      <c r="K379" t="str" cm="1">
        <f t="array" aca="1" ref="K379" ca="1">INDIRECT(_xlfn.CONCAT("A",$Q379))</f>
        <v>connection_phase</v>
      </c>
      <c r="L379" t="str" cm="1">
        <f t="array" aca="1" ref="L379" ca="1">INDIRECT(_xlfn.CONCAT("B",$Q379))</f>
        <v>SPVA</v>
      </c>
      <c r="M379" cm="1">
        <f t="array" aca="1" ref="M379" ca="1">INDIRECT(_xlfn.CONCAT("C",$Q379))</f>
        <v>28</v>
      </c>
      <c r="N379" t="str" cm="1">
        <f t="array" aca="1" ref="N379" ca="1">INDIRECT(_xlfn.CONCAT("D",$Q379))</f>
        <v>tcp_connect</v>
      </c>
      <c r="O379" cm="1">
        <f t="array" aca="1" ref="O379" ca="1">INDIRECT(_xlfn.CONCAT("E",$Q379))</f>
        <v>3655</v>
      </c>
      <c r="Q379">
        <v>388</v>
      </c>
    </row>
    <row r="380" spans="1:17">
      <c r="A380" t="s">
        <v>97</v>
      </c>
      <c r="B380" t="s">
        <v>9</v>
      </c>
      <c r="C380">
        <v>26</v>
      </c>
      <c r="D380" t="s">
        <v>101</v>
      </c>
      <c r="E380">
        <v>286</v>
      </c>
      <c r="K380" t="str" cm="1">
        <f t="array" aca="1" ref="K380" ca="1">INDIRECT(_xlfn.CONCAT("A",$Q380))</f>
        <v>connection_phase</v>
      </c>
      <c r="L380" t="str" cm="1">
        <f t="array" aca="1" ref="L380" ca="1">INDIRECT(_xlfn.CONCAT("B",$Q380))</f>
        <v>SPVA</v>
      </c>
      <c r="M380" cm="1">
        <f t="array" aca="1" ref="M380" ca="1">INDIRECT(_xlfn.CONCAT("C",$Q380))</f>
        <v>29</v>
      </c>
      <c r="N380" t="str" cm="1">
        <f t="array" aca="1" ref="N380" ca="1">INDIRECT(_xlfn.CONCAT("D",$Q380))</f>
        <v>tcp_connect</v>
      </c>
      <c r="O380" cm="1">
        <f t="array" aca="1" ref="O380" ca="1">INDIRECT(_xlfn.CONCAT("E",$Q380))</f>
        <v>4230</v>
      </c>
      <c r="Q380">
        <v>393</v>
      </c>
    </row>
    <row r="381" spans="1:17">
      <c r="A381" t="s">
        <v>97</v>
      </c>
      <c r="B381" t="s">
        <v>9</v>
      </c>
      <c r="C381">
        <v>26</v>
      </c>
      <c r="D381" t="s">
        <v>102</v>
      </c>
      <c r="E381">
        <v>10291</v>
      </c>
      <c r="K381" t="str" cm="1">
        <f t="array" aca="1" ref="K381" ca="1">INDIRECT(_xlfn.CONCAT("A",$Q381))</f>
        <v>connection_phase</v>
      </c>
      <c r="L381" t="str" cm="1">
        <f t="array" aca="1" ref="L381" ca="1">INDIRECT(_xlfn.CONCAT("B",$Q381))</f>
        <v>SPVA</v>
      </c>
      <c r="M381" cm="1">
        <f t="array" aca="1" ref="M381" ca="1">INDIRECT(_xlfn.CONCAT("C",$Q381))</f>
        <v>30</v>
      </c>
      <c r="N381" t="str" cm="1">
        <f t="array" aca="1" ref="N381" ca="1">INDIRECT(_xlfn.CONCAT("D",$Q381))</f>
        <v>tcp_connect</v>
      </c>
      <c r="O381" cm="1">
        <f t="array" aca="1" ref="O381" ca="1">INDIRECT(_xlfn.CONCAT("E",$Q381))</f>
        <v>5896</v>
      </c>
      <c r="Q381">
        <v>398</v>
      </c>
    </row>
    <row r="382" spans="1:17">
      <c r="A382" t="s">
        <v>97</v>
      </c>
      <c r="B382" t="s">
        <v>9</v>
      </c>
      <c r="C382">
        <v>27</v>
      </c>
      <c r="D382" t="s">
        <v>98</v>
      </c>
      <c r="E382">
        <v>903</v>
      </c>
      <c r="K382" t="str" cm="1">
        <f t="array" aca="1" ref="K382" ca="1">INDIRECT(_xlfn.CONCAT("A",$Q382))</f>
        <v>connection_phase</v>
      </c>
      <c r="L382" t="str" cm="1">
        <f t="array" aca="1" ref="L382" ca="1">INDIRECT(_xlfn.CONCAT("B",$Q382))</f>
        <v>SPVA</v>
      </c>
      <c r="M382" cm="1">
        <f t="array" aca="1" ref="M382" ca="1">INDIRECT(_xlfn.CONCAT("C",$Q382))</f>
        <v>31</v>
      </c>
      <c r="N382" t="str" cm="1">
        <f t="array" aca="1" ref="N382" ca="1">INDIRECT(_xlfn.CONCAT("D",$Q382))</f>
        <v>tcp_connect</v>
      </c>
      <c r="O382" cm="1">
        <f t="array" aca="1" ref="O382" ca="1">INDIRECT(_xlfn.CONCAT("E",$Q382))</f>
        <v>3056</v>
      </c>
      <c r="Q382">
        <v>403</v>
      </c>
    </row>
    <row r="383" spans="1:17">
      <c r="A383" t="s">
        <v>97</v>
      </c>
      <c r="B383" t="s">
        <v>9</v>
      </c>
      <c r="C383">
        <v>27</v>
      </c>
      <c r="D383" t="s">
        <v>99</v>
      </c>
      <c r="E383">
        <v>3031</v>
      </c>
      <c r="K383" t="str" cm="1">
        <f t="array" aca="1" ref="K383" ca="1">INDIRECT(_xlfn.CONCAT("A",$Q383))</f>
        <v>connection_phase</v>
      </c>
      <c r="L383" t="str" cm="1">
        <f t="array" aca="1" ref="L383" ca="1">INDIRECT(_xlfn.CONCAT("B",$Q383))</f>
        <v>SPVA</v>
      </c>
      <c r="M383" cm="1">
        <f t="array" aca="1" ref="M383" ca="1">INDIRECT(_xlfn.CONCAT("C",$Q383))</f>
        <v>32</v>
      </c>
      <c r="N383" t="str" cm="1">
        <f t="array" aca="1" ref="N383" ca="1">INDIRECT(_xlfn.CONCAT("D",$Q383))</f>
        <v>tcp_connect</v>
      </c>
      <c r="O383" cm="1">
        <f t="array" aca="1" ref="O383" ca="1">INDIRECT(_xlfn.CONCAT("E",$Q383))</f>
        <v>5928</v>
      </c>
      <c r="Q383">
        <v>408</v>
      </c>
    </row>
    <row r="384" spans="1:17">
      <c r="A384" t="s">
        <v>97</v>
      </c>
      <c r="B384" t="s">
        <v>9</v>
      </c>
      <c r="C384">
        <v>27</v>
      </c>
      <c r="D384" t="s">
        <v>100</v>
      </c>
      <c r="E384">
        <v>638</v>
      </c>
      <c r="K384" t="str" cm="1">
        <f t="array" aca="1" ref="K384" ca="1">INDIRECT(_xlfn.CONCAT("A",$Q384))</f>
        <v>connection_phase</v>
      </c>
      <c r="L384" t="str" cm="1">
        <f t="array" aca="1" ref="L384" ca="1">INDIRECT(_xlfn.CONCAT("B",$Q384))</f>
        <v>SPVA</v>
      </c>
      <c r="M384" cm="1">
        <f t="array" aca="1" ref="M384" ca="1">INDIRECT(_xlfn.CONCAT("C",$Q384))</f>
        <v>33</v>
      </c>
      <c r="N384" t="str" cm="1">
        <f t="array" aca="1" ref="N384" ca="1">INDIRECT(_xlfn.CONCAT("D",$Q384))</f>
        <v>tcp_connect</v>
      </c>
      <c r="O384" cm="1">
        <f t="array" aca="1" ref="O384" ca="1">INDIRECT(_xlfn.CONCAT("E",$Q384))</f>
        <v>6175</v>
      </c>
      <c r="Q384">
        <v>413</v>
      </c>
    </row>
    <row r="385" spans="1:17">
      <c r="A385" t="s">
        <v>97</v>
      </c>
      <c r="B385" t="s">
        <v>9</v>
      </c>
      <c r="C385">
        <v>27</v>
      </c>
      <c r="D385" t="s">
        <v>101</v>
      </c>
      <c r="E385">
        <v>409</v>
      </c>
      <c r="K385" t="str" cm="1">
        <f t="array" aca="1" ref="K385" ca="1">INDIRECT(_xlfn.CONCAT("A",$Q385))</f>
        <v>connection_phase</v>
      </c>
      <c r="L385" t="str" cm="1">
        <f t="array" aca="1" ref="L385" ca="1">INDIRECT(_xlfn.CONCAT("B",$Q385))</f>
        <v>SPVA</v>
      </c>
      <c r="M385" cm="1">
        <f t="array" aca="1" ref="M385" ca="1">INDIRECT(_xlfn.CONCAT("C",$Q385))</f>
        <v>34</v>
      </c>
      <c r="N385" t="str" cm="1">
        <f t="array" aca="1" ref="N385" ca="1">INDIRECT(_xlfn.CONCAT("D",$Q385))</f>
        <v>tcp_connect</v>
      </c>
      <c r="O385" cm="1">
        <f t="array" aca="1" ref="O385" ca="1">INDIRECT(_xlfn.CONCAT("E",$Q385))</f>
        <v>12123</v>
      </c>
      <c r="Q385">
        <v>418</v>
      </c>
    </row>
    <row r="386" spans="1:17">
      <c r="A386" t="s">
        <v>97</v>
      </c>
      <c r="B386" t="s">
        <v>9</v>
      </c>
      <c r="C386">
        <v>27</v>
      </c>
      <c r="D386" t="s">
        <v>102</v>
      </c>
      <c r="E386">
        <v>4981</v>
      </c>
      <c r="K386" t="str" cm="1">
        <f t="array" aca="1" ref="K386" ca="1">INDIRECT(_xlfn.CONCAT("A",$Q386))</f>
        <v>connection_phase</v>
      </c>
      <c r="L386" t="str" cm="1">
        <f t="array" aca="1" ref="L386" ca="1">INDIRECT(_xlfn.CONCAT("B",$Q386))</f>
        <v>SPVA</v>
      </c>
      <c r="M386" cm="1">
        <f t="array" aca="1" ref="M386" ca="1">INDIRECT(_xlfn.CONCAT("C",$Q386))</f>
        <v>35</v>
      </c>
      <c r="N386" t="str" cm="1">
        <f t="array" aca="1" ref="N386" ca="1">INDIRECT(_xlfn.CONCAT("D",$Q386))</f>
        <v>tcp_connect</v>
      </c>
      <c r="O386" cm="1">
        <f t="array" aca="1" ref="O386" ca="1">INDIRECT(_xlfn.CONCAT("E",$Q386))</f>
        <v>6055</v>
      </c>
      <c r="Q386">
        <v>423</v>
      </c>
    </row>
    <row r="387" spans="1:17">
      <c r="A387" t="s">
        <v>97</v>
      </c>
      <c r="B387" t="s">
        <v>9</v>
      </c>
      <c r="C387">
        <v>28</v>
      </c>
      <c r="D387" t="s">
        <v>98</v>
      </c>
      <c r="E387">
        <v>4662</v>
      </c>
      <c r="K387" t="str" cm="1">
        <f t="array" aca="1" ref="K387" ca="1">INDIRECT(_xlfn.CONCAT("A",$Q387))</f>
        <v>connection_phase</v>
      </c>
      <c r="L387" t="str" cm="1">
        <f t="array" aca="1" ref="L387" ca="1">INDIRECT(_xlfn.CONCAT("B",$Q387))</f>
        <v>SPVA</v>
      </c>
      <c r="M387" cm="1">
        <f t="array" aca="1" ref="M387" ca="1">INDIRECT(_xlfn.CONCAT("C",$Q387))</f>
        <v>36</v>
      </c>
      <c r="N387" t="str" cm="1">
        <f t="array" aca="1" ref="N387" ca="1">INDIRECT(_xlfn.CONCAT("D",$Q387))</f>
        <v>tcp_connect</v>
      </c>
      <c r="O387" cm="1">
        <f t="array" aca="1" ref="O387" ca="1">INDIRECT(_xlfn.CONCAT("E",$Q387))</f>
        <v>2922</v>
      </c>
      <c r="Q387">
        <v>428</v>
      </c>
    </row>
    <row r="388" spans="1:17">
      <c r="A388" t="s">
        <v>97</v>
      </c>
      <c r="B388" t="s">
        <v>9</v>
      </c>
      <c r="C388">
        <v>28</v>
      </c>
      <c r="D388" t="s">
        <v>99</v>
      </c>
      <c r="E388">
        <v>3655</v>
      </c>
      <c r="K388" t="str" cm="1">
        <f t="array" aca="1" ref="K388" ca="1">INDIRECT(_xlfn.CONCAT("A",$Q388))</f>
        <v>connection_phase</v>
      </c>
      <c r="L388" t="str" cm="1">
        <f t="array" aca="1" ref="L388" ca="1">INDIRECT(_xlfn.CONCAT("B",$Q388))</f>
        <v>SPVA</v>
      </c>
      <c r="M388" cm="1">
        <f t="array" aca="1" ref="M388" ca="1">INDIRECT(_xlfn.CONCAT("C",$Q388))</f>
        <v>37</v>
      </c>
      <c r="N388" t="str" cm="1">
        <f t="array" aca="1" ref="N388" ca="1">INDIRECT(_xlfn.CONCAT("D",$Q388))</f>
        <v>tcp_connect</v>
      </c>
      <c r="O388" cm="1">
        <f t="array" aca="1" ref="O388" ca="1">INDIRECT(_xlfn.CONCAT("E",$Q388))</f>
        <v>7594</v>
      </c>
      <c r="Q388">
        <v>433</v>
      </c>
    </row>
    <row r="389" spans="1:17">
      <c r="A389" t="s">
        <v>97</v>
      </c>
      <c r="B389" t="s">
        <v>9</v>
      </c>
      <c r="C389">
        <v>28</v>
      </c>
      <c r="D389" t="s">
        <v>100</v>
      </c>
      <c r="E389">
        <v>398</v>
      </c>
      <c r="K389" t="str" cm="1">
        <f t="array" aca="1" ref="K389" ca="1">INDIRECT(_xlfn.CONCAT("A",$Q389))</f>
        <v>connection_phase</v>
      </c>
      <c r="L389" t="str" cm="1">
        <f t="array" aca="1" ref="L389" ca="1">INDIRECT(_xlfn.CONCAT("B",$Q389))</f>
        <v>SPVA</v>
      </c>
      <c r="M389" cm="1">
        <f t="array" aca="1" ref="M389" ca="1">INDIRECT(_xlfn.CONCAT("C",$Q389))</f>
        <v>38</v>
      </c>
      <c r="N389" t="str" cm="1">
        <f t="array" aca="1" ref="N389" ca="1">INDIRECT(_xlfn.CONCAT("D",$Q389))</f>
        <v>tcp_connect</v>
      </c>
      <c r="O389" cm="1">
        <f t="array" aca="1" ref="O389" ca="1">INDIRECT(_xlfn.CONCAT("E",$Q389))</f>
        <v>3163</v>
      </c>
      <c r="Q389">
        <v>438</v>
      </c>
    </row>
    <row r="390" spans="1:17">
      <c r="A390" t="s">
        <v>97</v>
      </c>
      <c r="B390" t="s">
        <v>9</v>
      </c>
      <c r="C390">
        <v>28</v>
      </c>
      <c r="D390" t="s">
        <v>101</v>
      </c>
      <c r="E390">
        <v>255</v>
      </c>
      <c r="K390" t="str" cm="1">
        <f t="array" aca="1" ref="K390" ca="1">INDIRECT(_xlfn.CONCAT("A",$Q390))</f>
        <v>connection_phase</v>
      </c>
      <c r="L390" t="str" cm="1">
        <f t="array" aca="1" ref="L390" ca="1">INDIRECT(_xlfn.CONCAT("B",$Q390))</f>
        <v>SPVA</v>
      </c>
      <c r="M390" cm="1">
        <f t="array" aca="1" ref="M390" ca="1">INDIRECT(_xlfn.CONCAT("C",$Q390))</f>
        <v>39</v>
      </c>
      <c r="N390" t="str" cm="1">
        <f t="array" aca="1" ref="N390" ca="1">INDIRECT(_xlfn.CONCAT("D",$Q390))</f>
        <v>tcp_connect</v>
      </c>
      <c r="O390" cm="1">
        <f t="array" aca="1" ref="O390" ca="1">INDIRECT(_xlfn.CONCAT("E",$Q390))</f>
        <v>3120</v>
      </c>
      <c r="Q390">
        <v>443</v>
      </c>
    </row>
    <row r="391" spans="1:17">
      <c r="A391" t="s">
        <v>97</v>
      </c>
      <c r="B391" t="s">
        <v>9</v>
      </c>
      <c r="C391">
        <v>28</v>
      </c>
      <c r="D391" t="s">
        <v>102</v>
      </c>
      <c r="E391">
        <v>8970</v>
      </c>
      <c r="K391" t="str" cm="1">
        <f t="array" aca="1" ref="K391" ca="1">INDIRECT(_xlfn.CONCAT("A",$Q391))</f>
        <v>connection_phase</v>
      </c>
      <c r="L391" t="str" cm="1">
        <f t="array" aca="1" ref="L391" ca="1">INDIRECT(_xlfn.CONCAT("B",$Q391))</f>
        <v>SPVA</v>
      </c>
      <c r="M391" cm="1">
        <f t="array" aca="1" ref="M391" ca="1">INDIRECT(_xlfn.CONCAT("C",$Q391))</f>
        <v>40</v>
      </c>
      <c r="N391" t="str" cm="1">
        <f t="array" aca="1" ref="N391" ca="1">INDIRECT(_xlfn.CONCAT("D",$Q391))</f>
        <v>tcp_connect</v>
      </c>
      <c r="O391" cm="1">
        <f t="array" aca="1" ref="O391" ca="1">INDIRECT(_xlfn.CONCAT("E",$Q391))</f>
        <v>7226</v>
      </c>
      <c r="Q391">
        <v>448</v>
      </c>
    </row>
    <row r="392" spans="1:17">
      <c r="A392" t="s">
        <v>97</v>
      </c>
      <c r="B392" t="s">
        <v>9</v>
      </c>
      <c r="C392">
        <v>29</v>
      </c>
      <c r="D392" t="s">
        <v>98</v>
      </c>
      <c r="E392">
        <v>1650</v>
      </c>
      <c r="K392" t="str" cm="1">
        <f t="array" aca="1" ref="K392" ca="1">INDIRECT(_xlfn.CONCAT("A",$Q392))</f>
        <v>connection_phase</v>
      </c>
      <c r="L392" t="str" cm="1">
        <f t="array" aca="1" ref="L392" ca="1">INDIRECT(_xlfn.CONCAT("B",$Q392))</f>
        <v>SPVA</v>
      </c>
      <c r="M392" cm="1">
        <f t="array" aca="1" ref="M392" ca="1">INDIRECT(_xlfn.CONCAT("C",$Q392))</f>
        <v>41</v>
      </c>
      <c r="N392" t="str" cm="1">
        <f t="array" aca="1" ref="N392" ca="1">INDIRECT(_xlfn.CONCAT("D",$Q392))</f>
        <v>tcp_connect</v>
      </c>
      <c r="O392" cm="1">
        <f t="array" aca="1" ref="O392" ca="1">INDIRECT(_xlfn.CONCAT("E",$Q392))</f>
        <v>4828</v>
      </c>
      <c r="Q392">
        <v>453</v>
      </c>
    </row>
    <row r="393" spans="1:17">
      <c r="A393" t="s">
        <v>97</v>
      </c>
      <c r="B393" t="s">
        <v>9</v>
      </c>
      <c r="C393">
        <v>29</v>
      </c>
      <c r="D393" t="s">
        <v>99</v>
      </c>
      <c r="E393">
        <v>4230</v>
      </c>
      <c r="K393" t="str" cm="1">
        <f t="array" aca="1" ref="K393" ca="1">INDIRECT(_xlfn.CONCAT("A",$Q393))</f>
        <v>connection_phase</v>
      </c>
      <c r="L393" t="str" cm="1">
        <f t="array" aca="1" ref="L393" ca="1">INDIRECT(_xlfn.CONCAT("B",$Q393))</f>
        <v>SPVA</v>
      </c>
      <c r="M393" cm="1">
        <f t="array" aca="1" ref="M393" ca="1">INDIRECT(_xlfn.CONCAT("C",$Q393))</f>
        <v>42</v>
      </c>
      <c r="N393" t="str" cm="1">
        <f t="array" aca="1" ref="N393" ca="1">INDIRECT(_xlfn.CONCAT("D",$Q393))</f>
        <v>tcp_connect</v>
      </c>
      <c r="O393" cm="1">
        <f t="array" aca="1" ref="O393" ca="1">INDIRECT(_xlfn.CONCAT("E",$Q393))</f>
        <v>3131</v>
      </c>
      <c r="Q393">
        <v>458</v>
      </c>
    </row>
    <row r="394" spans="1:17">
      <c r="A394" t="s">
        <v>97</v>
      </c>
      <c r="B394" t="s">
        <v>9</v>
      </c>
      <c r="C394">
        <v>29</v>
      </c>
      <c r="D394" t="s">
        <v>100</v>
      </c>
      <c r="E394">
        <v>366</v>
      </c>
      <c r="K394" t="str" cm="1">
        <f t="array" aca="1" ref="K394" ca="1">INDIRECT(_xlfn.CONCAT("A",$Q394))</f>
        <v>connection_phase</v>
      </c>
      <c r="L394" t="str" cm="1">
        <f t="array" aca="1" ref="L394" ca="1">INDIRECT(_xlfn.CONCAT("B",$Q394))</f>
        <v>SPVA</v>
      </c>
      <c r="M394" cm="1">
        <f t="array" aca="1" ref="M394" ca="1">INDIRECT(_xlfn.CONCAT("C",$Q394))</f>
        <v>43</v>
      </c>
      <c r="N394" t="str" cm="1">
        <f t="array" aca="1" ref="N394" ca="1">INDIRECT(_xlfn.CONCAT("D",$Q394))</f>
        <v>tcp_connect</v>
      </c>
      <c r="O394" cm="1">
        <f t="array" aca="1" ref="O394" ca="1">INDIRECT(_xlfn.CONCAT("E",$Q394))</f>
        <v>2870</v>
      </c>
      <c r="Q394">
        <v>463</v>
      </c>
    </row>
    <row r="395" spans="1:17">
      <c r="A395" t="s">
        <v>97</v>
      </c>
      <c r="B395" t="s">
        <v>9</v>
      </c>
      <c r="C395">
        <v>29</v>
      </c>
      <c r="D395" t="s">
        <v>101</v>
      </c>
      <c r="E395">
        <v>241</v>
      </c>
      <c r="K395" t="str" cm="1">
        <f t="array" aca="1" ref="K395" ca="1">INDIRECT(_xlfn.CONCAT("A",$Q395))</f>
        <v>connection_phase</v>
      </c>
      <c r="L395" t="str" cm="1">
        <f t="array" aca="1" ref="L395" ca="1">INDIRECT(_xlfn.CONCAT("B",$Q395))</f>
        <v>SPVA</v>
      </c>
      <c r="M395" cm="1">
        <f t="array" aca="1" ref="M395" ca="1">INDIRECT(_xlfn.CONCAT("C",$Q395))</f>
        <v>44</v>
      </c>
      <c r="N395" t="str" cm="1">
        <f t="array" aca="1" ref="N395" ca="1">INDIRECT(_xlfn.CONCAT("D",$Q395))</f>
        <v>tcp_connect</v>
      </c>
      <c r="O395" cm="1">
        <f t="array" aca="1" ref="O395" ca="1">INDIRECT(_xlfn.CONCAT("E",$Q395))</f>
        <v>3065</v>
      </c>
      <c r="Q395">
        <v>468</v>
      </c>
    </row>
    <row r="396" spans="1:17">
      <c r="A396" t="s">
        <v>97</v>
      </c>
      <c r="B396" t="s">
        <v>9</v>
      </c>
      <c r="C396">
        <v>29</v>
      </c>
      <c r="D396" t="s">
        <v>102</v>
      </c>
      <c r="E396">
        <v>6487</v>
      </c>
      <c r="K396" t="str" cm="1">
        <f t="array" aca="1" ref="K396" ca="1">INDIRECT(_xlfn.CONCAT("A",$Q396))</f>
        <v>connection_phase</v>
      </c>
      <c r="L396" t="str" cm="1">
        <f t="array" aca="1" ref="L396" ca="1">INDIRECT(_xlfn.CONCAT("B",$Q396))</f>
        <v>SPVA</v>
      </c>
      <c r="M396" cm="1">
        <f t="array" aca="1" ref="M396" ca="1">INDIRECT(_xlfn.CONCAT("C",$Q396))</f>
        <v>45</v>
      </c>
      <c r="N396" t="str" cm="1">
        <f t="array" aca="1" ref="N396" ca="1">INDIRECT(_xlfn.CONCAT("D",$Q396))</f>
        <v>tcp_connect</v>
      </c>
      <c r="O396" cm="1">
        <f t="array" aca="1" ref="O396" ca="1">INDIRECT(_xlfn.CONCAT("E",$Q396))</f>
        <v>3268</v>
      </c>
      <c r="Q396">
        <v>473</v>
      </c>
    </row>
    <row r="397" spans="1:17">
      <c r="A397" t="s">
        <v>97</v>
      </c>
      <c r="B397" t="s">
        <v>9</v>
      </c>
      <c r="C397">
        <v>30</v>
      </c>
      <c r="D397" t="s">
        <v>98</v>
      </c>
      <c r="E397">
        <v>1880</v>
      </c>
      <c r="K397" t="str" cm="1">
        <f t="array" aca="1" ref="K397" ca="1">INDIRECT(_xlfn.CONCAT("A",$Q397))</f>
        <v>connection_phase</v>
      </c>
      <c r="L397" t="str" cm="1">
        <f t="array" aca="1" ref="L397" ca="1">INDIRECT(_xlfn.CONCAT("B",$Q397))</f>
        <v>SPVA</v>
      </c>
      <c r="M397" cm="1">
        <f t="array" aca="1" ref="M397" ca="1">INDIRECT(_xlfn.CONCAT("C",$Q397))</f>
        <v>46</v>
      </c>
      <c r="N397" t="str" cm="1">
        <f t="array" aca="1" ref="N397" ca="1">INDIRECT(_xlfn.CONCAT("D",$Q397))</f>
        <v>tcp_connect</v>
      </c>
      <c r="O397" cm="1">
        <f t="array" aca="1" ref="O397" ca="1">INDIRECT(_xlfn.CONCAT("E",$Q397))</f>
        <v>9537</v>
      </c>
      <c r="Q397">
        <v>478</v>
      </c>
    </row>
    <row r="398" spans="1:17">
      <c r="A398" t="s">
        <v>97</v>
      </c>
      <c r="B398" t="s">
        <v>9</v>
      </c>
      <c r="C398">
        <v>30</v>
      </c>
      <c r="D398" t="s">
        <v>99</v>
      </c>
      <c r="E398">
        <v>5896</v>
      </c>
      <c r="K398" t="str" cm="1">
        <f t="array" aca="1" ref="K398" ca="1">INDIRECT(_xlfn.CONCAT("A",$Q398))</f>
        <v>connection_phase</v>
      </c>
      <c r="L398" t="str" cm="1">
        <f t="array" aca="1" ref="L398" ca="1">INDIRECT(_xlfn.CONCAT("B",$Q398))</f>
        <v>SPVA</v>
      </c>
      <c r="M398" cm="1">
        <f t="array" aca="1" ref="M398" ca="1">INDIRECT(_xlfn.CONCAT("C",$Q398))</f>
        <v>47</v>
      </c>
      <c r="N398" t="str" cm="1">
        <f t="array" aca="1" ref="N398" ca="1">INDIRECT(_xlfn.CONCAT("D",$Q398))</f>
        <v>tcp_connect</v>
      </c>
      <c r="O398" cm="1">
        <f t="array" aca="1" ref="O398" ca="1">INDIRECT(_xlfn.CONCAT("E",$Q398))</f>
        <v>6635</v>
      </c>
      <c r="Q398">
        <v>483</v>
      </c>
    </row>
    <row r="399" spans="1:17">
      <c r="A399" t="s">
        <v>97</v>
      </c>
      <c r="B399" t="s">
        <v>9</v>
      </c>
      <c r="C399">
        <v>30</v>
      </c>
      <c r="D399" t="s">
        <v>100</v>
      </c>
      <c r="E399">
        <v>360</v>
      </c>
      <c r="K399" t="str" cm="1">
        <f t="array" aca="1" ref="K399" ca="1">INDIRECT(_xlfn.CONCAT("A",$Q399))</f>
        <v>connection_phase</v>
      </c>
      <c r="L399" t="str" cm="1">
        <f t="array" aca="1" ref="L399" ca="1">INDIRECT(_xlfn.CONCAT("B",$Q399))</f>
        <v>SPVA</v>
      </c>
      <c r="M399" cm="1">
        <f t="array" aca="1" ref="M399" ca="1">INDIRECT(_xlfn.CONCAT("C",$Q399))</f>
        <v>48</v>
      </c>
      <c r="N399" t="str" cm="1">
        <f t="array" aca="1" ref="N399" ca="1">INDIRECT(_xlfn.CONCAT("D",$Q399))</f>
        <v>tcp_connect</v>
      </c>
      <c r="O399" cm="1">
        <f t="array" aca="1" ref="O399" ca="1">INDIRECT(_xlfn.CONCAT("E",$Q399))</f>
        <v>3115</v>
      </c>
      <c r="Q399">
        <v>488</v>
      </c>
    </row>
    <row r="400" spans="1:17">
      <c r="A400" t="s">
        <v>97</v>
      </c>
      <c r="B400" t="s">
        <v>9</v>
      </c>
      <c r="C400">
        <v>30</v>
      </c>
      <c r="D400" t="s">
        <v>101</v>
      </c>
      <c r="E400">
        <v>278</v>
      </c>
      <c r="K400" t="str" cm="1">
        <f t="array" aca="1" ref="K400" ca="1">INDIRECT(_xlfn.CONCAT("A",$Q400))</f>
        <v>connection_phase</v>
      </c>
      <c r="L400" t="str" cm="1">
        <f t="array" aca="1" ref="L400" ca="1">INDIRECT(_xlfn.CONCAT("B",$Q400))</f>
        <v>SPVA</v>
      </c>
      <c r="M400" cm="1">
        <f t="array" aca="1" ref="M400" ca="1">INDIRECT(_xlfn.CONCAT("C",$Q400))</f>
        <v>49</v>
      </c>
      <c r="N400" t="str" cm="1">
        <f t="array" aca="1" ref="N400" ca="1">INDIRECT(_xlfn.CONCAT("D",$Q400))</f>
        <v>tcp_connect</v>
      </c>
      <c r="O400" cm="1">
        <f t="array" aca="1" ref="O400" ca="1">INDIRECT(_xlfn.CONCAT("E",$Q400))</f>
        <v>3252</v>
      </c>
      <c r="Q400">
        <v>493</v>
      </c>
    </row>
    <row r="401" spans="1:17">
      <c r="A401" t="s">
        <v>97</v>
      </c>
      <c r="B401" t="s">
        <v>9</v>
      </c>
      <c r="C401">
        <v>30</v>
      </c>
      <c r="D401" t="s">
        <v>102</v>
      </c>
      <c r="E401">
        <v>8414</v>
      </c>
      <c r="K401" t="str" cm="1">
        <f t="array" aca="1" ref="K401" ca="1">INDIRECT(_xlfn.CONCAT("A",$Q401))</f>
        <v>connection_phase</v>
      </c>
      <c r="L401" t="str" cm="1">
        <f t="array" aca="1" ref="L401" ca="1">INDIRECT(_xlfn.CONCAT("B",$Q401))</f>
        <v>SPVA</v>
      </c>
      <c r="M401" cm="1">
        <f t="array" aca="1" ref="M401" ca="1">INDIRECT(_xlfn.CONCAT("C",$Q401))</f>
        <v>50</v>
      </c>
      <c r="N401" t="str" cm="1">
        <f t="array" aca="1" ref="N401" ca="1">INDIRECT(_xlfn.CONCAT("D",$Q401))</f>
        <v>tcp_connect</v>
      </c>
      <c r="O401" cm="1">
        <f t="array" aca="1" ref="O401" ca="1">INDIRECT(_xlfn.CONCAT("E",$Q401))</f>
        <v>3023</v>
      </c>
      <c r="Q401">
        <v>498</v>
      </c>
    </row>
    <row r="402" spans="1:17">
      <c r="A402" t="s">
        <v>97</v>
      </c>
      <c r="B402" t="s">
        <v>9</v>
      </c>
      <c r="C402">
        <v>31</v>
      </c>
      <c r="D402" t="s">
        <v>98</v>
      </c>
      <c r="E402">
        <v>1094</v>
      </c>
      <c r="K402" t="str" cm="1">
        <f t="array" aca="1" ref="K402" ca="1">INDIRECT(_xlfn.CONCAT("A",$Q402))</f>
        <v>connection_phase</v>
      </c>
      <c r="L402" t="str" cm="1">
        <f t="array" aca="1" ref="L402" ca="1">INDIRECT(_xlfn.CONCAT("B",$Q402))</f>
        <v>SPVA</v>
      </c>
      <c r="M402" cm="1">
        <f t="array" aca="1" ref="M402" ca="1">INDIRECT(_xlfn.CONCAT("C",$Q402))</f>
        <v>1</v>
      </c>
      <c r="N402" t="str" cm="1">
        <f t="array" aca="1" ref="N402" ca="1">INDIRECT(_xlfn.CONCAT("D",$Q402))</f>
        <v>total</v>
      </c>
      <c r="O402" cm="1">
        <f t="array" aca="1" ref="O402" ca="1">INDIRECT(_xlfn.CONCAT("E",$Q402))</f>
        <v>26023</v>
      </c>
      <c r="Q402">
        <v>256</v>
      </c>
    </row>
    <row r="403" spans="1:17">
      <c r="A403" t="s">
        <v>97</v>
      </c>
      <c r="B403" t="s">
        <v>9</v>
      </c>
      <c r="C403">
        <v>31</v>
      </c>
      <c r="D403" t="s">
        <v>99</v>
      </c>
      <c r="E403">
        <v>3056</v>
      </c>
      <c r="K403" t="str" cm="1">
        <f t="array" aca="1" ref="K403" ca="1">INDIRECT(_xlfn.CONCAT("A",$Q403))</f>
        <v>connection_phase</v>
      </c>
      <c r="L403" t="str" cm="1">
        <f t="array" aca="1" ref="L403" ca="1">INDIRECT(_xlfn.CONCAT("B",$Q403))</f>
        <v>SPVA</v>
      </c>
      <c r="M403" cm="1">
        <f t="array" aca="1" ref="M403" ca="1">INDIRECT(_xlfn.CONCAT("C",$Q403))</f>
        <v>2</v>
      </c>
      <c r="N403" t="str" cm="1">
        <f t="array" aca="1" ref="N403" ca="1">INDIRECT(_xlfn.CONCAT("D",$Q403))</f>
        <v>total</v>
      </c>
      <c r="O403" cm="1">
        <f t="array" aca="1" ref="O403" ca="1">INDIRECT(_xlfn.CONCAT("E",$Q403))</f>
        <v>14087</v>
      </c>
      <c r="Q403">
        <v>261</v>
      </c>
    </row>
    <row r="404" spans="1:17">
      <c r="A404" t="s">
        <v>97</v>
      </c>
      <c r="B404" t="s">
        <v>9</v>
      </c>
      <c r="C404">
        <v>31</v>
      </c>
      <c r="D404" t="s">
        <v>100</v>
      </c>
      <c r="E404">
        <v>412</v>
      </c>
      <c r="K404" t="str" cm="1">
        <f t="array" aca="1" ref="K404" ca="1">INDIRECT(_xlfn.CONCAT("A",$Q404))</f>
        <v>connection_phase</v>
      </c>
      <c r="L404" t="str" cm="1">
        <f t="array" aca="1" ref="L404" ca="1">INDIRECT(_xlfn.CONCAT("B",$Q404))</f>
        <v>SPVA</v>
      </c>
      <c r="M404" cm="1">
        <f t="array" aca="1" ref="M404" ca="1">INDIRECT(_xlfn.CONCAT("C",$Q404))</f>
        <v>3</v>
      </c>
      <c r="N404" t="str" cm="1">
        <f t="array" aca="1" ref="N404" ca="1">INDIRECT(_xlfn.CONCAT("D",$Q404))</f>
        <v>total</v>
      </c>
      <c r="O404" cm="1">
        <f t="array" aca="1" ref="O404" ca="1">INDIRECT(_xlfn.CONCAT("E",$Q404))</f>
        <v>8894</v>
      </c>
      <c r="Q404">
        <v>266</v>
      </c>
    </row>
    <row r="405" spans="1:17">
      <c r="A405" t="s">
        <v>97</v>
      </c>
      <c r="B405" t="s">
        <v>9</v>
      </c>
      <c r="C405">
        <v>31</v>
      </c>
      <c r="D405" t="s">
        <v>101</v>
      </c>
      <c r="E405">
        <v>458</v>
      </c>
      <c r="K405" t="str" cm="1">
        <f t="array" aca="1" ref="K405" ca="1">INDIRECT(_xlfn.CONCAT("A",$Q405))</f>
        <v>connection_phase</v>
      </c>
      <c r="L405" t="str" cm="1">
        <f t="array" aca="1" ref="L405" ca="1">INDIRECT(_xlfn.CONCAT("B",$Q405))</f>
        <v>SPVA</v>
      </c>
      <c r="M405" cm="1">
        <f t="array" aca="1" ref="M405" ca="1">INDIRECT(_xlfn.CONCAT("C",$Q405))</f>
        <v>4</v>
      </c>
      <c r="N405" t="str" cm="1">
        <f t="array" aca="1" ref="N405" ca="1">INDIRECT(_xlfn.CONCAT("D",$Q405))</f>
        <v>total</v>
      </c>
      <c r="O405" cm="1">
        <f t="array" aca="1" ref="O405" ca="1">INDIRECT(_xlfn.CONCAT("E",$Q405))</f>
        <v>4968</v>
      </c>
      <c r="Q405">
        <v>271</v>
      </c>
    </row>
    <row r="406" spans="1:17">
      <c r="A406" t="s">
        <v>97</v>
      </c>
      <c r="B406" t="s">
        <v>9</v>
      </c>
      <c r="C406">
        <v>31</v>
      </c>
      <c r="D406" t="s">
        <v>102</v>
      </c>
      <c r="E406">
        <v>5020</v>
      </c>
      <c r="K406" t="str" cm="1">
        <f t="array" aca="1" ref="K406" ca="1">INDIRECT(_xlfn.CONCAT("A",$Q406))</f>
        <v>connection_phase</v>
      </c>
      <c r="L406" t="str" cm="1">
        <f t="array" aca="1" ref="L406" ca="1">INDIRECT(_xlfn.CONCAT("B",$Q406))</f>
        <v>SPVA</v>
      </c>
      <c r="M406" cm="1">
        <f t="array" aca="1" ref="M406" ca="1">INDIRECT(_xlfn.CONCAT("C",$Q406))</f>
        <v>5</v>
      </c>
      <c r="N406" t="str" cm="1">
        <f t="array" aca="1" ref="N406" ca="1">INDIRECT(_xlfn.CONCAT("D",$Q406))</f>
        <v>total</v>
      </c>
      <c r="O406" cm="1">
        <f t="array" aca="1" ref="O406" ca="1">INDIRECT(_xlfn.CONCAT("E",$Q406))</f>
        <v>5374</v>
      </c>
      <c r="Q406">
        <v>276</v>
      </c>
    </row>
    <row r="407" spans="1:17">
      <c r="A407" t="s">
        <v>97</v>
      </c>
      <c r="B407" t="s">
        <v>9</v>
      </c>
      <c r="C407">
        <v>32</v>
      </c>
      <c r="D407" t="s">
        <v>98</v>
      </c>
      <c r="E407">
        <v>1903</v>
      </c>
      <c r="K407" t="str" cm="1">
        <f t="array" aca="1" ref="K407" ca="1">INDIRECT(_xlfn.CONCAT("A",$Q407))</f>
        <v>connection_phase</v>
      </c>
      <c r="L407" t="str" cm="1">
        <f t="array" aca="1" ref="L407" ca="1">INDIRECT(_xlfn.CONCAT("B",$Q407))</f>
        <v>SPVA</v>
      </c>
      <c r="M407" cm="1">
        <f t="array" aca="1" ref="M407" ca="1">INDIRECT(_xlfn.CONCAT("C",$Q407))</f>
        <v>6</v>
      </c>
      <c r="N407" t="str" cm="1">
        <f t="array" aca="1" ref="N407" ca="1">INDIRECT(_xlfn.CONCAT("D",$Q407))</f>
        <v>total</v>
      </c>
      <c r="O407" cm="1">
        <f t="array" aca="1" ref="O407" ca="1">INDIRECT(_xlfn.CONCAT("E",$Q407))</f>
        <v>6044</v>
      </c>
      <c r="Q407">
        <v>281</v>
      </c>
    </row>
    <row r="408" spans="1:17">
      <c r="A408" t="s">
        <v>97</v>
      </c>
      <c r="B408" t="s">
        <v>9</v>
      </c>
      <c r="C408">
        <v>32</v>
      </c>
      <c r="D408" t="s">
        <v>99</v>
      </c>
      <c r="E408">
        <v>5928</v>
      </c>
      <c r="K408" t="str" cm="1">
        <f t="array" aca="1" ref="K408" ca="1">INDIRECT(_xlfn.CONCAT("A",$Q408))</f>
        <v>connection_phase</v>
      </c>
      <c r="L408" t="str" cm="1">
        <f t="array" aca="1" ref="L408" ca="1">INDIRECT(_xlfn.CONCAT("B",$Q408))</f>
        <v>SPVA</v>
      </c>
      <c r="M408" cm="1">
        <f t="array" aca="1" ref="M408" ca="1">INDIRECT(_xlfn.CONCAT("C",$Q408))</f>
        <v>7</v>
      </c>
      <c r="N408" t="str" cm="1">
        <f t="array" aca="1" ref="N408" ca="1">INDIRECT(_xlfn.CONCAT("D",$Q408))</f>
        <v>total</v>
      </c>
      <c r="O408" cm="1">
        <f t="array" aca="1" ref="O408" ca="1">INDIRECT(_xlfn.CONCAT("E",$Q408))</f>
        <v>7567</v>
      </c>
      <c r="Q408">
        <v>286</v>
      </c>
    </row>
    <row r="409" spans="1:17">
      <c r="A409" t="s">
        <v>97</v>
      </c>
      <c r="B409" t="s">
        <v>9</v>
      </c>
      <c r="C409">
        <v>32</v>
      </c>
      <c r="D409" t="s">
        <v>100</v>
      </c>
      <c r="E409">
        <v>373</v>
      </c>
      <c r="K409" t="str" cm="1">
        <f t="array" aca="1" ref="K409" ca="1">INDIRECT(_xlfn.CONCAT("A",$Q409))</f>
        <v>connection_phase</v>
      </c>
      <c r="L409" t="str" cm="1">
        <f t="array" aca="1" ref="L409" ca="1">INDIRECT(_xlfn.CONCAT("B",$Q409))</f>
        <v>SPVA</v>
      </c>
      <c r="M409" cm="1">
        <f t="array" aca="1" ref="M409" ca="1">INDIRECT(_xlfn.CONCAT("C",$Q409))</f>
        <v>8</v>
      </c>
      <c r="N409" t="str" cm="1">
        <f t="array" aca="1" ref="N409" ca="1">INDIRECT(_xlfn.CONCAT("D",$Q409))</f>
        <v>total</v>
      </c>
      <c r="O409" cm="1">
        <f t="array" aca="1" ref="O409" ca="1">INDIRECT(_xlfn.CONCAT("E",$Q409))</f>
        <v>4867</v>
      </c>
      <c r="Q409">
        <v>291</v>
      </c>
    </row>
    <row r="410" spans="1:17">
      <c r="A410" t="s">
        <v>97</v>
      </c>
      <c r="B410" t="s">
        <v>9</v>
      </c>
      <c r="C410">
        <v>32</v>
      </c>
      <c r="D410" t="s">
        <v>101</v>
      </c>
      <c r="E410">
        <v>265</v>
      </c>
      <c r="K410" t="str" cm="1">
        <f t="array" aca="1" ref="K410" ca="1">INDIRECT(_xlfn.CONCAT("A",$Q410))</f>
        <v>connection_phase</v>
      </c>
      <c r="L410" t="str" cm="1">
        <f t="array" aca="1" ref="L410" ca="1">INDIRECT(_xlfn.CONCAT("B",$Q410))</f>
        <v>SPVA</v>
      </c>
      <c r="M410" cm="1">
        <f t="array" aca="1" ref="M410" ca="1">INDIRECT(_xlfn.CONCAT("C",$Q410))</f>
        <v>9</v>
      </c>
      <c r="N410" t="str" cm="1">
        <f t="array" aca="1" ref="N410" ca="1">INDIRECT(_xlfn.CONCAT("D",$Q410))</f>
        <v>total</v>
      </c>
      <c r="O410" cm="1">
        <f t="array" aca="1" ref="O410" ca="1">INDIRECT(_xlfn.CONCAT("E",$Q410))</f>
        <v>4922</v>
      </c>
      <c r="Q410">
        <v>296</v>
      </c>
    </row>
    <row r="411" spans="1:17">
      <c r="A411" t="s">
        <v>97</v>
      </c>
      <c r="B411" t="s">
        <v>9</v>
      </c>
      <c r="C411">
        <v>32</v>
      </c>
      <c r="D411" t="s">
        <v>102</v>
      </c>
      <c r="E411">
        <v>8469</v>
      </c>
      <c r="K411" t="str" cm="1">
        <f t="array" aca="1" ref="K411" ca="1">INDIRECT(_xlfn.CONCAT("A",$Q411))</f>
        <v>connection_phase</v>
      </c>
      <c r="L411" t="str" cm="1">
        <f t="array" aca="1" ref="L411" ca="1">INDIRECT(_xlfn.CONCAT("B",$Q411))</f>
        <v>SPVA</v>
      </c>
      <c r="M411" cm="1">
        <f t="array" aca="1" ref="M411" ca="1">INDIRECT(_xlfn.CONCAT("C",$Q411))</f>
        <v>10</v>
      </c>
      <c r="N411" t="str" cm="1">
        <f t="array" aca="1" ref="N411" ca="1">INDIRECT(_xlfn.CONCAT("D",$Q411))</f>
        <v>total</v>
      </c>
      <c r="O411" cm="1">
        <f t="array" aca="1" ref="O411" ca="1">INDIRECT(_xlfn.CONCAT("E",$Q411))</f>
        <v>8828</v>
      </c>
      <c r="Q411">
        <v>301</v>
      </c>
    </row>
    <row r="412" spans="1:17">
      <c r="A412" t="s">
        <v>97</v>
      </c>
      <c r="B412" t="s">
        <v>9</v>
      </c>
      <c r="C412">
        <v>33</v>
      </c>
      <c r="D412" t="s">
        <v>98</v>
      </c>
      <c r="E412">
        <v>2159</v>
      </c>
      <c r="K412" t="str" cm="1">
        <f t="array" aca="1" ref="K412" ca="1">INDIRECT(_xlfn.CONCAT("A",$Q412))</f>
        <v>connection_phase</v>
      </c>
      <c r="L412" t="str" cm="1">
        <f t="array" aca="1" ref="L412" ca="1">INDIRECT(_xlfn.CONCAT("B",$Q412))</f>
        <v>SPVA</v>
      </c>
      <c r="M412" cm="1">
        <f t="array" aca="1" ref="M412" ca="1">INDIRECT(_xlfn.CONCAT("C",$Q412))</f>
        <v>11</v>
      </c>
      <c r="N412" t="str" cm="1">
        <f t="array" aca="1" ref="N412" ca="1">INDIRECT(_xlfn.CONCAT("D",$Q412))</f>
        <v>total</v>
      </c>
      <c r="O412" cm="1">
        <f t="array" aca="1" ref="O412" ca="1">INDIRECT(_xlfn.CONCAT("E",$Q412))</f>
        <v>4709</v>
      </c>
      <c r="Q412">
        <v>306</v>
      </c>
    </row>
    <row r="413" spans="1:17">
      <c r="A413" t="s">
        <v>97</v>
      </c>
      <c r="B413" t="s">
        <v>9</v>
      </c>
      <c r="C413">
        <v>33</v>
      </c>
      <c r="D413" t="s">
        <v>99</v>
      </c>
      <c r="E413">
        <v>6175</v>
      </c>
      <c r="K413" t="str" cm="1">
        <f t="array" aca="1" ref="K413" ca="1">INDIRECT(_xlfn.CONCAT("A",$Q413))</f>
        <v>connection_phase</v>
      </c>
      <c r="L413" t="str" cm="1">
        <f t="array" aca="1" ref="L413" ca="1">INDIRECT(_xlfn.CONCAT("B",$Q413))</f>
        <v>SPVA</v>
      </c>
      <c r="M413" cm="1">
        <f t="array" aca="1" ref="M413" ca="1">INDIRECT(_xlfn.CONCAT("C",$Q413))</f>
        <v>12</v>
      </c>
      <c r="N413" t="str" cm="1">
        <f t="array" aca="1" ref="N413" ca="1">INDIRECT(_xlfn.CONCAT("D",$Q413))</f>
        <v>total</v>
      </c>
      <c r="O413" cm="1">
        <f t="array" aca="1" ref="O413" ca="1">INDIRECT(_xlfn.CONCAT("E",$Q413))</f>
        <v>4888</v>
      </c>
      <c r="Q413">
        <v>311</v>
      </c>
    </row>
    <row r="414" spans="1:17">
      <c r="A414" t="s">
        <v>97</v>
      </c>
      <c r="B414" t="s">
        <v>9</v>
      </c>
      <c r="C414">
        <v>33</v>
      </c>
      <c r="D414" t="s">
        <v>100</v>
      </c>
      <c r="E414">
        <v>370</v>
      </c>
      <c r="K414" t="str" cm="1">
        <f t="array" aca="1" ref="K414" ca="1">INDIRECT(_xlfn.CONCAT("A",$Q414))</f>
        <v>connection_phase</v>
      </c>
      <c r="L414" t="str" cm="1">
        <f t="array" aca="1" ref="L414" ca="1">INDIRECT(_xlfn.CONCAT("B",$Q414))</f>
        <v>SPVA</v>
      </c>
      <c r="M414" cm="1">
        <f t="array" aca="1" ref="M414" ca="1">INDIRECT(_xlfn.CONCAT("C",$Q414))</f>
        <v>13</v>
      </c>
      <c r="N414" t="str" cm="1">
        <f t="array" aca="1" ref="N414" ca="1">INDIRECT(_xlfn.CONCAT("D",$Q414))</f>
        <v>total</v>
      </c>
      <c r="O414" cm="1">
        <f t="array" aca="1" ref="O414" ca="1">INDIRECT(_xlfn.CONCAT("E",$Q414))</f>
        <v>16532</v>
      </c>
      <c r="Q414">
        <v>316</v>
      </c>
    </row>
    <row r="415" spans="1:17">
      <c r="A415" t="s">
        <v>97</v>
      </c>
      <c r="B415" t="s">
        <v>9</v>
      </c>
      <c r="C415">
        <v>33</v>
      </c>
      <c r="D415" t="s">
        <v>101</v>
      </c>
      <c r="E415">
        <v>286</v>
      </c>
      <c r="K415" t="str" cm="1">
        <f t="array" aca="1" ref="K415" ca="1">INDIRECT(_xlfn.CONCAT("A",$Q415))</f>
        <v>connection_phase</v>
      </c>
      <c r="L415" t="str" cm="1">
        <f t="array" aca="1" ref="L415" ca="1">INDIRECT(_xlfn.CONCAT("B",$Q415))</f>
        <v>SPVA</v>
      </c>
      <c r="M415" cm="1">
        <f t="array" aca="1" ref="M415" ca="1">INDIRECT(_xlfn.CONCAT("C",$Q415))</f>
        <v>14</v>
      </c>
      <c r="N415" t="str" cm="1">
        <f t="array" aca="1" ref="N415" ca="1">INDIRECT(_xlfn.CONCAT("D",$Q415))</f>
        <v>total</v>
      </c>
      <c r="O415" cm="1">
        <f t="array" aca="1" ref="O415" ca="1">INDIRECT(_xlfn.CONCAT("E",$Q415))</f>
        <v>4975</v>
      </c>
      <c r="Q415">
        <v>321</v>
      </c>
    </row>
    <row r="416" spans="1:17">
      <c r="A416" t="s">
        <v>97</v>
      </c>
      <c r="B416" t="s">
        <v>9</v>
      </c>
      <c r="C416">
        <v>33</v>
      </c>
      <c r="D416" t="s">
        <v>102</v>
      </c>
      <c r="E416">
        <v>8990</v>
      </c>
      <c r="K416" t="str" cm="1">
        <f t="array" aca="1" ref="K416" ca="1">INDIRECT(_xlfn.CONCAT("A",$Q416))</f>
        <v>connection_phase</v>
      </c>
      <c r="L416" t="str" cm="1">
        <f t="array" aca="1" ref="L416" ca="1">INDIRECT(_xlfn.CONCAT("B",$Q416))</f>
        <v>SPVA</v>
      </c>
      <c r="M416" cm="1">
        <f t="array" aca="1" ref="M416" ca="1">INDIRECT(_xlfn.CONCAT("C",$Q416))</f>
        <v>15</v>
      </c>
      <c r="N416" t="str" cm="1">
        <f t="array" aca="1" ref="N416" ca="1">INDIRECT(_xlfn.CONCAT("D",$Q416))</f>
        <v>total</v>
      </c>
      <c r="O416" cm="1">
        <f t="array" aca="1" ref="O416" ca="1">INDIRECT(_xlfn.CONCAT("E",$Q416))</f>
        <v>5909</v>
      </c>
      <c r="Q416">
        <v>326</v>
      </c>
    </row>
    <row r="417" spans="1:17">
      <c r="A417" t="s">
        <v>97</v>
      </c>
      <c r="B417" t="s">
        <v>9</v>
      </c>
      <c r="C417">
        <v>34</v>
      </c>
      <c r="D417" t="s">
        <v>98</v>
      </c>
      <c r="E417">
        <v>3031</v>
      </c>
      <c r="K417" t="str" cm="1">
        <f t="array" aca="1" ref="K417" ca="1">INDIRECT(_xlfn.CONCAT("A",$Q417))</f>
        <v>connection_phase</v>
      </c>
      <c r="L417" t="str" cm="1">
        <f t="array" aca="1" ref="L417" ca="1">INDIRECT(_xlfn.CONCAT("B",$Q417))</f>
        <v>SPVA</v>
      </c>
      <c r="M417" cm="1">
        <f t="array" aca="1" ref="M417" ca="1">INDIRECT(_xlfn.CONCAT("C",$Q417))</f>
        <v>16</v>
      </c>
      <c r="N417" t="str" cm="1">
        <f t="array" aca="1" ref="N417" ca="1">INDIRECT(_xlfn.CONCAT("D",$Q417))</f>
        <v>total</v>
      </c>
      <c r="O417" cm="1">
        <f t="array" aca="1" ref="O417" ca="1">INDIRECT(_xlfn.CONCAT("E",$Q417))</f>
        <v>6069</v>
      </c>
      <c r="Q417">
        <v>331</v>
      </c>
    </row>
    <row r="418" spans="1:17">
      <c r="A418" t="s">
        <v>97</v>
      </c>
      <c r="B418" t="s">
        <v>9</v>
      </c>
      <c r="C418">
        <v>34</v>
      </c>
      <c r="D418" t="s">
        <v>99</v>
      </c>
      <c r="E418">
        <v>12123</v>
      </c>
      <c r="K418" t="str" cm="1">
        <f t="array" aca="1" ref="K418" ca="1">INDIRECT(_xlfn.CONCAT("A",$Q418))</f>
        <v>connection_phase</v>
      </c>
      <c r="L418" t="str" cm="1">
        <f t="array" aca="1" ref="L418" ca="1">INDIRECT(_xlfn.CONCAT("B",$Q418))</f>
        <v>SPVA</v>
      </c>
      <c r="M418" cm="1">
        <f t="array" aca="1" ref="M418" ca="1">INDIRECT(_xlfn.CONCAT("C",$Q418))</f>
        <v>17</v>
      </c>
      <c r="N418" t="str" cm="1">
        <f t="array" aca="1" ref="N418" ca="1">INDIRECT(_xlfn.CONCAT("D",$Q418))</f>
        <v>total</v>
      </c>
      <c r="O418" cm="1">
        <f t="array" aca="1" ref="O418" ca="1">INDIRECT(_xlfn.CONCAT("E",$Q418))</f>
        <v>9799</v>
      </c>
      <c r="Q418">
        <v>336</v>
      </c>
    </row>
    <row r="419" spans="1:17">
      <c r="A419" t="s">
        <v>97</v>
      </c>
      <c r="B419" t="s">
        <v>9</v>
      </c>
      <c r="C419">
        <v>34</v>
      </c>
      <c r="D419" t="s">
        <v>100</v>
      </c>
      <c r="E419">
        <v>490</v>
      </c>
      <c r="K419" t="str" cm="1">
        <f t="array" aca="1" ref="K419" ca="1">INDIRECT(_xlfn.CONCAT("A",$Q419))</f>
        <v>connection_phase</v>
      </c>
      <c r="L419" t="str" cm="1">
        <f t="array" aca="1" ref="L419" ca="1">INDIRECT(_xlfn.CONCAT("B",$Q419))</f>
        <v>SPVA</v>
      </c>
      <c r="M419" cm="1">
        <f t="array" aca="1" ref="M419" ca="1">INDIRECT(_xlfn.CONCAT("C",$Q419))</f>
        <v>18</v>
      </c>
      <c r="N419" t="str" cm="1">
        <f t="array" aca="1" ref="N419" ca="1">INDIRECT(_xlfn.CONCAT("D",$Q419))</f>
        <v>total</v>
      </c>
      <c r="O419" cm="1">
        <f t="array" aca="1" ref="O419" ca="1">INDIRECT(_xlfn.CONCAT("E",$Q419))</f>
        <v>11018</v>
      </c>
      <c r="Q419">
        <v>341</v>
      </c>
    </row>
    <row r="420" spans="1:17">
      <c r="A420" t="s">
        <v>97</v>
      </c>
      <c r="B420" t="s">
        <v>9</v>
      </c>
      <c r="C420">
        <v>34</v>
      </c>
      <c r="D420" t="s">
        <v>101</v>
      </c>
      <c r="E420">
        <v>321</v>
      </c>
      <c r="K420" t="str" cm="1">
        <f t="array" aca="1" ref="K420" ca="1">INDIRECT(_xlfn.CONCAT("A",$Q420))</f>
        <v>connection_phase</v>
      </c>
      <c r="L420" t="str" cm="1">
        <f t="array" aca="1" ref="L420" ca="1">INDIRECT(_xlfn.CONCAT("B",$Q420))</f>
        <v>SPVA</v>
      </c>
      <c r="M420" cm="1">
        <f t="array" aca="1" ref="M420" ca="1">INDIRECT(_xlfn.CONCAT("C",$Q420))</f>
        <v>19</v>
      </c>
      <c r="N420" t="str" cm="1">
        <f t="array" aca="1" ref="N420" ca="1">INDIRECT(_xlfn.CONCAT("D",$Q420))</f>
        <v>total</v>
      </c>
      <c r="O420" cm="1">
        <f t="array" aca="1" ref="O420" ca="1">INDIRECT(_xlfn.CONCAT("E",$Q420))</f>
        <v>4942</v>
      </c>
      <c r="Q420">
        <v>346</v>
      </c>
    </row>
    <row r="421" spans="1:17">
      <c r="A421" t="s">
        <v>97</v>
      </c>
      <c r="B421" t="s">
        <v>9</v>
      </c>
      <c r="C421">
        <v>34</v>
      </c>
      <c r="D421" t="s">
        <v>102</v>
      </c>
      <c r="E421">
        <v>15965</v>
      </c>
      <c r="K421" t="str" cm="1">
        <f t="array" aca="1" ref="K421" ca="1">INDIRECT(_xlfn.CONCAT("A",$Q421))</f>
        <v>connection_phase</v>
      </c>
      <c r="L421" t="str" cm="1">
        <f t="array" aca="1" ref="L421" ca="1">INDIRECT(_xlfn.CONCAT("B",$Q421))</f>
        <v>SPVA</v>
      </c>
      <c r="M421" cm="1">
        <f t="array" aca="1" ref="M421" ca="1">INDIRECT(_xlfn.CONCAT("C",$Q421))</f>
        <v>20</v>
      </c>
      <c r="N421" t="str" cm="1">
        <f t="array" aca="1" ref="N421" ca="1">INDIRECT(_xlfn.CONCAT("D",$Q421))</f>
        <v>total</v>
      </c>
      <c r="O421" cm="1">
        <f t="array" aca="1" ref="O421" ca="1">INDIRECT(_xlfn.CONCAT("E",$Q421))</f>
        <v>4717</v>
      </c>
      <c r="Q421">
        <v>351</v>
      </c>
    </row>
    <row r="422" spans="1:17">
      <c r="A422" t="s">
        <v>97</v>
      </c>
      <c r="B422" t="s">
        <v>9</v>
      </c>
      <c r="C422">
        <v>35</v>
      </c>
      <c r="D422" t="s">
        <v>98</v>
      </c>
      <c r="E422">
        <v>1702</v>
      </c>
      <c r="K422" t="str" cm="1">
        <f t="array" aca="1" ref="K422" ca="1">INDIRECT(_xlfn.CONCAT("A",$Q422))</f>
        <v>connection_phase</v>
      </c>
      <c r="L422" t="str" cm="1">
        <f t="array" aca="1" ref="L422" ca="1">INDIRECT(_xlfn.CONCAT("B",$Q422))</f>
        <v>SPVA</v>
      </c>
      <c r="M422" cm="1">
        <f t="array" aca="1" ref="M422" ca="1">INDIRECT(_xlfn.CONCAT("C",$Q422))</f>
        <v>21</v>
      </c>
      <c r="N422" t="str" cm="1">
        <f t="array" aca="1" ref="N422" ca="1">INDIRECT(_xlfn.CONCAT("D",$Q422))</f>
        <v>total</v>
      </c>
      <c r="O422" cm="1">
        <f t="array" aca="1" ref="O422" ca="1">INDIRECT(_xlfn.CONCAT("E",$Q422))</f>
        <v>10064</v>
      </c>
      <c r="Q422">
        <v>356</v>
      </c>
    </row>
    <row r="423" spans="1:17">
      <c r="A423" t="s">
        <v>97</v>
      </c>
      <c r="B423" t="s">
        <v>9</v>
      </c>
      <c r="C423">
        <v>35</v>
      </c>
      <c r="D423" t="s">
        <v>99</v>
      </c>
      <c r="E423">
        <v>6055</v>
      </c>
      <c r="K423" t="str" cm="1">
        <f t="array" aca="1" ref="K423" ca="1">INDIRECT(_xlfn.CONCAT("A",$Q423))</f>
        <v>connection_phase</v>
      </c>
      <c r="L423" t="str" cm="1">
        <f t="array" aca="1" ref="L423" ca="1">INDIRECT(_xlfn.CONCAT("B",$Q423))</f>
        <v>SPVA</v>
      </c>
      <c r="M423" cm="1">
        <f t="array" aca="1" ref="M423" ca="1">INDIRECT(_xlfn.CONCAT("C",$Q423))</f>
        <v>22</v>
      </c>
      <c r="N423" t="str" cm="1">
        <f t="array" aca="1" ref="N423" ca="1">INDIRECT(_xlfn.CONCAT("D",$Q423))</f>
        <v>total</v>
      </c>
      <c r="O423" cm="1">
        <f t="array" aca="1" ref="O423" ca="1">INDIRECT(_xlfn.CONCAT("E",$Q423))</f>
        <v>11934</v>
      </c>
      <c r="Q423">
        <v>361</v>
      </c>
    </row>
    <row r="424" spans="1:17">
      <c r="A424" t="s">
        <v>97</v>
      </c>
      <c r="B424" t="s">
        <v>9</v>
      </c>
      <c r="C424">
        <v>35</v>
      </c>
      <c r="D424" t="s">
        <v>100</v>
      </c>
      <c r="E424">
        <v>348</v>
      </c>
      <c r="K424" t="str" cm="1">
        <f t="array" aca="1" ref="K424" ca="1">INDIRECT(_xlfn.CONCAT("A",$Q424))</f>
        <v>connection_phase</v>
      </c>
      <c r="L424" t="str" cm="1">
        <f t="array" aca="1" ref="L424" ca="1">INDIRECT(_xlfn.CONCAT("B",$Q424))</f>
        <v>SPVA</v>
      </c>
      <c r="M424" cm="1">
        <f t="array" aca="1" ref="M424" ca="1">INDIRECT(_xlfn.CONCAT("C",$Q424))</f>
        <v>23</v>
      </c>
      <c r="N424" t="str" cm="1">
        <f t="array" aca="1" ref="N424" ca="1">INDIRECT(_xlfn.CONCAT("D",$Q424))</f>
        <v>total</v>
      </c>
      <c r="O424" cm="1">
        <f t="array" aca="1" ref="O424" ca="1">INDIRECT(_xlfn.CONCAT("E",$Q424))</f>
        <v>5048</v>
      </c>
      <c r="Q424">
        <v>366</v>
      </c>
    </row>
    <row r="425" spans="1:17">
      <c r="A425" t="s">
        <v>97</v>
      </c>
      <c r="B425" t="s">
        <v>9</v>
      </c>
      <c r="C425">
        <v>35</v>
      </c>
      <c r="D425" t="s">
        <v>101</v>
      </c>
      <c r="E425">
        <v>469</v>
      </c>
      <c r="K425" t="str" cm="1">
        <f t="array" aca="1" ref="K425" ca="1">INDIRECT(_xlfn.CONCAT("A",$Q425))</f>
        <v>connection_phase</v>
      </c>
      <c r="L425" t="str" cm="1">
        <f t="array" aca="1" ref="L425" ca="1">INDIRECT(_xlfn.CONCAT("B",$Q425))</f>
        <v>SPVA</v>
      </c>
      <c r="M425" cm="1">
        <f t="array" aca="1" ref="M425" ca="1">INDIRECT(_xlfn.CONCAT("C",$Q425))</f>
        <v>24</v>
      </c>
      <c r="N425" t="str" cm="1">
        <f t="array" aca="1" ref="N425" ca="1">INDIRECT(_xlfn.CONCAT("D",$Q425))</f>
        <v>total</v>
      </c>
      <c r="O425" cm="1">
        <f t="array" aca="1" ref="O425" ca="1">INDIRECT(_xlfn.CONCAT("E",$Q425))</f>
        <v>11454</v>
      </c>
      <c r="Q425">
        <v>371</v>
      </c>
    </row>
    <row r="426" spans="1:17">
      <c r="A426" t="s">
        <v>97</v>
      </c>
      <c r="B426" t="s">
        <v>9</v>
      </c>
      <c r="C426">
        <v>35</v>
      </c>
      <c r="D426" t="s">
        <v>102</v>
      </c>
      <c r="E426">
        <v>8574</v>
      </c>
      <c r="K426" t="str" cm="1">
        <f t="array" aca="1" ref="K426" ca="1">INDIRECT(_xlfn.CONCAT("A",$Q426))</f>
        <v>connection_phase</v>
      </c>
      <c r="L426" t="str" cm="1">
        <f t="array" aca="1" ref="L426" ca="1">INDIRECT(_xlfn.CONCAT("B",$Q426))</f>
        <v>SPVA</v>
      </c>
      <c r="M426" cm="1">
        <f t="array" aca="1" ref="M426" ca="1">INDIRECT(_xlfn.CONCAT("C",$Q426))</f>
        <v>25</v>
      </c>
      <c r="N426" t="str" cm="1">
        <f t="array" aca="1" ref="N426" ca="1">INDIRECT(_xlfn.CONCAT("D",$Q426))</f>
        <v>total</v>
      </c>
      <c r="O426" cm="1">
        <f t="array" aca="1" ref="O426" ca="1">INDIRECT(_xlfn.CONCAT("E",$Q426))</f>
        <v>8537</v>
      </c>
      <c r="Q426">
        <v>376</v>
      </c>
    </row>
    <row r="427" spans="1:17">
      <c r="A427" t="s">
        <v>97</v>
      </c>
      <c r="B427" t="s">
        <v>9</v>
      </c>
      <c r="C427">
        <v>36</v>
      </c>
      <c r="D427" t="s">
        <v>98</v>
      </c>
      <c r="E427">
        <v>973</v>
      </c>
      <c r="K427" t="str" cm="1">
        <f t="array" aca="1" ref="K427" ca="1">INDIRECT(_xlfn.CONCAT("A",$Q427))</f>
        <v>connection_phase</v>
      </c>
      <c r="L427" t="str" cm="1">
        <f t="array" aca="1" ref="L427" ca="1">INDIRECT(_xlfn.CONCAT("B",$Q427))</f>
        <v>SPVA</v>
      </c>
      <c r="M427" cm="1">
        <f t="array" aca="1" ref="M427" ca="1">INDIRECT(_xlfn.CONCAT("C",$Q427))</f>
        <v>26</v>
      </c>
      <c r="N427" t="str" cm="1">
        <f t="array" aca="1" ref="N427" ca="1">INDIRECT(_xlfn.CONCAT("D",$Q427))</f>
        <v>total</v>
      </c>
      <c r="O427" cm="1">
        <f t="array" aca="1" ref="O427" ca="1">INDIRECT(_xlfn.CONCAT("E",$Q427))</f>
        <v>10291</v>
      </c>
      <c r="Q427">
        <v>381</v>
      </c>
    </row>
    <row r="428" spans="1:17">
      <c r="A428" t="s">
        <v>97</v>
      </c>
      <c r="B428" t="s">
        <v>9</v>
      </c>
      <c r="C428">
        <v>36</v>
      </c>
      <c r="D428" t="s">
        <v>99</v>
      </c>
      <c r="E428">
        <v>2922</v>
      </c>
      <c r="K428" t="str" cm="1">
        <f t="array" aca="1" ref="K428" ca="1">INDIRECT(_xlfn.CONCAT("A",$Q428))</f>
        <v>connection_phase</v>
      </c>
      <c r="L428" t="str" cm="1">
        <f t="array" aca="1" ref="L428" ca="1">INDIRECT(_xlfn.CONCAT("B",$Q428))</f>
        <v>SPVA</v>
      </c>
      <c r="M428" cm="1">
        <f t="array" aca="1" ref="M428" ca="1">INDIRECT(_xlfn.CONCAT("C",$Q428))</f>
        <v>27</v>
      </c>
      <c r="N428" t="str" cm="1">
        <f t="array" aca="1" ref="N428" ca="1">INDIRECT(_xlfn.CONCAT("D",$Q428))</f>
        <v>total</v>
      </c>
      <c r="O428" cm="1">
        <f t="array" aca="1" ref="O428" ca="1">INDIRECT(_xlfn.CONCAT("E",$Q428))</f>
        <v>4981</v>
      </c>
      <c r="Q428">
        <v>386</v>
      </c>
    </row>
    <row r="429" spans="1:17">
      <c r="A429" t="s">
        <v>97</v>
      </c>
      <c r="B429" t="s">
        <v>9</v>
      </c>
      <c r="C429">
        <v>36</v>
      </c>
      <c r="D429" t="s">
        <v>100</v>
      </c>
      <c r="E429">
        <v>645</v>
      </c>
      <c r="K429" t="str" cm="1">
        <f t="array" aca="1" ref="K429" ca="1">INDIRECT(_xlfn.CONCAT("A",$Q429))</f>
        <v>connection_phase</v>
      </c>
      <c r="L429" t="str" cm="1">
        <f t="array" aca="1" ref="L429" ca="1">INDIRECT(_xlfn.CONCAT("B",$Q429))</f>
        <v>SPVA</v>
      </c>
      <c r="M429" cm="1">
        <f t="array" aca="1" ref="M429" ca="1">INDIRECT(_xlfn.CONCAT("C",$Q429))</f>
        <v>28</v>
      </c>
      <c r="N429" t="str" cm="1">
        <f t="array" aca="1" ref="N429" ca="1">INDIRECT(_xlfn.CONCAT("D",$Q429))</f>
        <v>total</v>
      </c>
      <c r="O429" cm="1">
        <f t="array" aca="1" ref="O429" ca="1">INDIRECT(_xlfn.CONCAT("E",$Q429))</f>
        <v>8970</v>
      </c>
      <c r="Q429">
        <v>391</v>
      </c>
    </row>
    <row r="430" spans="1:17">
      <c r="A430" t="s">
        <v>97</v>
      </c>
      <c r="B430" t="s">
        <v>9</v>
      </c>
      <c r="C430">
        <v>36</v>
      </c>
      <c r="D430" t="s">
        <v>101</v>
      </c>
      <c r="E430">
        <v>384</v>
      </c>
      <c r="K430" t="str" cm="1">
        <f t="array" aca="1" ref="K430" ca="1">INDIRECT(_xlfn.CONCAT("A",$Q430))</f>
        <v>connection_phase</v>
      </c>
      <c r="L430" t="str" cm="1">
        <f t="array" aca="1" ref="L430" ca="1">INDIRECT(_xlfn.CONCAT("B",$Q430))</f>
        <v>SPVA</v>
      </c>
      <c r="M430" cm="1">
        <f t="array" aca="1" ref="M430" ca="1">INDIRECT(_xlfn.CONCAT("C",$Q430))</f>
        <v>29</v>
      </c>
      <c r="N430" t="str" cm="1">
        <f t="array" aca="1" ref="N430" ca="1">INDIRECT(_xlfn.CONCAT("D",$Q430))</f>
        <v>total</v>
      </c>
      <c r="O430" cm="1">
        <f t="array" aca="1" ref="O430" ca="1">INDIRECT(_xlfn.CONCAT("E",$Q430))</f>
        <v>6487</v>
      </c>
      <c r="Q430">
        <v>396</v>
      </c>
    </row>
    <row r="431" spans="1:17">
      <c r="A431" t="s">
        <v>97</v>
      </c>
      <c r="B431" t="s">
        <v>9</v>
      </c>
      <c r="C431">
        <v>36</v>
      </c>
      <c r="D431" t="s">
        <v>102</v>
      </c>
      <c r="E431">
        <v>4924</v>
      </c>
      <c r="K431" t="str" cm="1">
        <f t="array" aca="1" ref="K431" ca="1">INDIRECT(_xlfn.CONCAT("A",$Q431))</f>
        <v>connection_phase</v>
      </c>
      <c r="L431" t="str" cm="1">
        <f t="array" aca="1" ref="L431" ca="1">INDIRECT(_xlfn.CONCAT("B",$Q431))</f>
        <v>SPVA</v>
      </c>
      <c r="M431" cm="1">
        <f t="array" aca="1" ref="M431" ca="1">INDIRECT(_xlfn.CONCAT("C",$Q431))</f>
        <v>30</v>
      </c>
      <c r="N431" t="str" cm="1">
        <f t="array" aca="1" ref="N431" ca="1">INDIRECT(_xlfn.CONCAT("D",$Q431))</f>
        <v>total</v>
      </c>
      <c r="O431" cm="1">
        <f t="array" aca="1" ref="O431" ca="1">INDIRECT(_xlfn.CONCAT("E",$Q431))</f>
        <v>8414</v>
      </c>
      <c r="Q431">
        <v>401</v>
      </c>
    </row>
    <row r="432" spans="1:17">
      <c r="A432" t="s">
        <v>97</v>
      </c>
      <c r="B432" t="s">
        <v>9</v>
      </c>
      <c r="C432">
        <v>37</v>
      </c>
      <c r="D432" t="s">
        <v>98</v>
      </c>
      <c r="E432">
        <v>3658</v>
      </c>
      <c r="K432" t="str" cm="1">
        <f t="array" aca="1" ref="K432" ca="1">INDIRECT(_xlfn.CONCAT("A",$Q432))</f>
        <v>connection_phase</v>
      </c>
      <c r="L432" t="str" cm="1">
        <f t="array" aca="1" ref="L432" ca="1">INDIRECT(_xlfn.CONCAT("B",$Q432))</f>
        <v>SPVA</v>
      </c>
      <c r="M432" cm="1">
        <f t="array" aca="1" ref="M432" ca="1">INDIRECT(_xlfn.CONCAT("C",$Q432))</f>
        <v>31</v>
      </c>
      <c r="N432" t="str" cm="1">
        <f t="array" aca="1" ref="N432" ca="1">INDIRECT(_xlfn.CONCAT("D",$Q432))</f>
        <v>total</v>
      </c>
      <c r="O432" cm="1">
        <f t="array" aca="1" ref="O432" ca="1">INDIRECT(_xlfn.CONCAT("E",$Q432))</f>
        <v>5020</v>
      </c>
      <c r="Q432">
        <v>406</v>
      </c>
    </row>
    <row r="433" spans="1:17">
      <c r="A433" t="s">
        <v>97</v>
      </c>
      <c r="B433" t="s">
        <v>9</v>
      </c>
      <c r="C433">
        <v>37</v>
      </c>
      <c r="D433" t="s">
        <v>99</v>
      </c>
      <c r="E433">
        <v>7594</v>
      </c>
      <c r="K433" t="str" cm="1">
        <f t="array" aca="1" ref="K433" ca="1">INDIRECT(_xlfn.CONCAT("A",$Q433))</f>
        <v>connection_phase</v>
      </c>
      <c r="L433" t="str" cm="1">
        <f t="array" aca="1" ref="L433" ca="1">INDIRECT(_xlfn.CONCAT("B",$Q433))</f>
        <v>SPVA</v>
      </c>
      <c r="M433" cm="1">
        <f t="array" aca="1" ref="M433" ca="1">INDIRECT(_xlfn.CONCAT("C",$Q433))</f>
        <v>32</v>
      </c>
      <c r="N433" t="str" cm="1">
        <f t="array" aca="1" ref="N433" ca="1">INDIRECT(_xlfn.CONCAT("D",$Q433))</f>
        <v>total</v>
      </c>
      <c r="O433" cm="1">
        <f t="array" aca="1" ref="O433" ca="1">INDIRECT(_xlfn.CONCAT("E",$Q433))</f>
        <v>8469</v>
      </c>
      <c r="Q433">
        <v>411</v>
      </c>
    </row>
    <row r="434" spans="1:17">
      <c r="A434" t="s">
        <v>97</v>
      </c>
      <c r="B434" t="s">
        <v>9</v>
      </c>
      <c r="C434">
        <v>37</v>
      </c>
      <c r="D434" t="s">
        <v>100</v>
      </c>
      <c r="E434">
        <v>398</v>
      </c>
      <c r="K434" t="str" cm="1">
        <f t="array" aca="1" ref="K434" ca="1">INDIRECT(_xlfn.CONCAT("A",$Q434))</f>
        <v>connection_phase</v>
      </c>
      <c r="L434" t="str" cm="1">
        <f t="array" aca="1" ref="L434" ca="1">INDIRECT(_xlfn.CONCAT("B",$Q434))</f>
        <v>SPVA</v>
      </c>
      <c r="M434" cm="1">
        <f t="array" aca="1" ref="M434" ca="1">INDIRECT(_xlfn.CONCAT("C",$Q434))</f>
        <v>33</v>
      </c>
      <c r="N434" t="str" cm="1">
        <f t="array" aca="1" ref="N434" ca="1">INDIRECT(_xlfn.CONCAT("D",$Q434))</f>
        <v>total</v>
      </c>
      <c r="O434" cm="1">
        <f t="array" aca="1" ref="O434" ca="1">INDIRECT(_xlfn.CONCAT("E",$Q434))</f>
        <v>8990</v>
      </c>
      <c r="Q434">
        <v>416</v>
      </c>
    </row>
    <row r="435" spans="1:17">
      <c r="A435" t="s">
        <v>97</v>
      </c>
      <c r="B435" t="s">
        <v>9</v>
      </c>
      <c r="C435">
        <v>37</v>
      </c>
      <c r="D435" t="s">
        <v>101</v>
      </c>
      <c r="E435">
        <v>302</v>
      </c>
      <c r="K435" t="str" cm="1">
        <f t="array" aca="1" ref="K435" ca="1">INDIRECT(_xlfn.CONCAT("A",$Q435))</f>
        <v>connection_phase</v>
      </c>
      <c r="L435" t="str" cm="1">
        <f t="array" aca="1" ref="L435" ca="1">INDIRECT(_xlfn.CONCAT("B",$Q435))</f>
        <v>SPVA</v>
      </c>
      <c r="M435" cm="1">
        <f t="array" aca="1" ref="M435" ca="1">INDIRECT(_xlfn.CONCAT("C",$Q435))</f>
        <v>34</v>
      </c>
      <c r="N435" t="str" cm="1">
        <f t="array" aca="1" ref="N435" ca="1">INDIRECT(_xlfn.CONCAT("D",$Q435))</f>
        <v>total</v>
      </c>
      <c r="O435" cm="1">
        <f t="array" aca="1" ref="O435" ca="1">INDIRECT(_xlfn.CONCAT("E",$Q435))</f>
        <v>15965</v>
      </c>
      <c r="Q435">
        <v>421</v>
      </c>
    </row>
    <row r="436" spans="1:17">
      <c r="A436" t="s">
        <v>97</v>
      </c>
      <c r="B436" t="s">
        <v>9</v>
      </c>
      <c r="C436">
        <v>37</v>
      </c>
      <c r="D436" t="s">
        <v>102</v>
      </c>
      <c r="E436">
        <v>11952</v>
      </c>
      <c r="K436" t="str" cm="1">
        <f t="array" aca="1" ref="K436" ca="1">INDIRECT(_xlfn.CONCAT("A",$Q436))</f>
        <v>connection_phase</v>
      </c>
      <c r="L436" t="str" cm="1">
        <f t="array" aca="1" ref="L436" ca="1">INDIRECT(_xlfn.CONCAT("B",$Q436))</f>
        <v>SPVA</v>
      </c>
      <c r="M436" cm="1">
        <f t="array" aca="1" ref="M436" ca="1">INDIRECT(_xlfn.CONCAT("C",$Q436))</f>
        <v>35</v>
      </c>
      <c r="N436" t="str" cm="1">
        <f t="array" aca="1" ref="N436" ca="1">INDIRECT(_xlfn.CONCAT("D",$Q436))</f>
        <v>total</v>
      </c>
      <c r="O436" cm="1">
        <f t="array" aca="1" ref="O436" ca="1">INDIRECT(_xlfn.CONCAT("E",$Q436))</f>
        <v>8574</v>
      </c>
      <c r="Q436">
        <v>426</v>
      </c>
    </row>
    <row r="437" spans="1:17">
      <c r="A437" t="s">
        <v>97</v>
      </c>
      <c r="B437" t="s">
        <v>9</v>
      </c>
      <c r="C437">
        <v>38</v>
      </c>
      <c r="D437" t="s">
        <v>98</v>
      </c>
      <c r="E437">
        <v>3667</v>
      </c>
      <c r="K437" t="str" cm="1">
        <f t="array" aca="1" ref="K437" ca="1">INDIRECT(_xlfn.CONCAT("A",$Q437))</f>
        <v>connection_phase</v>
      </c>
      <c r="L437" t="str" cm="1">
        <f t="array" aca="1" ref="L437" ca="1">INDIRECT(_xlfn.CONCAT("B",$Q437))</f>
        <v>SPVA</v>
      </c>
      <c r="M437" cm="1">
        <f t="array" aca="1" ref="M437" ca="1">INDIRECT(_xlfn.CONCAT("C",$Q437))</f>
        <v>36</v>
      </c>
      <c r="N437" t="str" cm="1">
        <f t="array" aca="1" ref="N437" ca="1">INDIRECT(_xlfn.CONCAT("D",$Q437))</f>
        <v>total</v>
      </c>
      <c r="O437" cm="1">
        <f t="array" aca="1" ref="O437" ca="1">INDIRECT(_xlfn.CONCAT("E",$Q437))</f>
        <v>4924</v>
      </c>
      <c r="Q437">
        <v>431</v>
      </c>
    </row>
    <row r="438" spans="1:17">
      <c r="A438" t="s">
        <v>97</v>
      </c>
      <c r="B438" t="s">
        <v>9</v>
      </c>
      <c r="C438">
        <v>38</v>
      </c>
      <c r="D438" t="s">
        <v>99</v>
      </c>
      <c r="E438">
        <v>3163</v>
      </c>
      <c r="K438" t="str" cm="1">
        <f t="array" aca="1" ref="K438" ca="1">INDIRECT(_xlfn.CONCAT("A",$Q438))</f>
        <v>connection_phase</v>
      </c>
      <c r="L438" t="str" cm="1">
        <f t="array" aca="1" ref="L438" ca="1">INDIRECT(_xlfn.CONCAT("B",$Q438))</f>
        <v>SPVA</v>
      </c>
      <c r="M438" cm="1">
        <f t="array" aca="1" ref="M438" ca="1">INDIRECT(_xlfn.CONCAT("C",$Q438))</f>
        <v>37</v>
      </c>
      <c r="N438" t="str" cm="1">
        <f t="array" aca="1" ref="N438" ca="1">INDIRECT(_xlfn.CONCAT("D",$Q438))</f>
        <v>total</v>
      </c>
      <c r="O438" cm="1">
        <f t="array" aca="1" ref="O438" ca="1">INDIRECT(_xlfn.CONCAT("E",$Q438))</f>
        <v>11952</v>
      </c>
      <c r="Q438">
        <v>436</v>
      </c>
    </row>
    <row r="439" spans="1:17">
      <c r="A439" t="s">
        <v>97</v>
      </c>
      <c r="B439" t="s">
        <v>9</v>
      </c>
      <c r="C439">
        <v>38</v>
      </c>
      <c r="D439" t="s">
        <v>100</v>
      </c>
      <c r="E439">
        <v>445</v>
      </c>
      <c r="K439" t="str" cm="1">
        <f t="array" aca="1" ref="K439" ca="1">INDIRECT(_xlfn.CONCAT("A",$Q439))</f>
        <v>connection_phase</v>
      </c>
      <c r="L439" t="str" cm="1">
        <f t="array" aca="1" ref="L439" ca="1">INDIRECT(_xlfn.CONCAT("B",$Q439))</f>
        <v>SPVA</v>
      </c>
      <c r="M439" cm="1">
        <f t="array" aca="1" ref="M439" ca="1">INDIRECT(_xlfn.CONCAT("C",$Q439))</f>
        <v>38</v>
      </c>
      <c r="N439" t="str" cm="1">
        <f t="array" aca="1" ref="N439" ca="1">INDIRECT(_xlfn.CONCAT("D",$Q439))</f>
        <v>total</v>
      </c>
      <c r="O439" cm="1">
        <f t="array" aca="1" ref="O439" ca="1">INDIRECT(_xlfn.CONCAT("E",$Q439))</f>
        <v>7618</v>
      </c>
      <c r="Q439">
        <v>441</v>
      </c>
    </row>
    <row r="440" spans="1:17">
      <c r="A440" t="s">
        <v>97</v>
      </c>
      <c r="B440" t="s">
        <v>9</v>
      </c>
      <c r="C440">
        <v>38</v>
      </c>
      <c r="D440" t="s">
        <v>101</v>
      </c>
      <c r="E440">
        <v>343</v>
      </c>
      <c r="K440" t="str" cm="1">
        <f t="array" aca="1" ref="K440" ca="1">INDIRECT(_xlfn.CONCAT("A",$Q440))</f>
        <v>connection_phase</v>
      </c>
      <c r="L440" t="str" cm="1">
        <f t="array" aca="1" ref="L440" ca="1">INDIRECT(_xlfn.CONCAT("B",$Q440))</f>
        <v>SPVA</v>
      </c>
      <c r="M440" cm="1">
        <f t="array" aca="1" ref="M440" ca="1">INDIRECT(_xlfn.CONCAT("C",$Q440))</f>
        <v>39</v>
      </c>
      <c r="N440" t="str" cm="1">
        <f t="array" aca="1" ref="N440" ca="1">INDIRECT(_xlfn.CONCAT("D",$Q440))</f>
        <v>total</v>
      </c>
      <c r="O440" cm="1">
        <f t="array" aca="1" ref="O440" ca="1">INDIRECT(_xlfn.CONCAT("E",$Q440))</f>
        <v>5020</v>
      </c>
      <c r="Q440">
        <v>446</v>
      </c>
    </row>
    <row r="441" spans="1:17">
      <c r="A441" t="s">
        <v>97</v>
      </c>
      <c r="B441" t="s">
        <v>9</v>
      </c>
      <c r="C441">
        <v>38</v>
      </c>
      <c r="D441" t="s">
        <v>102</v>
      </c>
      <c r="E441">
        <v>7618</v>
      </c>
      <c r="K441" t="str" cm="1">
        <f t="array" aca="1" ref="K441" ca="1">INDIRECT(_xlfn.CONCAT("A",$Q441))</f>
        <v>connection_phase</v>
      </c>
      <c r="L441" t="str" cm="1">
        <f t="array" aca="1" ref="L441" ca="1">INDIRECT(_xlfn.CONCAT("B",$Q441))</f>
        <v>SPVA</v>
      </c>
      <c r="M441" cm="1">
        <f t="array" aca="1" ref="M441" ca="1">INDIRECT(_xlfn.CONCAT("C",$Q441))</f>
        <v>40</v>
      </c>
      <c r="N441" t="str" cm="1">
        <f t="array" aca="1" ref="N441" ca="1">INDIRECT(_xlfn.CONCAT("D",$Q441))</f>
        <v>total</v>
      </c>
      <c r="O441" cm="1">
        <f t="array" aca="1" ref="O441" ca="1">INDIRECT(_xlfn.CONCAT("E",$Q441))</f>
        <v>9602</v>
      </c>
      <c r="Q441">
        <v>451</v>
      </c>
    </row>
    <row r="442" spans="1:17">
      <c r="A442" t="s">
        <v>97</v>
      </c>
      <c r="B442" t="s">
        <v>9</v>
      </c>
      <c r="C442">
        <v>39</v>
      </c>
      <c r="D442" t="s">
        <v>98</v>
      </c>
      <c r="E442">
        <v>1038</v>
      </c>
      <c r="K442" t="str" cm="1">
        <f t="array" aca="1" ref="K442" ca="1">INDIRECT(_xlfn.CONCAT("A",$Q442))</f>
        <v>connection_phase</v>
      </c>
      <c r="L442" t="str" cm="1">
        <f t="array" aca="1" ref="L442" ca="1">INDIRECT(_xlfn.CONCAT("B",$Q442))</f>
        <v>SPVA</v>
      </c>
      <c r="M442" cm="1">
        <f t="array" aca="1" ref="M442" ca="1">INDIRECT(_xlfn.CONCAT("C",$Q442))</f>
        <v>41</v>
      </c>
      <c r="N442" t="str" cm="1">
        <f t="array" aca="1" ref="N442" ca="1">INDIRECT(_xlfn.CONCAT("D",$Q442))</f>
        <v>total</v>
      </c>
      <c r="O442" cm="1">
        <f t="array" aca="1" ref="O442" ca="1">INDIRECT(_xlfn.CONCAT("E",$Q442))</f>
        <v>8532</v>
      </c>
      <c r="Q442">
        <v>456</v>
      </c>
    </row>
    <row r="443" spans="1:17">
      <c r="A443" t="s">
        <v>97</v>
      </c>
      <c r="B443" t="s">
        <v>9</v>
      </c>
      <c r="C443">
        <v>39</v>
      </c>
      <c r="D443" t="s">
        <v>99</v>
      </c>
      <c r="E443">
        <v>3120</v>
      </c>
      <c r="K443" t="str" cm="1">
        <f t="array" aca="1" ref="K443" ca="1">INDIRECT(_xlfn.CONCAT("A",$Q443))</f>
        <v>connection_phase</v>
      </c>
      <c r="L443" t="str" cm="1">
        <f t="array" aca="1" ref="L443" ca="1">INDIRECT(_xlfn.CONCAT("B",$Q443))</f>
        <v>SPVA</v>
      </c>
      <c r="M443" cm="1">
        <f t="array" aca="1" ref="M443" ca="1">INDIRECT(_xlfn.CONCAT("C",$Q443))</f>
        <v>42</v>
      </c>
      <c r="N443" t="str" cm="1">
        <f t="array" aca="1" ref="N443" ca="1">INDIRECT(_xlfn.CONCAT("D",$Q443))</f>
        <v>total</v>
      </c>
      <c r="O443" cm="1">
        <f t="array" aca="1" ref="O443" ca="1">INDIRECT(_xlfn.CONCAT("E",$Q443))</f>
        <v>5034</v>
      </c>
      <c r="Q443">
        <v>461</v>
      </c>
    </row>
    <row r="444" spans="1:17">
      <c r="A444" t="s">
        <v>97</v>
      </c>
      <c r="B444" t="s">
        <v>9</v>
      </c>
      <c r="C444">
        <v>39</v>
      </c>
      <c r="D444" t="s">
        <v>100</v>
      </c>
      <c r="E444">
        <v>532</v>
      </c>
      <c r="K444" t="str" cm="1">
        <f t="array" aca="1" ref="K444" ca="1">INDIRECT(_xlfn.CONCAT("A",$Q444))</f>
        <v>connection_phase</v>
      </c>
      <c r="L444" t="str" cm="1">
        <f t="array" aca="1" ref="L444" ca="1">INDIRECT(_xlfn.CONCAT("B",$Q444))</f>
        <v>SPVA</v>
      </c>
      <c r="M444" cm="1">
        <f t="array" aca="1" ref="M444" ca="1">INDIRECT(_xlfn.CONCAT("C",$Q444))</f>
        <v>43</v>
      </c>
      <c r="N444" t="str" cm="1">
        <f t="array" aca="1" ref="N444" ca="1">INDIRECT(_xlfn.CONCAT("D",$Q444))</f>
        <v>total</v>
      </c>
      <c r="O444" cm="1">
        <f t="array" aca="1" ref="O444" ca="1">INDIRECT(_xlfn.CONCAT("E",$Q444))</f>
        <v>4645</v>
      </c>
      <c r="Q444">
        <v>466</v>
      </c>
    </row>
    <row r="445" spans="1:17">
      <c r="A445" t="s">
        <v>97</v>
      </c>
      <c r="B445" t="s">
        <v>9</v>
      </c>
      <c r="C445">
        <v>39</v>
      </c>
      <c r="D445" t="s">
        <v>101</v>
      </c>
      <c r="E445">
        <v>330</v>
      </c>
      <c r="K445" t="str" cm="1">
        <f t="array" aca="1" ref="K445" ca="1">INDIRECT(_xlfn.CONCAT("A",$Q445))</f>
        <v>connection_phase</v>
      </c>
      <c r="L445" t="str" cm="1">
        <f t="array" aca="1" ref="L445" ca="1">INDIRECT(_xlfn.CONCAT("B",$Q445))</f>
        <v>SPVA</v>
      </c>
      <c r="M445" cm="1">
        <f t="array" aca="1" ref="M445" ca="1">INDIRECT(_xlfn.CONCAT("C",$Q445))</f>
        <v>44</v>
      </c>
      <c r="N445" t="str" cm="1">
        <f t="array" aca="1" ref="N445" ca="1">INDIRECT(_xlfn.CONCAT("D",$Q445))</f>
        <v>total</v>
      </c>
      <c r="O445" cm="1">
        <f t="array" aca="1" ref="O445" ca="1">INDIRECT(_xlfn.CONCAT("E",$Q445))</f>
        <v>4825</v>
      </c>
      <c r="Q445">
        <v>471</v>
      </c>
    </row>
    <row r="446" spans="1:17">
      <c r="A446" t="s">
        <v>97</v>
      </c>
      <c r="B446" t="s">
        <v>9</v>
      </c>
      <c r="C446">
        <v>39</v>
      </c>
      <c r="D446" t="s">
        <v>102</v>
      </c>
      <c r="E446">
        <v>5020</v>
      </c>
      <c r="K446" t="str" cm="1">
        <f t="array" aca="1" ref="K446" ca="1">INDIRECT(_xlfn.CONCAT("A",$Q446))</f>
        <v>connection_phase</v>
      </c>
      <c r="L446" t="str" cm="1">
        <f t="array" aca="1" ref="L446" ca="1">INDIRECT(_xlfn.CONCAT("B",$Q446))</f>
        <v>SPVA</v>
      </c>
      <c r="M446" cm="1">
        <f t="array" aca="1" ref="M446" ca="1">INDIRECT(_xlfn.CONCAT("C",$Q446))</f>
        <v>45</v>
      </c>
      <c r="N446" t="str" cm="1">
        <f t="array" aca="1" ref="N446" ca="1">INDIRECT(_xlfn.CONCAT("D",$Q446))</f>
        <v>total</v>
      </c>
      <c r="O446" cm="1">
        <f t="array" aca="1" ref="O446" ca="1">INDIRECT(_xlfn.CONCAT("E",$Q446))</f>
        <v>5238</v>
      </c>
      <c r="Q446">
        <v>476</v>
      </c>
    </row>
    <row r="447" spans="1:17">
      <c r="A447" t="s">
        <v>97</v>
      </c>
      <c r="B447" t="s">
        <v>9</v>
      </c>
      <c r="C447">
        <v>40</v>
      </c>
      <c r="D447" t="s">
        <v>98</v>
      </c>
      <c r="E447">
        <v>1718</v>
      </c>
      <c r="K447" t="str" cm="1">
        <f t="array" aca="1" ref="K447" ca="1">INDIRECT(_xlfn.CONCAT("A",$Q447))</f>
        <v>connection_phase</v>
      </c>
      <c r="L447" t="str" cm="1">
        <f t="array" aca="1" ref="L447" ca="1">INDIRECT(_xlfn.CONCAT("B",$Q447))</f>
        <v>SPVA</v>
      </c>
      <c r="M447" cm="1">
        <f t="array" aca="1" ref="M447" ca="1">INDIRECT(_xlfn.CONCAT("C",$Q447))</f>
        <v>46</v>
      </c>
      <c r="N447" t="str" cm="1">
        <f t="array" aca="1" ref="N447" ca="1">INDIRECT(_xlfn.CONCAT("D",$Q447))</f>
        <v>total</v>
      </c>
      <c r="O447" cm="1">
        <f t="array" aca="1" ref="O447" ca="1">INDIRECT(_xlfn.CONCAT("E",$Q447))</f>
        <v>12290</v>
      </c>
      <c r="Q447">
        <v>481</v>
      </c>
    </row>
    <row r="448" spans="1:17">
      <c r="A448" t="s">
        <v>97</v>
      </c>
      <c r="B448" t="s">
        <v>9</v>
      </c>
      <c r="C448">
        <v>40</v>
      </c>
      <c r="D448" t="s">
        <v>99</v>
      </c>
      <c r="E448">
        <v>7226</v>
      </c>
      <c r="K448" t="str" cm="1">
        <f t="array" aca="1" ref="K448" ca="1">INDIRECT(_xlfn.CONCAT("A",$Q448))</f>
        <v>connection_phase</v>
      </c>
      <c r="L448" t="str" cm="1">
        <f t="array" aca="1" ref="L448" ca="1">INDIRECT(_xlfn.CONCAT("B",$Q448))</f>
        <v>SPVA</v>
      </c>
      <c r="M448" cm="1">
        <f t="array" aca="1" ref="M448" ca="1">INDIRECT(_xlfn.CONCAT("C",$Q448))</f>
        <v>47</v>
      </c>
      <c r="N448" t="str" cm="1">
        <f t="array" aca="1" ref="N448" ca="1">INDIRECT(_xlfn.CONCAT("D",$Q448))</f>
        <v>total</v>
      </c>
      <c r="O448" cm="1">
        <f t="array" aca="1" ref="O448" ca="1">INDIRECT(_xlfn.CONCAT("E",$Q448))</f>
        <v>10272</v>
      </c>
      <c r="Q448">
        <v>486</v>
      </c>
    </row>
    <row r="449" spans="1:17">
      <c r="A449" t="s">
        <v>97</v>
      </c>
      <c r="B449" t="s">
        <v>9</v>
      </c>
      <c r="C449">
        <v>40</v>
      </c>
      <c r="D449" t="s">
        <v>100</v>
      </c>
      <c r="E449">
        <v>349</v>
      </c>
      <c r="K449" t="str" cm="1">
        <f t="array" aca="1" ref="K449" ca="1">INDIRECT(_xlfn.CONCAT("A",$Q449))</f>
        <v>connection_phase</v>
      </c>
      <c r="L449" t="str" cm="1">
        <f t="array" aca="1" ref="L449" ca="1">INDIRECT(_xlfn.CONCAT("B",$Q449))</f>
        <v>SPVA</v>
      </c>
      <c r="M449" cm="1">
        <f t="array" aca="1" ref="M449" ca="1">INDIRECT(_xlfn.CONCAT("C",$Q449))</f>
        <v>48</v>
      </c>
      <c r="N449" t="str" cm="1">
        <f t="array" aca="1" ref="N449" ca="1">INDIRECT(_xlfn.CONCAT("D",$Q449))</f>
        <v>total</v>
      </c>
      <c r="O449" cm="1">
        <f t="array" aca="1" ref="O449" ca="1">INDIRECT(_xlfn.CONCAT("E",$Q449))</f>
        <v>4794</v>
      </c>
      <c r="Q449">
        <v>491</v>
      </c>
    </row>
    <row r="450" spans="1:17">
      <c r="A450" t="s">
        <v>97</v>
      </c>
      <c r="B450" t="s">
        <v>9</v>
      </c>
      <c r="C450">
        <v>40</v>
      </c>
      <c r="D450" t="s">
        <v>101</v>
      </c>
      <c r="E450">
        <v>309</v>
      </c>
      <c r="K450" t="str" cm="1">
        <f t="array" aca="1" ref="K450" ca="1">INDIRECT(_xlfn.CONCAT("A",$Q450))</f>
        <v>connection_phase</v>
      </c>
      <c r="L450" t="str" cm="1">
        <f t="array" aca="1" ref="L450" ca="1">INDIRECT(_xlfn.CONCAT("B",$Q450))</f>
        <v>SPVA</v>
      </c>
      <c r="M450" cm="1">
        <f t="array" aca="1" ref="M450" ca="1">INDIRECT(_xlfn.CONCAT("C",$Q450))</f>
        <v>49</v>
      </c>
      <c r="N450" t="str" cm="1">
        <f t="array" aca="1" ref="N450" ca="1">INDIRECT(_xlfn.CONCAT("D",$Q450))</f>
        <v>total</v>
      </c>
      <c r="O450" cm="1">
        <f t="array" aca="1" ref="O450" ca="1">INDIRECT(_xlfn.CONCAT("E",$Q450))</f>
        <v>5701</v>
      </c>
      <c r="Q450">
        <v>496</v>
      </c>
    </row>
    <row r="451" spans="1:17">
      <c r="A451" t="s">
        <v>97</v>
      </c>
      <c r="B451" t="s">
        <v>9</v>
      </c>
      <c r="C451">
        <v>40</v>
      </c>
      <c r="D451" t="s">
        <v>102</v>
      </c>
      <c r="E451">
        <v>9602</v>
      </c>
      <c r="K451" t="str" cm="1">
        <f t="array" aca="1" ref="K451" ca="1">INDIRECT(_xlfn.CONCAT("A",$Q451))</f>
        <v>connection_phase</v>
      </c>
      <c r="L451" t="str" cm="1">
        <f t="array" aca="1" ref="L451" ca="1">INDIRECT(_xlfn.CONCAT("B",$Q451))</f>
        <v>SPVA</v>
      </c>
      <c r="M451" cm="1">
        <f t="array" aca="1" ref="M451" ca="1">INDIRECT(_xlfn.CONCAT("C",$Q451))</f>
        <v>50</v>
      </c>
      <c r="N451" t="str" cm="1">
        <f t="array" aca="1" ref="N451" ca="1">INDIRECT(_xlfn.CONCAT("D",$Q451))</f>
        <v>total</v>
      </c>
      <c r="O451" cm="1">
        <f t="array" aca="1" ref="O451" ca="1">INDIRECT(_xlfn.CONCAT("E",$Q451))</f>
        <v>4851</v>
      </c>
      <c r="Q451">
        <v>501</v>
      </c>
    </row>
    <row r="452" spans="1:17">
      <c r="A452" t="s">
        <v>97</v>
      </c>
      <c r="B452" t="s">
        <v>9</v>
      </c>
      <c r="C452">
        <v>41</v>
      </c>
      <c r="D452" t="s">
        <v>98</v>
      </c>
      <c r="E452">
        <v>2878</v>
      </c>
      <c r="K452" t="str" cm="1">
        <f t="array" aca="1" ref="K452" ca="1">INDIRECT(_xlfn.CONCAT("A",$Q452))</f>
        <v>connection_phase</v>
      </c>
      <c r="L452" t="str" cm="1">
        <f t="array" aca="1" ref="L452" ca="1">INDIRECT(_xlfn.CONCAT("B",$Q452))</f>
        <v>SPVA</v>
      </c>
      <c r="M452" cm="1">
        <f t="array" aca="1" ref="M452" ca="1">INDIRECT(_xlfn.CONCAT("C",$Q452))</f>
        <v>1</v>
      </c>
      <c r="N452" t="str" cm="1">
        <f t="array" aca="1" ref="N452" ca="1">INDIRECT(_xlfn.CONCAT("D",$Q452))</f>
        <v>validation</v>
      </c>
      <c r="O452" cm="1">
        <f t="array" aca="1" ref="O452" ca="1">INDIRECT(_xlfn.CONCAT("E",$Q452))</f>
        <v>2913</v>
      </c>
      <c r="Q452">
        <v>254</v>
      </c>
    </row>
    <row r="453" spans="1:17">
      <c r="A453" t="s">
        <v>97</v>
      </c>
      <c r="B453" t="s">
        <v>9</v>
      </c>
      <c r="C453">
        <v>41</v>
      </c>
      <c r="D453" t="s">
        <v>99</v>
      </c>
      <c r="E453">
        <v>4828</v>
      </c>
      <c r="K453" t="str" cm="1">
        <f t="array" aca="1" ref="K453" ca="1">INDIRECT(_xlfn.CONCAT("A",$Q453))</f>
        <v>connection_phase</v>
      </c>
      <c r="L453" t="str" cm="1">
        <f t="array" aca="1" ref="L453" ca="1">INDIRECT(_xlfn.CONCAT("B",$Q453))</f>
        <v>SPVA</v>
      </c>
      <c r="M453" cm="1">
        <f t="array" aca="1" ref="M453" ca="1">INDIRECT(_xlfn.CONCAT("C",$Q453))</f>
        <v>2</v>
      </c>
      <c r="N453" t="str" cm="1">
        <f t="array" aca="1" ref="N453" ca="1">INDIRECT(_xlfn.CONCAT("D",$Q453))</f>
        <v>validation</v>
      </c>
      <c r="O453" cm="1">
        <f t="array" aca="1" ref="O453" ca="1">INDIRECT(_xlfn.CONCAT("E",$Q453))</f>
        <v>320</v>
      </c>
      <c r="Q453">
        <v>259</v>
      </c>
    </row>
    <row r="454" spans="1:17">
      <c r="A454" t="s">
        <v>97</v>
      </c>
      <c r="B454" t="s">
        <v>9</v>
      </c>
      <c r="C454">
        <v>41</v>
      </c>
      <c r="D454" t="s">
        <v>100</v>
      </c>
      <c r="E454">
        <v>524</v>
      </c>
      <c r="K454" t="str" cm="1">
        <f t="array" aca="1" ref="K454" ca="1">INDIRECT(_xlfn.CONCAT("A",$Q454))</f>
        <v>connection_phase</v>
      </c>
      <c r="L454" t="str" cm="1">
        <f t="array" aca="1" ref="L454" ca="1">INDIRECT(_xlfn.CONCAT("B",$Q454))</f>
        <v>SPVA</v>
      </c>
      <c r="M454" cm="1">
        <f t="array" aca="1" ref="M454" ca="1">INDIRECT(_xlfn.CONCAT("C",$Q454))</f>
        <v>3</v>
      </c>
      <c r="N454" t="str" cm="1">
        <f t="array" aca="1" ref="N454" ca="1">INDIRECT(_xlfn.CONCAT("D",$Q454))</f>
        <v>validation</v>
      </c>
      <c r="O454" cm="1">
        <f t="array" aca="1" ref="O454" ca="1">INDIRECT(_xlfn.CONCAT("E",$Q454))</f>
        <v>533</v>
      </c>
      <c r="Q454">
        <v>264</v>
      </c>
    </row>
    <row r="455" spans="1:17">
      <c r="A455" t="s">
        <v>97</v>
      </c>
      <c r="B455" t="s">
        <v>9</v>
      </c>
      <c r="C455">
        <v>41</v>
      </c>
      <c r="D455" t="s">
        <v>101</v>
      </c>
      <c r="E455">
        <v>302</v>
      </c>
      <c r="K455" t="str" cm="1">
        <f t="array" aca="1" ref="K455" ca="1">INDIRECT(_xlfn.CONCAT("A",$Q455))</f>
        <v>connection_phase</v>
      </c>
      <c r="L455" t="str" cm="1">
        <f t="array" aca="1" ref="L455" ca="1">INDIRECT(_xlfn.CONCAT("B",$Q455))</f>
        <v>SPVA</v>
      </c>
      <c r="M455" cm="1">
        <f t="array" aca="1" ref="M455" ca="1">INDIRECT(_xlfn.CONCAT("C",$Q455))</f>
        <v>4</v>
      </c>
      <c r="N455" t="str" cm="1">
        <f t="array" aca="1" ref="N455" ca="1">INDIRECT(_xlfn.CONCAT("D",$Q455))</f>
        <v>validation</v>
      </c>
      <c r="O455" cm="1">
        <f t="array" aca="1" ref="O455" ca="1">INDIRECT(_xlfn.CONCAT("E",$Q455))</f>
        <v>596</v>
      </c>
      <c r="Q455">
        <v>269</v>
      </c>
    </row>
    <row r="456" spans="1:17">
      <c r="A456" t="s">
        <v>97</v>
      </c>
      <c r="B456" t="s">
        <v>9</v>
      </c>
      <c r="C456">
        <v>41</v>
      </c>
      <c r="D456" t="s">
        <v>102</v>
      </c>
      <c r="E456">
        <v>8532</v>
      </c>
      <c r="K456" t="str" cm="1">
        <f t="array" aca="1" ref="K456" ca="1">INDIRECT(_xlfn.CONCAT("A",$Q456))</f>
        <v>connection_phase</v>
      </c>
      <c r="L456" t="str" cm="1">
        <f t="array" aca="1" ref="L456" ca="1">INDIRECT(_xlfn.CONCAT("B",$Q456))</f>
        <v>SPVA</v>
      </c>
      <c r="M456" cm="1">
        <f t="array" aca="1" ref="M456" ca="1">INDIRECT(_xlfn.CONCAT("C",$Q456))</f>
        <v>5</v>
      </c>
      <c r="N456" t="str" cm="1">
        <f t="array" aca="1" ref="N456" ca="1">INDIRECT(_xlfn.CONCAT("D",$Q456))</f>
        <v>validation</v>
      </c>
      <c r="O456" cm="1">
        <f t="array" aca="1" ref="O456" ca="1">INDIRECT(_xlfn.CONCAT("E",$Q456))</f>
        <v>520</v>
      </c>
      <c r="Q456">
        <v>274</v>
      </c>
    </row>
    <row r="457" spans="1:17">
      <c r="A457" t="s">
        <v>97</v>
      </c>
      <c r="B457" t="s">
        <v>9</v>
      </c>
      <c r="C457">
        <v>42</v>
      </c>
      <c r="D457" t="s">
        <v>98</v>
      </c>
      <c r="E457">
        <v>1036</v>
      </c>
      <c r="K457" t="str" cm="1">
        <f t="array" aca="1" ref="K457" ca="1">INDIRECT(_xlfn.CONCAT("A",$Q457))</f>
        <v>connection_phase</v>
      </c>
      <c r="L457" t="str" cm="1">
        <f t="array" aca="1" ref="L457" ca="1">INDIRECT(_xlfn.CONCAT("B",$Q457))</f>
        <v>SPVA</v>
      </c>
      <c r="M457" cm="1">
        <f t="array" aca="1" ref="M457" ca="1">INDIRECT(_xlfn.CONCAT("C",$Q457))</f>
        <v>6</v>
      </c>
      <c r="N457" t="str" cm="1">
        <f t="array" aca="1" ref="N457" ca="1">INDIRECT(_xlfn.CONCAT("D",$Q457))</f>
        <v>validation</v>
      </c>
      <c r="O457" cm="1">
        <f t="array" aca="1" ref="O457" ca="1">INDIRECT(_xlfn.CONCAT("E",$Q457))</f>
        <v>479</v>
      </c>
      <c r="Q457">
        <v>279</v>
      </c>
    </row>
    <row r="458" spans="1:17">
      <c r="A458" t="s">
        <v>97</v>
      </c>
      <c r="B458" t="s">
        <v>9</v>
      </c>
      <c r="C458">
        <v>42</v>
      </c>
      <c r="D458" t="s">
        <v>99</v>
      </c>
      <c r="E458">
        <v>3131</v>
      </c>
      <c r="K458" t="str" cm="1">
        <f t="array" aca="1" ref="K458" ca="1">INDIRECT(_xlfn.CONCAT("A",$Q458))</f>
        <v>connection_phase</v>
      </c>
      <c r="L458" t="str" cm="1">
        <f t="array" aca="1" ref="L458" ca="1">INDIRECT(_xlfn.CONCAT("B",$Q458))</f>
        <v>SPVA</v>
      </c>
      <c r="M458" cm="1">
        <f t="array" aca="1" ref="M458" ca="1">INDIRECT(_xlfn.CONCAT("C",$Q458))</f>
        <v>7</v>
      </c>
      <c r="N458" t="str" cm="1">
        <f t="array" aca="1" ref="N458" ca="1">INDIRECT(_xlfn.CONCAT("D",$Q458))</f>
        <v>validation</v>
      </c>
      <c r="O458" cm="1">
        <f t="array" aca="1" ref="O458" ca="1">INDIRECT(_xlfn.CONCAT("E",$Q458))</f>
        <v>469</v>
      </c>
      <c r="Q458">
        <v>284</v>
      </c>
    </row>
    <row r="459" spans="1:17">
      <c r="A459" t="s">
        <v>97</v>
      </c>
      <c r="B459" t="s">
        <v>9</v>
      </c>
      <c r="C459">
        <v>42</v>
      </c>
      <c r="D459" t="s">
        <v>100</v>
      </c>
      <c r="E459">
        <v>480</v>
      </c>
      <c r="K459" t="str" cm="1">
        <f t="array" aca="1" ref="K459" ca="1">INDIRECT(_xlfn.CONCAT("A",$Q459))</f>
        <v>connection_phase</v>
      </c>
      <c r="L459" t="str" cm="1">
        <f t="array" aca="1" ref="L459" ca="1">INDIRECT(_xlfn.CONCAT("B",$Q459))</f>
        <v>SPVA</v>
      </c>
      <c r="M459" cm="1">
        <f t="array" aca="1" ref="M459" ca="1">INDIRECT(_xlfn.CONCAT("C",$Q459))</f>
        <v>8</v>
      </c>
      <c r="N459" t="str" cm="1">
        <f t="array" aca="1" ref="N459" ca="1">INDIRECT(_xlfn.CONCAT("D",$Q459))</f>
        <v>validation</v>
      </c>
      <c r="O459" cm="1">
        <f t="array" aca="1" ref="O459" ca="1">INDIRECT(_xlfn.CONCAT("E",$Q459))</f>
        <v>448</v>
      </c>
      <c r="Q459">
        <v>289</v>
      </c>
    </row>
    <row r="460" spans="1:17">
      <c r="A460" t="s">
        <v>97</v>
      </c>
      <c r="B460" t="s">
        <v>9</v>
      </c>
      <c r="C460">
        <v>42</v>
      </c>
      <c r="D460" t="s">
        <v>101</v>
      </c>
      <c r="E460">
        <v>387</v>
      </c>
      <c r="K460" t="str" cm="1">
        <f t="array" aca="1" ref="K460" ca="1">INDIRECT(_xlfn.CONCAT("A",$Q460))</f>
        <v>connection_phase</v>
      </c>
      <c r="L460" t="str" cm="1">
        <f t="array" aca="1" ref="L460" ca="1">INDIRECT(_xlfn.CONCAT("B",$Q460))</f>
        <v>SPVA</v>
      </c>
      <c r="M460" cm="1">
        <f t="array" aca="1" ref="M460" ca="1">INDIRECT(_xlfn.CONCAT("C",$Q460))</f>
        <v>9</v>
      </c>
      <c r="N460" t="str" cm="1">
        <f t="array" aca="1" ref="N460" ca="1">INDIRECT(_xlfn.CONCAT("D",$Q460))</f>
        <v>validation</v>
      </c>
      <c r="O460" cm="1">
        <f t="array" aca="1" ref="O460" ca="1">INDIRECT(_xlfn.CONCAT("E",$Q460))</f>
        <v>375</v>
      </c>
      <c r="Q460">
        <v>294</v>
      </c>
    </row>
    <row r="461" spans="1:17">
      <c r="A461" t="s">
        <v>97</v>
      </c>
      <c r="B461" t="s">
        <v>9</v>
      </c>
      <c r="C461">
        <v>42</v>
      </c>
      <c r="D461" t="s">
        <v>102</v>
      </c>
      <c r="E461">
        <v>5034</v>
      </c>
      <c r="K461" t="str" cm="1">
        <f t="array" aca="1" ref="K461" ca="1">INDIRECT(_xlfn.CONCAT("A",$Q461))</f>
        <v>connection_phase</v>
      </c>
      <c r="L461" t="str" cm="1">
        <f t="array" aca="1" ref="L461" ca="1">INDIRECT(_xlfn.CONCAT("B",$Q461))</f>
        <v>SPVA</v>
      </c>
      <c r="M461" cm="1">
        <f t="array" aca="1" ref="M461" ca="1">INDIRECT(_xlfn.CONCAT("C",$Q461))</f>
        <v>10</v>
      </c>
      <c r="N461" t="str" cm="1">
        <f t="array" aca="1" ref="N461" ca="1">INDIRECT(_xlfn.CONCAT("D",$Q461))</f>
        <v>validation</v>
      </c>
      <c r="O461" cm="1">
        <f t="array" aca="1" ref="O461" ca="1">INDIRECT(_xlfn.CONCAT("E",$Q461))</f>
        <v>408</v>
      </c>
      <c r="Q461">
        <v>299</v>
      </c>
    </row>
    <row r="462" spans="1:17">
      <c r="A462" t="s">
        <v>97</v>
      </c>
      <c r="B462" t="s">
        <v>9</v>
      </c>
      <c r="C462">
        <v>43</v>
      </c>
      <c r="D462" t="s">
        <v>98</v>
      </c>
      <c r="E462">
        <v>963</v>
      </c>
      <c r="K462" t="str" cm="1">
        <f t="array" aca="1" ref="K462" ca="1">INDIRECT(_xlfn.CONCAT("A",$Q462))</f>
        <v>connection_phase</v>
      </c>
      <c r="L462" t="str" cm="1">
        <f t="array" aca="1" ref="L462" ca="1">INDIRECT(_xlfn.CONCAT("B",$Q462))</f>
        <v>SPVA</v>
      </c>
      <c r="M462" cm="1">
        <f t="array" aca="1" ref="M462" ca="1">INDIRECT(_xlfn.CONCAT("C",$Q462))</f>
        <v>11</v>
      </c>
      <c r="N462" t="str" cm="1">
        <f t="array" aca="1" ref="N462" ca="1">INDIRECT(_xlfn.CONCAT("D",$Q462))</f>
        <v>validation</v>
      </c>
      <c r="O462" cm="1">
        <f t="array" aca="1" ref="O462" ca="1">INDIRECT(_xlfn.CONCAT("E",$Q462))</f>
        <v>394</v>
      </c>
      <c r="Q462">
        <v>304</v>
      </c>
    </row>
    <row r="463" spans="1:17">
      <c r="A463" t="s">
        <v>97</v>
      </c>
      <c r="B463" t="s">
        <v>9</v>
      </c>
      <c r="C463">
        <v>43</v>
      </c>
      <c r="D463" t="s">
        <v>99</v>
      </c>
      <c r="E463">
        <v>2870</v>
      </c>
      <c r="K463" t="str" cm="1">
        <f t="array" aca="1" ref="K463" ca="1">INDIRECT(_xlfn.CONCAT("A",$Q463))</f>
        <v>connection_phase</v>
      </c>
      <c r="L463" t="str" cm="1">
        <f t="array" aca="1" ref="L463" ca="1">INDIRECT(_xlfn.CONCAT("B",$Q463))</f>
        <v>SPVA</v>
      </c>
      <c r="M463" cm="1">
        <f t="array" aca="1" ref="M463" ca="1">INDIRECT(_xlfn.CONCAT("C",$Q463))</f>
        <v>12</v>
      </c>
      <c r="N463" t="str" cm="1">
        <f t="array" aca="1" ref="N463" ca="1">INDIRECT(_xlfn.CONCAT("D",$Q463))</f>
        <v>validation</v>
      </c>
      <c r="O463" cm="1">
        <f t="array" aca="1" ref="O463" ca="1">INDIRECT(_xlfn.CONCAT("E",$Q463))</f>
        <v>534</v>
      </c>
      <c r="Q463">
        <v>309</v>
      </c>
    </row>
    <row r="464" spans="1:17">
      <c r="A464" t="s">
        <v>97</v>
      </c>
      <c r="B464" t="s">
        <v>9</v>
      </c>
      <c r="C464">
        <v>43</v>
      </c>
      <c r="D464" t="s">
        <v>100</v>
      </c>
      <c r="E464">
        <v>429</v>
      </c>
      <c r="K464" t="str" cm="1">
        <f t="array" aca="1" ref="K464" ca="1">INDIRECT(_xlfn.CONCAT("A",$Q464))</f>
        <v>connection_phase</v>
      </c>
      <c r="L464" t="str" cm="1">
        <f t="array" aca="1" ref="L464" ca="1">INDIRECT(_xlfn.CONCAT("B",$Q464))</f>
        <v>SPVA</v>
      </c>
      <c r="M464" cm="1">
        <f t="array" aca="1" ref="M464" ca="1">INDIRECT(_xlfn.CONCAT("C",$Q464))</f>
        <v>13</v>
      </c>
      <c r="N464" t="str" cm="1">
        <f t="array" aca="1" ref="N464" ca="1">INDIRECT(_xlfn.CONCAT("D",$Q464))</f>
        <v>validation</v>
      </c>
      <c r="O464" cm="1">
        <f t="array" aca="1" ref="O464" ca="1">INDIRECT(_xlfn.CONCAT("E",$Q464))</f>
        <v>413</v>
      </c>
      <c r="Q464">
        <v>314</v>
      </c>
    </row>
    <row r="465" spans="1:17">
      <c r="A465" t="s">
        <v>97</v>
      </c>
      <c r="B465" t="s">
        <v>9</v>
      </c>
      <c r="C465">
        <v>43</v>
      </c>
      <c r="D465" t="s">
        <v>101</v>
      </c>
      <c r="E465">
        <v>383</v>
      </c>
      <c r="K465" t="str" cm="1">
        <f t="array" aca="1" ref="K465" ca="1">INDIRECT(_xlfn.CONCAT("A",$Q465))</f>
        <v>connection_phase</v>
      </c>
      <c r="L465" t="str" cm="1">
        <f t="array" aca="1" ref="L465" ca="1">INDIRECT(_xlfn.CONCAT("B",$Q465))</f>
        <v>SPVA</v>
      </c>
      <c r="M465" cm="1">
        <f t="array" aca="1" ref="M465" ca="1">INDIRECT(_xlfn.CONCAT("C",$Q465))</f>
        <v>14</v>
      </c>
      <c r="N465" t="str" cm="1">
        <f t="array" aca="1" ref="N465" ca="1">INDIRECT(_xlfn.CONCAT("D",$Q465))</f>
        <v>validation</v>
      </c>
      <c r="O465" cm="1">
        <f t="array" aca="1" ref="O465" ca="1">INDIRECT(_xlfn.CONCAT("E",$Q465))</f>
        <v>552</v>
      </c>
      <c r="Q465">
        <v>319</v>
      </c>
    </row>
    <row r="466" spans="1:17">
      <c r="A466" t="s">
        <v>97</v>
      </c>
      <c r="B466" t="s">
        <v>9</v>
      </c>
      <c r="C466">
        <v>43</v>
      </c>
      <c r="D466" t="s">
        <v>102</v>
      </c>
      <c r="E466">
        <v>4645</v>
      </c>
      <c r="K466" t="str" cm="1">
        <f t="array" aca="1" ref="K466" ca="1">INDIRECT(_xlfn.CONCAT("A",$Q466))</f>
        <v>connection_phase</v>
      </c>
      <c r="L466" t="str" cm="1">
        <f t="array" aca="1" ref="L466" ca="1">INDIRECT(_xlfn.CONCAT("B",$Q466))</f>
        <v>SPVA</v>
      </c>
      <c r="M466" cm="1">
        <f t="array" aca="1" ref="M466" ca="1">INDIRECT(_xlfn.CONCAT("C",$Q466))</f>
        <v>15</v>
      </c>
      <c r="N466" t="str" cm="1">
        <f t="array" aca="1" ref="N466" ca="1">INDIRECT(_xlfn.CONCAT("D",$Q466))</f>
        <v>validation</v>
      </c>
      <c r="O466" cm="1">
        <f t="array" aca="1" ref="O466" ca="1">INDIRECT(_xlfn.CONCAT("E",$Q466))</f>
        <v>950</v>
      </c>
      <c r="Q466">
        <v>324</v>
      </c>
    </row>
    <row r="467" spans="1:17">
      <c r="A467" t="s">
        <v>97</v>
      </c>
      <c r="B467" t="s">
        <v>9</v>
      </c>
      <c r="C467">
        <v>44</v>
      </c>
      <c r="D467" t="s">
        <v>98</v>
      </c>
      <c r="E467">
        <v>985</v>
      </c>
      <c r="K467" t="str" cm="1">
        <f t="array" aca="1" ref="K467" ca="1">INDIRECT(_xlfn.CONCAT("A",$Q467))</f>
        <v>connection_phase</v>
      </c>
      <c r="L467" t="str" cm="1">
        <f t="array" aca="1" ref="L467" ca="1">INDIRECT(_xlfn.CONCAT("B",$Q467))</f>
        <v>SPVA</v>
      </c>
      <c r="M467" cm="1">
        <f t="array" aca="1" ref="M467" ca="1">INDIRECT(_xlfn.CONCAT("C",$Q467))</f>
        <v>16</v>
      </c>
      <c r="N467" t="str" cm="1">
        <f t="array" aca="1" ref="N467" ca="1">INDIRECT(_xlfn.CONCAT("D",$Q467))</f>
        <v>validation</v>
      </c>
      <c r="O467" cm="1">
        <f t="array" aca="1" ref="O467" ca="1">INDIRECT(_xlfn.CONCAT("E",$Q467))</f>
        <v>508</v>
      </c>
      <c r="Q467">
        <v>329</v>
      </c>
    </row>
    <row r="468" spans="1:17">
      <c r="A468" t="s">
        <v>97</v>
      </c>
      <c r="B468" t="s">
        <v>9</v>
      </c>
      <c r="C468">
        <v>44</v>
      </c>
      <c r="D468" t="s">
        <v>99</v>
      </c>
      <c r="E468">
        <v>3065</v>
      </c>
      <c r="K468" t="str" cm="1">
        <f t="array" aca="1" ref="K468" ca="1">INDIRECT(_xlfn.CONCAT("A",$Q468))</f>
        <v>connection_phase</v>
      </c>
      <c r="L468" t="str" cm="1">
        <f t="array" aca="1" ref="L468" ca="1">INDIRECT(_xlfn.CONCAT("B",$Q468))</f>
        <v>SPVA</v>
      </c>
      <c r="M468" cm="1">
        <f t="array" aca="1" ref="M468" ca="1">INDIRECT(_xlfn.CONCAT("C",$Q468))</f>
        <v>17</v>
      </c>
      <c r="N468" t="str" cm="1">
        <f t="array" aca="1" ref="N468" ca="1">INDIRECT(_xlfn.CONCAT("D",$Q468))</f>
        <v>validation</v>
      </c>
      <c r="O468" cm="1">
        <f t="array" aca="1" ref="O468" ca="1">INDIRECT(_xlfn.CONCAT("E",$Q468))</f>
        <v>853</v>
      </c>
      <c r="Q468">
        <v>334</v>
      </c>
    </row>
    <row r="469" spans="1:17">
      <c r="A469" t="s">
        <v>97</v>
      </c>
      <c r="B469" t="s">
        <v>9</v>
      </c>
      <c r="C469">
        <v>44</v>
      </c>
      <c r="D469" t="s">
        <v>100</v>
      </c>
      <c r="E469">
        <v>382</v>
      </c>
      <c r="K469" t="str" cm="1">
        <f t="array" aca="1" ref="K469" ca="1">INDIRECT(_xlfn.CONCAT("A",$Q469))</f>
        <v>connection_phase</v>
      </c>
      <c r="L469" t="str" cm="1">
        <f t="array" aca="1" ref="L469" ca="1">INDIRECT(_xlfn.CONCAT("B",$Q469))</f>
        <v>SPVA</v>
      </c>
      <c r="M469" cm="1">
        <f t="array" aca="1" ref="M469" ca="1">INDIRECT(_xlfn.CONCAT("C",$Q469))</f>
        <v>18</v>
      </c>
      <c r="N469" t="str" cm="1">
        <f t="array" aca="1" ref="N469" ca="1">INDIRECT(_xlfn.CONCAT("D",$Q469))</f>
        <v>validation</v>
      </c>
      <c r="O469" cm="1">
        <f t="array" aca="1" ref="O469" ca="1">INDIRECT(_xlfn.CONCAT("E",$Q469))</f>
        <v>368</v>
      </c>
      <c r="Q469">
        <v>339</v>
      </c>
    </row>
    <row r="470" spans="1:17">
      <c r="A470" t="s">
        <v>97</v>
      </c>
      <c r="B470" t="s">
        <v>9</v>
      </c>
      <c r="C470">
        <v>44</v>
      </c>
      <c r="D470" t="s">
        <v>101</v>
      </c>
      <c r="E470">
        <v>393</v>
      </c>
      <c r="K470" t="str" cm="1">
        <f t="array" aca="1" ref="K470" ca="1">INDIRECT(_xlfn.CONCAT("A",$Q470))</f>
        <v>connection_phase</v>
      </c>
      <c r="L470" t="str" cm="1">
        <f t="array" aca="1" ref="L470" ca="1">INDIRECT(_xlfn.CONCAT("B",$Q470))</f>
        <v>SPVA</v>
      </c>
      <c r="M470" cm="1">
        <f t="array" aca="1" ref="M470" ca="1">INDIRECT(_xlfn.CONCAT("C",$Q470))</f>
        <v>19</v>
      </c>
      <c r="N470" t="str" cm="1">
        <f t="array" aca="1" ref="N470" ca="1">INDIRECT(_xlfn.CONCAT("D",$Q470))</f>
        <v>validation</v>
      </c>
      <c r="O470" cm="1">
        <f t="array" aca="1" ref="O470" ca="1">INDIRECT(_xlfn.CONCAT("E",$Q470))</f>
        <v>437</v>
      </c>
      <c r="Q470">
        <v>344</v>
      </c>
    </row>
    <row r="471" spans="1:17">
      <c r="A471" t="s">
        <v>97</v>
      </c>
      <c r="B471" t="s">
        <v>9</v>
      </c>
      <c r="C471">
        <v>44</v>
      </c>
      <c r="D471" t="s">
        <v>102</v>
      </c>
      <c r="E471">
        <v>4825</v>
      </c>
      <c r="K471" t="str" cm="1">
        <f t="array" aca="1" ref="K471" ca="1">INDIRECT(_xlfn.CONCAT("A",$Q471))</f>
        <v>connection_phase</v>
      </c>
      <c r="L471" t="str" cm="1">
        <f t="array" aca="1" ref="L471" ca="1">INDIRECT(_xlfn.CONCAT("B",$Q471))</f>
        <v>SPVA</v>
      </c>
      <c r="M471" cm="1">
        <f t="array" aca="1" ref="M471" ca="1">INDIRECT(_xlfn.CONCAT("C",$Q471))</f>
        <v>20</v>
      </c>
      <c r="N471" t="str" cm="1">
        <f t="array" aca="1" ref="N471" ca="1">INDIRECT(_xlfn.CONCAT("D",$Q471))</f>
        <v>validation</v>
      </c>
      <c r="O471" cm="1">
        <f t="array" aca="1" ref="O471" ca="1">INDIRECT(_xlfn.CONCAT("E",$Q471))</f>
        <v>502</v>
      </c>
      <c r="Q471">
        <v>349</v>
      </c>
    </row>
    <row r="472" spans="1:17">
      <c r="A472" t="s">
        <v>97</v>
      </c>
      <c r="B472" t="s">
        <v>9</v>
      </c>
      <c r="C472">
        <v>45</v>
      </c>
      <c r="D472" t="s">
        <v>98</v>
      </c>
      <c r="E472">
        <v>1124</v>
      </c>
      <c r="K472" t="str" cm="1">
        <f t="array" aca="1" ref="K472" ca="1">INDIRECT(_xlfn.CONCAT("A",$Q472))</f>
        <v>connection_phase</v>
      </c>
      <c r="L472" t="str" cm="1">
        <f t="array" aca="1" ref="L472" ca="1">INDIRECT(_xlfn.CONCAT("B",$Q472))</f>
        <v>SPVA</v>
      </c>
      <c r="M472" cm="1">
        <f t="array" aca="1" ref="M472" ca="1">INDIRECT(_xlfn.CONCAT("C",$Q472))</f>
        <v>21</v>
      </c>
      <c r="N472" t="str" cm="1">
        <f t="array" aca="1" ref="N472" ca="1">INDIRECT(_xlfn.CONCAT("D",$Q472))</f>
        <v>validation</v>
      </c>
      <c r="O472" cm="1">
        <f t="array" aca="1" ref="O472" ca="1">INDIRECT(_xlfn.CONCAT("E",$Q472))</f>
        <v>553</v>
      </c>
      <c r="Q472">
        <v>354</v>
      </c>
    </row>
    <row r="473" spans="1:17">
      <c r="A473" t="s">
        <v>97</v>
      </c>
      <c r="B473" t="s">
        <v>9</v>
      </c>
      <c r="C473">
        <v>45</v>
      </c>
      <c r="D473" t="s">
        <v>99</v>
      </c>
      <c r="E473">
        <v>3268</v>
      </c>
      <c r="K473" t="str" cm="1">
        <f t="array" aca="1" ref="K473" ca="1">INDIRECT(_xlfn.CONCAT("A",$Q473))</f>
        <v>connection_phase</v>
      </c>
      <c r="L473" t="str" cm="1">
        <f t="array" aca="1" ref="L473" ca="1">INDIRECT(_xlfn.CONCAT("B",$Q473))</f>
        <v>SPVA</v>
      </c>
      <c r="M473" cm="1">
        <f t="array" aca="1" ref="M473" ca="1">INDIRECT(_xlfn.CONCAT("C",$Q473))</f>
        <v>22</v>
      </c>
      <c r="N473" t="str" cm="1">
        <f t="array" aca="1" ref="N473" ca="1">INDIRECT(_xlfn.CONCAT("D",$Q473))</f>
        <v>validation</v>
      </c>
      <c r="O473" cm="1">
        <f t="array" aca="1" ref="O473" ca="1">INDIRECT(_xlfn.CONCAT("E",$Q473))</f>
        <v>461</v>
      </c>
      <c r="Q473">
        <v>359</v>
      </c>
    </row>
    <row r="474" spans="1:17">
      <c r="A474" t="s">
        <v>97</v>
      </c>
      <c r="B474" t="s">
        <v>9</v>
      </c>
      <c r="C474">
        <v>45</v>
      </c>
      <c r="D474" t="s">
        <v>100</v>
      </c>
      <c r="E474">
        <v>538</v>
      </c>
      <c r="K474" t="str" cm="1">
        <f t="array" aca="1" ref="K474" ca="1">INDIRECT(_xlfn.CONCAT("A",$Q474))</f>
        <v>connection_phase</v>
      </c>
      <c r="L474" t="str" cm="1">
        <f t="array" aca="1" ref="L474" ca="1">INDIRECT(_xlfn.CONCAT("B",$Q474))</f>
        <v>SPVA</v>
      </c>
      <c r="M474" cm="1">
        <f t="array" aca="1" ref="M474" ca="1">INDIRECT(_xlfn.CONCAT("C",$Q474))</f>
        <v>23</v>
      </c>
      <c r="N474" t="str" cm="1">
        <f t="array" aca="1" ref="N474" ca="1">INDIRECT(_xlfn.CONCAT("D",$Q474))</f>
        <v>validation</v>
      </c>
      <c r="O474" cm="1">
        <f t="array" aca="1" ref="O474" ca="1">INDIRECT(_xlfn.CONCAT("E",$Q474))</f>
        <v>477</v>
      </c>
      <c r="Q474">
        <v>364</v>
      </c>
    </row>
    <row r="475" spans="1:17">
      <c r="A475" t="s">
        <v>97</v>
      </c>
      <c r="B475" t="s">
        <v>9</v>
      </c>
      <c r="C475">
        <v>45</v>
      </c>
      <c r="D475" t="s">
        <v>101</v>
      </c>
      <c r="E475">
        <v>308</v>
      </c>
      <c r="K475" t="str" cm="1">
        <f t="array" aca="1" ref="K475" ca="1">INDIRECT(_xlfn.CONCAT("A",$Q475))</f>
        <v>connection_phase</v>
      </c>
      <c r="L475" t="str" cm="1">
        <f t="array" aca="1" ref="L475" ca="1">INDIRECT(_xlfn.CONCAT("B",$Q475))</f>
        <v>SPVA</v>
      </c>
      <c r="M475" cm="1">
        <f t="array" aca="1" ref="M475" ca="1">INDIRECT(_xlfn.CONCAT("C",$Q475))</f>
        <v>24</v>
      </c>
      <c r="N475" t="str" cm="1">
        <f t="array" aca="1" ref="N475" ca="1">INDIRECT(_xlfn.CONCAT("D",$Q475))</f>
        <v>validation</v>
      </c>
      <c r="O475" cm="1">
        <f t="array" aca="1" ref="O475" ca="1">INDIRECT(_xlfn.CONCAT("E",$Q475))</f>
        <v>456</v>
      </c>
      <c r="Q475">
        <v>369</v>
      </c>
    </row>
    <row r="476" spans="1:17">
      <c r="A476" t="s">
        <v>97</v>
      </c>
      <c r="B476" t="s">
        <v>9</v>
      </c>
      <c r="C476">
        <v>45</v>
      </c>
      <c r="D476" t="s">
        <v>102</v>
      </c>
      <c r="E476">
        <v>5238</v>
      </c>
      <c r="K476" t="str" cm="1">
        <f t="array" aca="1" ref="K476" ca="1">INDIRECT(_xlfn.CONCAT("A",$Q476))</f>
        <v>connection_phase</v>
      </c>
      <c r="L476" t="str" cm="1">
        <f t="array" aca="1" ref="L476" ca="1">INDIRECT(_xlfn.CONCAT("B",$Q476))</f>
        <v>SPVA</v>
      </c>
      <c r="M476" cm="1">
        <f t="array" aca="1" ref="M476" ca="1">INDIRECT(_xlfn.CONCAT("C",$Q476))</f>
        <v>25</v>
      </c>
      <c r="N476" t="str" cm="1">
        <f t="array" aca="1" ref="N476" ca="1">INDIRECT(_xlfn.CONCAT("D",$Q476))</f>
        <v>validation</v>
      </c>
      <c r="O476" cm="1">
        <f t="array" aca="1" ref="O476" ca="1">INDIRECT(_xlfn.CONCAT("E",$Q476))</f>
        <v>441</v>
      </c>
      <c r="Q476">
        <v>374</v>
      </c>
    </row>
    <row r="477" spans="1:17">
      <c r="A477" t="s">
        <v>97</v>
      </c>
      <c r="B477" t="s">
        <v>9</v>
      </c>
      <c r="C477">
        <v>46</v>
      </c>
      <c r="D477" t="s">
        <v>98</v>
      </c>
      <c r="E477">
        <v>1987</v>
      </c>
      <c r="K477" t="str" cm="1">
        <f t="array" aca="1" ref="K477" ca="1">INDIRECT(_xlfn.CONCAT("A",$Q477))</f>
        <v>connection_phase</v>
      </c>
      <c r="L477" t="str" cm="1">
        <f t="array" aca="1" ref="L477" ca="1">INDIRECT(_xlfn.CONCAT("B",$Q477))</f>
        <v>SPVA</v>
      </c>
      <c r="M477" cm="1">
        <f t="array" aca="1" ref="M477" ca="1">INDIRECT(_xlfn.CONCAT("C",$Q477))</f>
        <v>26</v>
      </c>
      <c r="N477" t="str" cm="1">
        <f t="array" aca="1" ref="N477" ca="1">INDIRECT(_xlfn.CONCAT("D",$Q477))</f>
        <v>validation</v>
      </c>
      <c r="O477" cm="1">
        <f t="array" aca="1" ref="O477" ca="1">INDIRECT(_xlfn.CONCAT("E",$Q477))</f>
        <v>699</v>
      </c>
      <c r="Q477">
        <v>379</v>
      </c>
    </row>
    <row r="478" spans="1:17">
      <c r="A478" t="s">
        <v>97</v>
      </c>
      <c r="B478" t="s">
        <v>9</v>
      </c>
      <c r="C478">
        <v>46</v>
      </c>
      <c r="D478" t="s">
        <v>99</v>
      </c>
      <c r="E478">
        <v>9537</v>
      </c>
      <c r="K478" t="str" cm="1">
        <f t="array" aca="1" ref="K478" ca="1">INDIRECT(_xlfn.CONCAT("A",$Q478))</f>
        <v>connection_phase</v>
      </c>
      <c r="L478" t="str" cm="1">
        <f t="array" aca="1" ref="L478" ca="1">INDIRECT(_xlfn.CONCAT("B",$Q478))</f>
        <v>SPVA</v>
      </c>
      <c r="M478" cm="1">
        <f t="array" aca="1" ref="M478" ca="1">INDIRECT(_xlfn.CONCAT("C",$Q478))</f>
        <v>27</v>
      </c>
      <c r="N478" t="str" cm="1">
        <f t="array" aca="1" ref="N478" ca="1">INDIRECT(_xlfn.CONCAT("D",$Q478))</f>
        <v>validation</v>
      </c>
      <c r="O478" cm="1">
        <f t="array" aca="1" ref="O478" ca="1">INDIRECT(_xlfn.CONCAT("E",$Q478))</f>
        <v>638</v>
      </c>
      <c r="Q478">
        <v>384</v>
      </c>
    </row>
    <row r="479" spans="1:17">
      <c r="A479" t="s">
        <v>97</v>
      </c>
      <c r="B479" t="s">
        <v>9</v>
      </c>
      <c r="C479">
        <v>46</v>
      </c>
      <c r="D479" t="s">
        <v>100</v>
      </c>
      <c r="E479">
        <v>446</v>
      </c>
      <c r="K479" t="str" cm="1">
        <f t="array" aca="1" ref="K479" ca="1">INDIRECT(_xlfn.CONCAT("A",$Q479))</f>
        <v>connection_phase</v>
      </c>
      <c r="L479" t="str" cm="1">
        <f t="array" aca="1" ref="L479" ca="1">INDIRECT(_xlfn.CONCAT("B",$Q479))</f>
        <v>SPVA</v>
      </c>
      <c r="M479" cm="1">
        <f t="array" aca="1" ref="M479" ca="1">INDIRECT(_xlfn.CONCAT("C",$Q479))</f>
        <v>28</v>
      </c>
      <c r="N479" t="str" cm="1">
        <f t="array" aca="1" ref="N479" ca="1">INDIRECT(_xlfn.CONCAT("D",$Q479))</f>
        <v>validation</v>
      </c>
      <c r="O479" cm="1">
        <f t="array" aca="1" ref="O479" ca="1">INDIRECT(_xlfn.CONCAT("E",$Q479))</f>
        <v>398</v>
      </c>
      <c r="Q479">
        <v>389</v>
      </c>
    </row>
    <row r="480" spans="1:17">
      <c r="A480" t="s">
        <v>97</v>
      </c>
      <c r="B480" t="s">
        <v>9</v>
      </c>
      <c r="C480">
        <v>46</v>
      </c>
      <c r="D480" t="s">
        <v>101</v>
      </c>
      <c r="E480">
        <v>320</v>
      </c>
      <c r="K480" t="str" cm="1">
        <f t="array" aca="1" ref="K480" ca="1">INDIRECT(_xlfn.CONCAT("A",$Q480))</f>
        <v>connection_phase</v>
      </c>
      <c r="L480" t="str" cm="1">
        <f t="array" aca="1" ref="L480" ca="1">INDIRECT(_xlfn.CONCAT("B",$Q480))</f>
        <v>SPVA</v>
      </c>
      <c r="M480" cm="1">
        <f t="array" aca="1" ref="M480" ca="1">INDIRECT(_xlfn.CONCAT("C",$Q480))</f>
        <v>29</v>
      </c>
      <c r="N480" t="str" cm="1">
        <f t="array" aca="1" ref="N480" ca="1">INDIRECT(_xlfn.CONCAT("D",$Q480))</f>
        <v>validation</v>
      </c>
      <c r="O480" cm="1">
        <f t="array" aca="1" ref="O480" ca="1">INDIRECT(_xlfn.CONCAT("E",$Q480))</f>
        <v>366</v>
      </c>
      <c r="Q480">
        <v>394</v>
      </c>
    </row>
    <row r="481" spans="1:17">
      <c r="A481" t="s">
        <v>97</v>
      </c>
      <c r="B481" t="s">
        <v>9</v>
      </c>
      <c r="C481">
        <v>46</v>
      </c>
      <c r="D481" t="s">
        <v>102</v>
      </c>
      <c r="E481">
        <v>12290</v>
      </c>
      <c r="K481" t="str" cm="1">
        <f t="array" aca="1" ref="K481" ca="1">INDIRECT(_xlfn.CONCAT("A",$Q481))</f>
        <v>connection_phase</v>
      </c>
      <c r="L481" t="str" cm="1">
        <f t="array" aca="1" ref="L481" ca="1">INDIRECT(_xlfn.CONCAT("B",$Q481))</f>
        <v>SPVA</v>
      </c>
      <c r="M481" cm="1">
        <f t="array" aca="1" ref="M481" ca="1">INDIRECT(_xlfn.CONCAT("C",$Q481))</f>
        <v>30</v>
      </c>
      <c r="N481" t="str" cm="1">
        <f t="array" aca="1" ref="N481" ca="1">INDIRECT(_xlfn.CONCAT("D",$Q481))</f>
        <v>validation</v>
      </c>
      <c r="O481" cm="1">
        <f t="array" aca="1" ref="O481" ca="1">INDIRECT(_xlfn.CONCAT("E",$Q481))</f>
        <v>360</v>
      </c>
      <c r="Q481">
        <v>399</v>
      </c>
    </row>
    <row r="482" spans="1:17">
      <c r="A482" t="s">
        <v>97</v>
      </c>
      <c r="B482" t="s">
        <v>9</v>
      </c>
      <c r="C482">
        <v>47</v>
      </c>
      <c r="D482" t="s">
        <v>98</v>
      </c>
      <c r="E482">
        <v>2785</v>
      </c>
      <c r="K482" t="str" cm="1">
        <f t="array" aca="1" ref="K482" ca="1">INDIRECT(_xlfn.CONCAT("A",$Q482))</f>
        <v>connection_phase</v>
      </c>
      <c r="L482" t="str" cm="1">
        <f t="array" aca="1" ref="L482" ca="1">INDIRECT(_xlfn.CONCAT("B",$Q482))</f>
        <v>SPVA</v>
      </c>
      <c r="M482" cm="1">
        <f t="array" aca="1" ref="M482" ca="1">INDIRECT(_xlfn.CONCAT("C",$Q482))</f>
        <v>31</v>
      </c>
      <c r="N482" t="str" cm="1">
        <f t="array" aca="1" ref="N482" ca="1">INDIRECT(_xlfn.CONCAT("D",$Q482))</f>
        <v>validation</v>
      </c>
      <c r="O482" cm="1">
        <f t="array" aca="1" ref="O482" ca="1">INDIRECT(_xlfn.CONCAT("E",$Q482))</f>
        <v>412</v>
      </c>
      <c r="Q482">
        <v>404</v>
      </c>
    </row>
    <row r="483" spans="1:17">
      <c r="A483" t="s">
        <v>97</v>
      </c>
      <c r="B483" t="s">
        <v>9</v>
      </c>
      <c r="C483">
        <v>47</v>
      </c>
      <c r="D483" t="s">
        <v>99</v>
      </c>
      <c r="E483">
        <v>6635</v>
      </c>
      <c r="K483" t="str" cm="1">
        <f t="array" aca="1" ref="K483" ca="1">INDIRECT(_xlfn.CONCAT("A",$Q483))</f>
        <v>connection_phase</v>
      </c>
      <c r="L483" t="str" cm="1">
        <f t="array" aca="1" ref="L483" ca="1">INDIRECT(_xlfn.CONCAT("B",$Q483))</f>
        <v>SPVA</v>
      </c>
      <c r="M483" cm="1">
        <f t="array" aca="1" ref="M483" ca="1">INDIRECT(_xlfn.CONCAT("C",$Q483))</f>
        <v>32</v>
      </c>
      <c r="N483" t="str" cm="1">
        <f t="array" aca="1" ref="N483" ca="1">INDIRECT(_xlfn.CONCAT("D",$Q483))</f>
        <v>validation</v>
      </c>
      <c r="O483" cm="1">
        <f t="array" aca="1" ref="O483" ca="1">INDIRECT(_xlfn.CONCAT("E",$Q483))</f>
        <v>373</v>
      </c>
      <c r="Q483">
        <v>409</v>
      </c>
    </row>
    <row r="484" spans="1:17">
      <c r="A484" t="s">
        <v>97</v>
      </c>
      <c r="B484" t="s">
        <v>9</v>
      </c>
      <c r="C484">
        <v>47</v>
      </c>
      <c r="D484" t="s">
        <v>100</v>
      </c>
      <c r="E484">
        <v>532</v>
      </c>
      <c r="K484" t="str" cm="1">
        <f t="array" aca="1" ref="K484" ca="1">INDIRECT(_xlfn.CONCAT("A",$Q484))</f>
        <v>connection_phase</v>
      </c>
      <c r="L484" t="str" cm="1">
        <f t="array" aca="1" ref="L484" ca="1">INDIRECT(_xlfn.CONCAT("B",$Q484))</f>
        <v>SPVA</v>
      </c>
      <c r="M484" cm="1">
        <f t="array" aca="1" ref="M484" ca="1">INDIRECT(_xlfn.CONCAT("C",$Q484))</f>
        <v>33</v>
      </c>
      <c r="N484" t="str" cm="1">
        <f t="array" aca="1" ref="N484" ca="1">INDIRECT(_xlfn.CONCAT("D",$Q484))</f>
        <v>validation</v>
      </c>
      <c r="O484" cm="1">
        <f t="array" aca="1" ref="O484" ca="1">INDIRECT(_xlfn.CONCAT("E",$Q484))</f>
        <v>370</v>
      </c>
      <c r="Q484">
        <v>414</v>
      </c>
    </row>
    <row r="485" spans="1:17">
      <c r="A485" t="s">
        <v>97</v>
      </c>
      <c r="B485" t="s">
        <v>9</v>
      </c>
      <c r="C485">
        <v>47</v>
      </c>
      <c r="D485" t="s">
        <v>101</v>
      </c>
      <c r="E485">
        <v>320</v>
      </c>
      <c r="K485" t="str" cm="1">
        <f t="array" aca="1" ref="K485" ca="1">INDIRECT(_xlfn.CONCAT("A",$Q485))</f>
        <v>connection_phase</v>
      </c>
      <c r="L485" t="str" cm="1">
        <f t="array" aca="1" ref="L485" ca="1">INDIRECT(_xlfn.CONCAT("B",$Q485))</f>
        <v>SPVA</v>
      </c>
      <c r="M485" cm="1">
        <f t="array" aca="1" ref="M485" ca="1">INDIRECT(_xlfn.CONCAT("C",$Q485))</f>
        <v>34</v>
      </c>
      <c r="N485" t="str" cm="1">
        <f t="array" aca="1" ref="N485" ca="1">INDIRECT(_xlfn.CONCAT("D",$Q485))</f>
        <v>validation</v>
      </c>
      <c r="O485" cm="1">
        <f t="array" aca="1" ref="O485" ca="1">INDIRECT(_xlfn.CONCAT("E",$Q485))</f>
        <v>490</v>
      </c>
      <c r="Q485">
        <v>419</v>
      </c>
    </row>
    <row r="486" spans="1:17">
      <c r="A486" t="s">
        <v>97</v>
      </c>
      <c r="B486" t="s">
        <v>9</v>
      </c>
      <c r="C486">
        <v>47</v>
      </c>
      <c r="D486" t="s">
        <v>102</v>
      </c>
      <c r="E486">
        <v>10272</v>
      </c>
      <c r="K486" t="str" cm="1">
        <f t="array" aca="1" ref="K486" ca="1">INDIRECT(_xlfn.CONCAT("A",$Q486))</f>
        <v>connection_phase</v>
      </c>
      <c r="L486" t="str" cm="1">
        <f t="array" aca="1" ref="L486" ca="1">INDIRECT(_xlfn.CONCAT("B",$Q486))</f>
        <v>SPVA</v>
      </c>
      <c r="M486" cm="1">
        <f t="array" aca="1" ref="M486" ca="1">INDIRECT(_xlfn.CONCAT("C",$Q486))</f>
        <v>35</v>
      </c>
      <c r="N486" t="str" cm="1">
        <f t="array" aca="1" ref="N486" ca="1">INDIRECT(_xlfn.CONCAT("D",$Q486))</f>
        <v>validation</v>
      </c>
      <c r="O486" cm="1">
        <f t="array" aca="1" ref="O486" ca="1">INDIRECT(_xlfn.CONCAT("E",$Q486))</f>
        <v>348</v>
      </c>
      <c r="Q486">
        <v>424</v>
      </c>
    </row>
    <row r="487" spans="1:17">
      <c r="A487" t="s">
        <v>97</v>
      </c>
      <c r="B487" t="s">
        <v>9</v>
      </c>
      <c r="C487">
        <v>48</v>
      </c>
      <c r="D487" t="s">
        <v>98</v>
      </c>
      <c r="E487">
        <v>935</v>
      </c>
      <c r="K487" t="str" cm="1">
        <f t="array" aca="1" ref="K487" ca="1">INDIRECT(_xlfn.CONCAT("A",$Q487))</f>
        <v>connection_phase</v>
      </c>
      <c r="L487" t="str" cm="1">
        <f t="array" aca="1" ref="L487" ca="1">INDIRECT(_xlfn.CONCAT("B",$Q487))</f>
        <v>SPVA</v>
      </c>
      <c r="M487" cm="1">
        <f t="array" aca="1" ref="M487" ca="1">INDIRECT(_xlfn.CONCAT("C",$Q487))</f>
        <v>36</v>
      </c>
      <c r="N487" t="str" cm="1">
        <f t="array" aca="1" ref="N487" ca="1">INDIRECT(_xlfn.CONCAT("D",$Q487))</f>
        <v>validation</v>
      </c>
      <c r="O487" cm="1">
        <f t="array" aca="1" ref="O487" ca="1">INDIRECT(_xlfn.CONCAT("E",$Q487))</f>
        <v>645</v>
      </c>
      <c r="Q487">
        <v>429</v>
      </c>
    </row>
    <row r="488" spans="1:17">
      <c r="A488" t="s">
        <v>97</v>
      </c>
      <c r="B488" t="s">
        <v>9</v>
      </c>
      <c r="C488">
        <v>48</v>
      </c>
      <c r="D488" t="s">
        <v>99</v>
      </c>
      <c r="E488">
        <v>3115</v>
      </c>
      <c r="K488" t="str" cm="1">
        <f t="array" aca="1" ref="K488" ca="1">INDIRECT(_xlfn.CONCAT("A",$Q488))</f>
        <v>connection_phase</v>
      </c>
      <c r="L488" t="str" cm="1">
        <f t="array" aca="1" ref="L488" ca="1">INDIRECT(_xlfn.CONCAT("B",$Q488))</f>
        <v>SPVA</v>
      </c>
      <c r="M488" cm="1">
        <f t="array" aca="1" ref="M488" ca="1">INDIRECT(_xlfn.CONCAT("C",$Q488))</f>
        <v>37</v>
      </c>
      <c r="N488" t="str" cm="1">
        <f t="array" aca="1" ref="N488" ca="1">INDIRECT(_xlfn.CONCAT("D",$Q488))</f>
        <v>validation</v>
      </c>
      <c r="O488" cm="1">
        <f t="array" aca="1" ref="O488" ca="1">INDIRECT(_xlfn.CONCAT("E",$Q488))</f>
        <v>398</v>
      </c>
      <c r="Q488">
        <v>434</v>
      </c>
    </row>
    <row r="489" spans="1:17">
      <c r="A489" t="s">
        <v>97</v>
      </c>
      <c r="B489" t="s">
        <v>9</v>
      </c>
      <c r="C489">
        <v>48</v>
      </c>
      <c r="D489" t="s">
        <v>100</v>
      </c>
      <c r="E489">
        <v>435</v>
      </c>
      <c r="K489" t="str" cm="1">
        <f t="array" aca="1" ref="K489" ca="1">INDIRECT(_xlfn.CONCAT("A",$Q489))</f>
        <v>connection_phase</v>
      </c>
      <c r="L489" t="str" cm="1">
        <f t="array" aca="1" ref="L489" ca="1">INDIRECT(_xlfn.CONCAT("B",$Q489))</f>
        <v>SPVA</v>
      </c>
      <c r="M489" cm="1">
        <f t="array" aca="1" ref="M489" ca="1">INDIRECT(_xlfn.CONCAT("C",$Q489))</f>
        <v>38</v>
      </c>
      <c r="N489" t="str" cm="1">
        <f t="array" aca="1" ref="N489" ca="1">INDIRECT(_xlfn.CONCAT("D",$Q489))</f>
        <v>validation</v>
      </c>
      <c r="O489" cm="1">
        <f t="array" aca="1" ref="O489" ca="1">INDIRECT(_xlfn.CONCAT("E",$Q489))</f>
        <v>445</v>
      </c>
      <c r="Q489">
        <v>439</v>
      </c>
    </row>
    <row r="490" spans="1:17">
      <c r="A490" t="s">
        <v>97</v>
      </c>
      <c r="B490" t="s">
        <v>9</v>
      </c>
      <c r="C490">
        <v>48</v>
      </c>
      <c r="D490" t="s">
        <v>101</v>
      </c>
      <c r="E490">
        <v>309</v>
      </c>
      <c r="K490" t="str" cm="1">
        <f t="array" aca="1" ref="K490" ca="1">INDIRECT(_xlfn.CONCAT("A",$Q490))</f>
        <v>connection_phase</v>
      </c>
      <c r="L490" t="str" cm="1">
        <f t="array" aca="1" ref="L490" ca="1">INDIRECT(_xlfn.CONCAT("B",$Q490))</f>
        <v>SPVA</v>
      </c>
      <c r="M490" cm="1">
        <f t="array" aca="1" ref="M490" ca="1">INDIRECT(_xlfn.CONCAT("C",$Q490))</f>
        <v>39</v>
      </c>
      <c r="N490" t="str" cm="1">
        <f t="array" aca="1" ref="N490" ca="1">INDIRECT(_xlfn.CONCAT("D",$Q490))</f>
        <v>validation</v>
      </c>
      <c r="O490" cm="1">
        <f t="array" aca="1" ref="O490" ca="1">INDIRECT(_xlfn.CONCAT("E",$Q490))</f>
        <v>532</v>
      </c>
      <c r="Q490">
        <v>444</v>
      </c>
    </row>
    <row r="491" spans="1:17">
      <c r="A491" t="s">
        <v>97</v>
      </c>
      <c r="B491" t="s">
        <v>9</v>
      </c>
      <c r="C491">
        <v>48</v>
      </c>
      <c r="D491" t="s">
        <v>102</v>
      </c>
      <c r="E491">
        <v>4794</v>
      </c>
      <c r="K491" t="str" cm="1">
        <f t="array" aca="1" ref="K491" ca="1">INDIRECT(_xlfn.CONCAT("A",$Q491))</f>
        <v>connection_phase</v>
      </c>
      <c r="L491" t="str" cm="1">
        <f t="array" aca="1" ref="L491" ca="1">INDIRECT(_xlfn.CONCAT("B",$Q491))</f>
        <v>SPVA</v>
      </c>
      <c r="M491" cm="1">
        <f t="array" aca="1" ref="M491" ca="1">INDIRECT(_xlfn.CONCAT("C",$Q491))</f>
        <v>40</v>
      </c>
      <c r="N491" t="str" cm="1">
        <f t="array" aca="1" ref="N491" ca="1">INDIRECT(_xlfn.CONCAT("D",$Q491))</f>
        <v>validation</v>
      </c>
      <c r="O491" cm="1">
        <f t="array" aca="1" ref="O491" ca="1">INDIRECT(_xlfn.CONCAT("E",$Q491))</f>
        <v>349</v>
      </c>
      <c r="Q491">
        <v>449</v>
      </c>
    </row>
    <row r="492" spans="1:17">
      <c r="A492" t="s">
        <v>97</v>
      </c>
      <c r="B492" t="s">
        <v>9</v>
      </c>
      <c r="C492">
        <v>49</v>
      </c>
      <c r="D492" t="s">
        <v>98</v>
      </c>
      <c r="E492">
        <v>1149</v>
      </c>
      <c r="K492" t="str" cm="1">
        <f t="array" aca="1" ref="K492" ca="1">INDIRECT(_xlfn.CONCAT("A",$Q492))</f>
        <v>connection_phase</v>
      </c>
      <c r="L492" t="str" cm="1">
        <f t="array" aca="1" ref="L492" ca="1">INDIRECT(_xlfn.CONCAT("B",$Q492))</f>
        <v>SPVA</v>
      </c>
      <c r="M492" cm="1">
        <f t="array" aca="1" ref="M492" ca="1">INDIRECT(_xlfn.CONCAT("C",$Q492))</f>
        <v>41</v>
      </c>
      <c r="N492" t="str" cm="1">
        <f t="array" aca="1" ref="N492" ca="1">INDIRECT(_xlfn.CONCAT("D",$Q492))</f>
        <v>validation</v>
      </c>
      <c r="O492" cm="1">
        <f t="array" aca="1" ref="O492" ca="1">INDIRECT(_xlfn.CONCAT("E",$Q492))</f>
        <v>524</v>
      </c>
      <c r="Q492">
        <v>454</v>
      </c>
    </row>
    <row r="493" spans="1:17">
      <c r="A493" t="s">
        <v>97</v>
      </c>
      <c r="B493" t="s">
        <v>9</v>
      </c>
      <c r="C493">
        <v>49</v>
      </c>
      <c r="D493" t="s">
        <v>99</v>
      </c>
      <c r="E493">
        <v>3252</v>
      </c>
      <c r="K493" t="str" cm="1">
        <f t="array" aca="1" ref="K493" ca="1">INDIRECT(_xlfn.CONCAT("A",$Q493))</f>
        <v>connection_phase</v>
      </c>
      <c r="L493" t="str" cm="1">
        <f t="array" aca="1" ref="L493" ca="1">INDIRECT(_xlfn.CONCAT("B",$Q493))</f>
        <v>SPVA</v>
      </c>
      <c r="M493" cm="1">
        <f t="array" aca="1" ref="M493" ca="1">INDIRECT(_xlfn.CONCAT("C",$Q493))</f>
        <v>42</v>
      </c>
      <c r="N493" t="str" cm="1">
        <f t="array" aca="1" ref="N493" ca="1">INDIRECT(_xlfn.CONCAT("D",$Q493))</f>
        <v>validation</v>
      </c>
      <c r="O493" cm="1">
        <f t="array" aca="1" ref="O493" ca="1">INDIRECT(_xlfn.CONCAT("E",$Q493))</f>
        <v>480</v>
      </c>
      <c r="Q493">
        <v>459</v>
      </c>
    </row>
    <row r="494" spans="1:17">
      <c r="A494" t="s">
        <v>97</v>
      </c>
      <c r="B494" t="s">
        <v>9</v>
      </c>
      <c r="C494">
        <v>49</v>
      </c>
      <c r="D494" t="s">
        <v>100</v>
      </c>
      <c r="E494">
        <v>935</v>
      </c>
      <c r="K494" t="str" cm="1">
        <f t="array" aca="1" ref="K494" ca="1">INDIRECT(_xlfn.CONCAT("A",$Q494))</f>
        <v>connection_phase</v>
      </c>
      <c r="L494" t="str" cm="1">
        <f t="array" aca="1" ref="L494" ca="1">INDIRECT(_xlfn.CONCAT("B",$Q494))</f>
        <v>SPVA</v>
      </c>
      <c r="M494" cm="1">
        <f t="array" aca="1" ref="M494" ca="1">INDIRECT(_xlfn.CONCAT("C",$Q494))</f>
        <v>43</v>
      </c>
      <c r="N494" t="str" cm="1">
        <f t="array" aca="1" ref="N494" ca="1">INDIRECT(_xlfn.CONCAT("D",$Q494))</f>
        <v>validation</v>
      </c>
      <c r="O494" cm="1">
        <f t="array" aca="1" ref="O494" ca="1">INDIRECT(_xlfn.CONCAT("E",$Q494))</f>
        <v>429</v>
      </c>
      <c r="Q494">
        <v>464</v>
      </c>
    </row>
    <row r="495" spans="1:17">
      <c r="A495" t="s">
        <v>97</v>
      </c>
      <c r="B495" t="s">
        <v>9</v>
      </c>
      <c r="C495">
        <v>49</v>
      </c>
      <c r="D495" t="s">
        <v>101</v>
      </c>
      <c r="E495">
        <v>365</v>
      </c>
      <c r="K495" t="str" cm="1">
        <f t="array" aca="1" ref="K495" ca="1">INDIRECT(_xlfn.CONCAT("A",$Q495))</f>
        <v>connection_phase</v>
      </c>
      <c r="L495" t="str" cm="1">
        <f t="array" aca="1" ref="L495" ca="1">INDIRECT(_xlfn.CONCAT("B",$Q495))</f>
        <v>SPVA</v>
      </c>
      <c r="M495" cm="1">
        <f t="array" aca="1" ref="M495" ca="1">INDIRECT(_xlfn.CONCAT("C",$Q495))</f>
        <v>44</v>
      </c>
      <c r="N495" t="str" cm="1">
        <f t="array" aca="1" ref="N495" ca="1">INDIRECT(_xlfn.CONCAT("D",$Q495))</f>
        <v>validation</v>
      </c>
      <c r="O495" cm="1">
        <f t="array" aca="1" ref="O495" ca="1">INDIRECT(_xlfn.CONCAT("E",$Q495))</f>
        <v>382</v>
      </c>
      <c r="Q495">
        <v>469</v>
      </c>
    </row>
    <row r="496" spans="1:17">
      <c r="A496" t="s">
        <v>97</v>
      </c>
      <c r="B496" t="s">
        <v>9</v>
      </c>
      <c r="C496">
        <v>49</v>
      </c>
      <c r="D496" t="s">
        <v>102</v>
      </c>
      <c r="E496">
        <v>5701</v>
      </c>
      <c r="K496" t="str" cm="1">
        <f t="array" aca="1" ref="K496" ca="1">INDIRECT(_xlfn.CONCAT("A",$Q496))</f>
        <v>connection_phase</v>
      </c>
      <c r="L496" t="str" cm="1">
        <f t="array" aca="1" ref="L496" ca="1">INDIRECT(_xlfn.CONCAT("B",$Q496))</f>
        <v>SPVA</v>
      </c>
      <c r="M496" cm="1">
        <f t="array" aca="1" ref="M496" ca="1">INDIRECT(_xlfn.CONCAT("C",$Q496))</f>
        <v>45</v>
      </c>
      <c r="N496" t="str" cm="1">
        <f t="array" aca="1" ref="N496" ca="1">INDIRECT(_xlfn.CONCAT("D",$Q496))</f>
        <v>validation</v>
      </c>
      <c r="O496" cm="1">
        <f t="array" aca="1" ref="O496" ca="1">INDIRECT(_xlfn.CONCAT("E",$Q496))</f>
        <v>538</v>
      </c>
      <c r="Q496">
        <v>474</v>
      </c>
    </row>
    <row r="497" spans="1:17">
      <c r="A497" t="s">
        <v>97</v>
      </c>
      <c r="B497" t="s">
        <v>9</v>
      </c>
      <c r="C497">
        <v>50</v>
      </c>
      <c r="D497" t="s">
        <v>98</v>
      </c>
      <c r="E497">
        <v>1008</v>
      </c>
      <c r="K497" t="str" cm="1">
        <f t="array" aca="1" ref="K497" ca="1">INDIRECT(_xlfn.CONCAT("A",$Q497))</f>
        <v>connection_phase</v>
      </c>
      <c r="L497" t="str" cm="1">
        <f t="array" aca="1" ref="L497" ca="1">INDIRECT(_xlfn.CONCAT("B",$Q497))</f>
        <v>SPVA</v>
      </c>
      <c r="M497" cm="1">
        <f t="array" aca="1" ref="M497" ca="1">INDIRECT(_xlfn.CONCAT("C",$Q497))</f>
        <v>46</v>
      </c>
      <c r="N497" t="str" cm="1">
        <f t="array" aca="1" ref="N497" ca="1">INDIRECT(_xlfn.CONCAT("D",$Q497))</f>
        <v>validation</v>
      </c>
      <c r="O497" cm="1">
        <f t="array" aca="1" ref="O497" ca="1">INDIRECT(_xlfn.CONCAT("E",$Q497))</f>
        <v>446</v>
      </c>
      <c r="Q497">
        <v>479</v>
      </c>
    </row>
    <row r="498" spans="1:17">
      <c r="A498" t="s">
        <v>97</v>
      </c>
      <c r="B498" t="s">
        <v>9</v>
      </c>
      <c r="C498">
        <v>50</v>
      </c>
      <c r="D498" t="s">
        <v>99</v>
      </c>
      <c r="E498">
        <v>3023</v>
      </c>
      <c r="K498" t="str" cm="1">
        <f t="array" aca="1" ref="K498" ca="1">INDIRECT(_xlfn.CONCAT("A",$Q498))</f>
        <v>connection_phase</v>
      </c>
      <c r="L498" t="str" cm="1">
        <f t="array" aca="1" ref="L498" ca="1">INDIRECT(_xlfn.CONCAT("B",$Q498))</f>
        <v>SPVA</v>
      </c>
      <c r="M498" cm="1">
        <f t="array" aca="1" ref="M498" ca="1">INDIRECT(_xlfn.CONCAT("C",$Q498))</f>
        <v>47</v>
      </c>
      <c r="N498" t="str" cm="1">
        <f t="array" aca="1" ref="N498" ca="1">INDIRECT(_xlfn.CONCAT("D",$Q498))</f>
        <v>validation</v>
      </c>
      <c r="O498" cm="1">
        <f t="array" aca="1" ref="O498" ca="1">INDIRECT(_xlfn.CONCAT("E",$Q498))</f>
        <v>532</v>
      </c>
      <c r="Q498">
        <v>484</v>
      </c>
    </row>
    <row r="499" spans="1:17">
      <c r="A499" t="s">
        <v>97</v>
      </c>
      <c r="B499" t="s">
        <v>9</v>
      </c>
      <c r="C499">
        <v>50</v>
      </c>
      <c r="D499" t="s">
        <v>100</v>
      </c>
      <c r="E499">
        <v>414</v>
      </c>
      <c r="K499" t="str" cm="1">
        <f t="array" aca="1" ref="K499" ca="1">INDIRECT(_xlfn.CONCAT("A",$Q499))</f>
        <v>connection_phase</v>
      </c>
      <c r="L499" t="str" cm="1">
        <f t="array" aca="1" ref="L499" ca="1">INDIRECT(_xlfn.CONCAT("B",$Q499))</f>
        <v>SPVA</v>
      </c>
      <c r="M499" cm="1">
        <f t="array" aca="1" ref="M499" ca="1">INDIRECT(_xlfn.CONCAT("C",$Q499))</f>
        <v>48</v>
      </c>
      <c r="N499" t="str" cm="1">
        <f t="array" aca="1" ref="N499" ca="1">INDIRECT(_xlfn.CONCAT("D",$Q499))</f>
        <v>validation</v>
      </c>
      <c r="O499" cm="1">
        <f t="array" aca="1" ref="O499" ca="1">INDIRECT(_xlfn.CONCAT("E",$Q499))</f>
        <v>435</v>
      </c>
      <c r="Q499">
        <v>489</v>
      </c>
    </row>
    <row r="500" spans="1:17">
      <c r="A500" t="s">
        <v>97</v>
      </c>
      <c r="B500" t="s">
        <v>9</v>
      </c>
      <c r="C500">
        <v>50</v>
      </c>
      <c r="D500" t="s">
        <v>101</v>
      </c>
      <c r="E500">
        <v>406</v>
      </c>
      <c r="K500" t="str" cm="1">
        <f t="array" aca="1" ref="K500" ca="1">INDIRECT(_xlfn.CONCAT("A",$Q500))</f>
        <v>connection_phase</v>
      </c>
      <c r="L500" t="str" cm="1">
        <f t="array" aca="1" ref="L500" ca="1">INDIRECT(_xlfn.CONCAT("B",$Q500))</f>
        <v>SPVA</v>
      </c>
      <c r="M500" cm="1">
        <f t="array" aca="1" ref="M500" ca="1">INDIRECT(_xlfn.CONCAT("C",$Q500))</f>
        <v>49</v>
      </c>
      <c r="N500" t="str" cm="1">
        <f t="array" aca="1" ref="N500" ca="1">INDIRECT(_xlfn.CONCAT("D",$Q500))</f>
        <v>validation</v>
      </c>
      <c r="O500" cm="1">
        <f t="array" aca="1" ref="O500" ca="1">INDIRECT(_xlfn.CONCAT("E",$Q500))</f>
        <v>935</v>
      </c>
      <c r="Q500">
        <v>494</v>
      </c>
    </row>
    <row r="501" spans="1:17">
      <c r="A501" t="s">
        <v>97</v>
      </c>
      <c r="B501" t="s">
        <v>9</v>
      </c>
      <c r="C501">
        <v>50</v>
      </c>
      <c r="D501" t="s">
        <v>102</v>
      </c>
      <c r="E501">
        <v>4851</v>
      </c>
      <c r="K501" t="str" cm="1">
        <f t="array" aca="1" ref="K501" ca="1">INDIRECT(_xlfn.CONCAT("A",$Q501))</f>
        <v>connection_phase</v>
      </c>
      <c r="L501" t="str" cm="1">
        <f t="array" aca="1" ref="L501" ca="1">INDIRECT(_xlfn.CONCAT("B",$Q501))</f>
        <v>SPVA</v>
      </c>
      <c r="M501" cm="1">
        <f t="array" aca="1" ref="M501" ca="1">INDIRECT(_xlfn.CONCAT("C",$Q501))</f>
        <v>50</v>
      </c>
      <c r="N501" t="str" cm="1">
        <f t="array" aca="1" ref="N501" ca="1">INDIRECT(_xlfn.CONCAT("D",$Q501))</f>
        <v>validation</v>
      </c>
      <c r="O501" cm="1">
        <f t="array" aca="1" ref="O501" ca="1">INDIRECT(_xlfn.CONCAT("E",$Q501))</f>
        <v>414</v>
      </c>
      <c r="Q501">
        <v>499</v>
      </c>
    </row>
    <row r="502" spans="1:17">
      <c r="A502" t="s">
        <v>97</v>
      </c>
      <c r="B502" t="s">
        <v>10</v>
      </c>
      <c r="C502">
        <v>1</v>
      </c>
      <c r="D502" t="s">
        <v>98</v>
      </c>
      <c r="E502">
        <v>4684</v>
      </c>
      <c r="K502" t="str" cm="1">
        <f t="array" aca="1" ref="K502" ca="1">INDIRECT(_xlfn.CONCAT("A",$Q502))</f>
        <v>connection_phase</v>
      </c>
      <c r="L502" t="str" cm="1">
        <f t="array" aca="1" ref="L502" ca="1">INDIRECT(_xlfn.CONCAT("B",$Q502))</f>
        <v>SPVA_CERTMON</v>
      </c>
      <c r="M502" cm="1">
        <f t="array" aca="1" ref="M502" ca="1">INDIRECT(_xlfn.CONCAT("C",$Q502))</f>
        <v>1</v>
      </c>
      <c r="N502" t="str" cm="1">
        <f t="array" aca="1" ref="N502" ca="1">INDIRECT(_xlfn.CONCAT("D",$Q502))</f>
        <v>create_channel</v>
      </c>
      <c r="O502" cm="1">
        <f t="array" aca="1" ref="O502" ca="1">INDIRECT(_xlfn.CONCAT("E",$Q502))</f>
        <v>16566</v>
      </c>
      <c r="Q502">
        <v>505</v>
      </c>
    </row>
    <row r="503" spans="1:17">
      <c r="A503" t="s">
        <v>97</v>
      </c>
      <c r="B503" t="s">
        <v>10</v>
      </c>
      <c r="C503">
        <v>1</v>
      </c>
      <c r="D503" t="s">
        <v>99</v>
      </c>
      <c r="E503">
        <v>16273</v>
      </c>
      <c r="K503" t="str" cm="1">
        <f t="array" aca="1" ref="K503" ca="1">INDIRECT(_xlfn.CONCAT("A",$Q503))</f>
        <v>connection_phase</v>
      </c>
      <c r="L503" t="str" cm="1">
        <f t="array" aca="1" ref="L503" ca="1">INDIRECT(_xlfn.CONCAT("B",$Q503))</f>
        <v>SPVA_CERTMON</v>
      </c>
      <c r="M503" cm="1">
        <f t="array" aca="1" ref="M503" ca="1">INDIRECT(_xlfn.CONCAT("C",$Q503))</f>
        <v>2</v>
      </c>
      <c r="N503" t="str" cm="1">
        <f t="array" aca="1" ref="N503" ca="1">INDIRECT(_xlfn.CONCAT("D",$Q503))</f>
        <v>create_channel</v>
      </c>
      <c r="O503" cm="1">
        <f t="array" aca="1" ref="O503" ca="1">INDIRECT(_xlfn.CONCAT("E",$Q503))</f>
        <v>13255</v>
      </c>
      <c r="Q503">
        <v>510</v>
      </c>
    </row>
    <row r="504" spans="1:17">
      <c r="A504" t="s">
        <v>97</v>
      </c>
      <c r="B504" t="s">
        <v>10</v>
      </c>
      <c r="C504">
        <v>1</v>
      </c>
      <c r="D504" t="s">
        <v>100</v>
      </c>
      <c r="E504">
        <v>618</v>
      </c>
      <c r="K504" t="str" cm="1">
        <f t="array" aca="1" ref="K504" ca="1">INDIRECT(_xlfn.CONCAT("A",$Q504))</f>
        <v>connection_phase</v>
      </c>
      <c r="L504" t="str" cm="1">
        <f t="array" aca="1" ref="L504" ca="1">INDIRECT(_xlfn.CONCAT("B",$Q504))</f>
        <v>SPVA_CERTMON</v>
      </c>
      <c r="M504" cm="1">
        <f t="array" aca="1" ref="M504" ca="1">INDIRECT(_xlfn.CONCAT("C",$Q504))</f>
        <v>3</v>
      </c>
      <c r="N504" t="str" cm="1">
        <f t="array" aca="1" ref="N504" ca="1">INDIRECT(_xlfn.CONCAT("D",$Q504))</f>
        <v>create_channel</v>
      </c>
      <c r="O504" cm="1">
        <f t="array" aca="1" ref="O504" ca="1">INDIRECT(_xlfn.CONCAT("E",$Q504))</f>
        <v>15899</v>
      </c>
      <c r="Q504">
        <v>515</v>
      </c>
    </row>
    <row r="505" spans="1:17">
      <c r="A505" t="s">
        <v>97</v>
      </c>
      <c r="B505" t="s">
        <v>10</v>
      </c>
      <c r="C505">
        <v>1</v>
      </c>
      <c r="D505" t="s">
        <v>101</v>
      </c>
      <c r="E505">
        <v>16566</v>
      </c>
      <c r="K505" t="str" cm="1">
        <f t="array" aca="1" ref="K505" ca="1">INDIRECT(_xlfn.CONCAT("A",$Q505))</f>
        <v>connection_phase</v>
      </c>
      <c r="L505" t="str" cm="1">
        <f t="array" aca="1" ref="L505" ca="1">INDIRECT(_xlfn.CONCAT("B",$Q505))</f>
        <v>SPVA_CERTMON</v>
      </c>
      <c r="M505" cm="1">
        <f t="array" aca="1" ref="M505" ca="1">INDIRECT(_xlfn.CONCAT("C",$Q505))</f>
        <v>4</v>
      </c>
      <c r="N505" t="str" cm="1">
        <f t="array" aca="1" ref="N505" ca="1">INDIRECT(_xlfn.CONCAT("D",$Q505))</f>
        <v>create_channel</v>
      </c>
      <c r="O505" cm="1">
        <f t="array" aca="1" ref="O505" ca="1">INDIRECT(_xlfn.CONCAT("E",$Q505))</f>
        <v>15135</v>
      </c>
      <c r="Q505">
        <v>520</v>
      </c>
    </row>
    <row r="506" spans="1:17">
      <c r="A506" t="s">
        <v>97</v>
      </c>
      <c r="B506" t="s">
        <v>10</v>
      </c>
      <c r="C506">
        <v>1</v>
      </c>
      <c r="D506" t="s">
        <v>102</v>
      </c>
      <c r="E506">
        <v>38141</v>
      </c>
      <c r="K506" t="str" cm="1">
        <f t="array" aca="1" ref="K506" ca="1">INDIRECT(_xlfn.CONCAT("A",$Q506))</f>
        <v>connection_phase</v>
      </c>
      <c r="L506" t="str" cm="1">
        <f t="array" aca="1" ref="L506" ca="1">INDIRECT(_xlfn.CONCAT("B",$Q506))</f>
        <v>SPVA_CERTMON</v>
      </c>
      <c r="M506" cm="1">
        <f t="array" aca="1" ref="M506" ca="1">INDIRECT(_xlfn.CONCAT("C",$Q506))</f>
        <v>5</v>
      </c>
      <c r="N506" t="str" cm="1">
        <f t="array" aca="1" ref="N506" ca="1">INDIRECT(_xlfn.CONCAT("D",$Q506))</f>
        <v>create_channel</v>
      </c>
      <c r="O506" cm="1">
        <f t="array" aca="1" ref="O506" ca="1">INDIRECT(_xlfn.CONCAT("E",$Q506))</f>
        <v>13712</v>
      </c>
      <c r="Q506">
        <v>525</v>
      </c>
    </row>
    <row r="507" spans="1:17">
      <c r="A507" t="s">
        <v>97</v>
      </c>
      <c r="B507" t="s">
        <v>10</v>
      </c>
      <c r="C507">
        <v>2</v>
      </c>
      <c r="D507" t="s">
        <v>98</v>
      </c>
      <c r="E507">
        <v>2861</v>
      </c>
      <c r="K507" t="str" cm="1">
        <f t="array" aca="1" ref="K507" ca="1">INDIRECT(_xlfn.CONCAT("A",$Q507))</f>
        <v>connection_phase</v>
      </c>
      <c r="L507" t="str" cm="1">
        <f t="array" aca="1" ref="L507" ca="1">INDIRECT(_xlfn.CONCAT("B",$Q507))</f>
        <v>SPVA_CERTMON</v>
      </c>
      <c r="M507" cm="1">
        <f t="array" aca="1" ref="M507" ca="1">INDIRECT(_xlfn.CONCAT("C",$Q507))</f>
        <v>6</v>
      </c>
      <c r="N507" t="str" cm="1">
        <f t="array" aca="1" ref="N507" ca="1">INDIRECT(_xlfn.CONCAT("D",$Q507))</f>
        <v>create_channel</v>
      </c>
      <c r="O507" cm="1">
        <f t="array" aca="1" ref="O507" ca="1">INDIRECT(_xlfn.CONCAT("E",$Q507))</f>
        <v>16734</v>
      </c>
      <c r="Q507">
        <v>530</v>
      </c>
    </row>
    <row r="508" spans="1:17">
      <c r="A508" t="s">
        <v>97</v>
      </c>
      <c r="B508" t="s">
        <v>10</v>
      </c>
      <c r="C508">
        <v>2</v>
      </c>
      <c r="D508" t="s">
        <v>99</v>
      </c>
      <c r="E508">
        <v>16034</v>
      </c>
      <c r="K508" t="str" cm="1">
        <f t="array" aca="1" ref="K508" ca="1">INDIRECT(_xlfn.CONCAT("A",$Q508))</f>
        <v>connection_phase</v>
      </c>
      <c r="L508" t="str" cm="1">
        <f t="array" aca="1" ref="L508" ca="1">INDIRECT(_xlfn.CONCAT("B",$Q508))</f>
        <v>SPVA_CERTMON</v>
      </c>
      <c r="M508" cm="1">
        <f t="array" aca="1" ref="M508" ca="1">INDIRECT(_xlfn.CONCAT("C",$Q508))</f>
        <v>7</v>
      </c>
      <c r="N508" t="str" cm="1">
        <f t="array" aca="1" ref="N508" ca="1">INDIRECT(_xlfn.CONCAT("D",$Q508))</f>
        <v>create_channel</v>
      </c>
      <c r="O508" cm="1">
        <f t="array" aca="1" ref="O508" ca="1">INDIRECT(_xlfn.CONCAT("E",$Q508))</f>
        <v>21495</v>
      </c>
      <c r="Q508">
        <v>535</v>
      </c>
    </row>
    <row r="509" spans="1:17">
      <c r="A509" t="s">
        <v>97</v>
      </c>
      <c r="B509" t="s">
        <v>10</v>
      </c>
      <c r="C509">
        <v>2</v>
      </c>
      <c r="D509" t="s">
        <v>100</v>
      </c>
      <c r="E509">
        <v>752</v>
      </c>
      <c r="K509" t="str" cm="1">
        <f t="array" aca="1" ref="K509" ca="1">INDIRECT(_xlfn.CONCAT("A",$Q509))</f>
        <v>connection_phase</v>
      </c>
      <c r="L509" t="str" cm="1">
        <f t="array" aca="1" ref="L509" ca="1">INDIRECT(_xlfn.CONCAT("B",$Q509))</f>
        <v>SPVA_CERTMON</v>
      </c>
      <c r="M509" cm="1">
        <f t="array" aca="1" ref="M509" ca="1">INDIRECT(_xlfn.CONCAT("C",$Q509))</f>
        <v>8</v>
      </c>
      <c r="N509" t="str" cm="1">
        <f t="array" aca="1" ref="N509" ca="1">INDIRECT(_xlfn.CONCAT("D",$Q509))</f>
        <v>create_channel</v>
      </c>
      <c r="O509" cm="1">
        <f t="array" aca="1" ref="O509" ca="1">INDIRECT(_xlfn.CONCAT("E",$Q509))</f>
        <v>15265</v>
      </c>
      <c r="Q509">
        <v>540</v>
      </c>
    </row>
    <row r="510" spans="1:17">
      <c r="A510" t="s">
        <v>97</v>
      </c>
      <c r="B510" t="s">
        <v>10</v>
      </c>
      <c r="C510">
        <v>2</v>
      </c>
      <c r="D510" t="s">
        <v>101</v>
      </c>
      <c r="E510">
        <v>13255</v>
      </c>
      <c r="K510" t="str" cm="1">
        <f t="array" aca="1" ref="K510" ca="1">INDIRECT(_xlfn.CONCAT("A",$Q510))</f>
        <v>connection_phase</v>
      </c>
      <c r="L510" t="str" cm="1">
        <f t="array" aca="1" ref="L510" ca="1">INDIRECT(_xlfn.CONCAT("B",$Q510))</f>
        <v>SPVA_CERTMON</v>
      </c>
      <c r="M510" cm="1">
        <f t="array" aca="1" ref="M510" ca="1">INDIRECT(_xlfn.CONCAT("C",$Q510))</f>
        <v>9</v>
      </c>
      <c r="N510" t="str" cm="1">
        <f t="array" aca="1" ref="N510" ca="1">INDIRECT(_xlfn.CONCAT("D",$Q510))</f>
        <v>create_channel</v>
      </c>
      <c r="O510" cm="1">
        <f t="array" aca="1" ref="O510" ca="1">INDIRECT(_xlfn.CONCAT("E",$Q510))</f>
        <v>15792</v>
      </c>
      <c r="Q510">
        <v>545</v>
      </c>
    </row>
    <row r="511" spans="1:17">
      <c r="A511" t="s">
        <v>97</v>
      </c>
      <c r="B511" t="s">
        <v>10</v>
      </c>
      <c r="C511">
        <v>2</v>
      </c>
      <c r="D511" t="s">
        <v>102</v>
      </c>
      <c r="E511">
        <v>32902</v>
      </c>
      <c r="K511" t="str" cm="1">
        <f t="array" aca="1" ref="K511" ca="1">INDIRECT(_xlfn.CONCAT("A",$Q511))</f>
        <v>connection_phase</v>
      </c>
      <c r="L511" t="str" cm="1">
        <f t="array" aca="1" ref="L511" ca="1">INDIRECT(_xlfn.CONCAT("B",$Q511))</f>
        <v>SPVA_CERTMON</v>
      </c>
      <c r="M511" cm="1">
        <f t="array" aca="1" ref="M511" ca="1">INDIRECT(_xlfn.CONCAT("C",$Q511))</f>
        <v>10</v>
      </c>
      <c r="N511" t="str" cm="1">
        <f t="array" aca="1" ref="N511" ca="1">INDIRECT(_xlfn.CONCAT("D",$Q511))</f>
        <v>create_channel</v>
      </c>
      <c r="O511" cm="1">
        <f t="array" aca="1" ref="O511" ca="1">INDIRECT(_xlfn.CONCAT("E",$Q511))</f>
        <v>17735</v>
      </c>
      <c r="Q511">
        <v>550</v>
      </c>
    </row>
    <row r="512" spans="1:17">
      <c r="A512" t="s">
        <v>97</v>
      </c>
      <c r="B512" t="s">
        <v>10</v>
      </c>
      <c r="C512">
        <v>3</v>
      </c>
      <c r="D512" t="s">
        <v>98</v>
      </c>
      <c r="E512">
        <v>1422</v>
      </c>
      <c r="K512" t="str" cm="1">
        <f t="array" aca="1" ref="K512" ca="1">INDIRECT(_xlfn.CONCAT("A",$Q512))</f>
        <v>connection_phase</v>
      </c>
      <c r="L512" t="str" cm="1">
        <f t="array" aca="1" ref="L512" ca="1">INDIRECT(_xlfn.CONCAT("B",$Q512))</f>
        <v>SPVA_CERTMON</v>
      </c>
      <c r="M512" cm="1">
        <f t="array" aca="1" ref="M512" ca="1">INDIRECT(_xlfn.CONCAT("C",$Q512))</f>
        <v>11</v>
      </c>
      <c r="N512" t="str" cm="1">
        <f t="array" aca="1" ref="N512" ca="1">INDIRECT(_xlfn.CONCAT("D",$Q512))</f>
        <v>create_channel</v>
      </c>
      <c r="O512" cm="1">
        <f t="array" aca="1" ref="O512" ca="1">INDIRECT(_xlfn.CONCAT("E",$Q512))</f>
        <v>14789</v>
      </c>
      <c r="Q512">
        <v>555</v>
      </c>
    </row>
    <row r="513" spans="1:17">
      <c r="A513" t="s">
        <v>97</v>
      </c>
      <c r="B513" t="s">
        <v>10</v>
      </c>
      <c r="C513">
        <v>3</v>
      </c>
      <c r="D513" t="s">
        <v>99</v>
      </c>
      <c r="E513">
        <v>12390</v>
      </c>
      <c r="K513" t="str" cm="1">
        <f t="array" aca="1" ref="K513" ca="1">INDIRECT(_xlfn.CONCAT("A",$Q513))</f>
        <v>connection_phase</v>
      </c>
      <c r="L513" t="str" cm="1">
        <f t="array" aca="1" ref="L513" ca="1">INDIRECT(_xlfn.CONCAT("B",$Q513))</f>
        <v>SPVA_CERTMON</v>
      </c>
      <c r="M513" cm="1">
        <f t="array" aca="1" ref="M513" ca="1">INDIRECT(_xlfn.CONCAT("C",$Q513))</f>
        <v>12</v>
      </c>
      <c r="N513" t="str" cm="1">
        <f t="array" aca="1" ref="N513" ca="1">INDIRECT(_xlfn.CONCAT("D",$Q513))</f>
        <v>create_channel</v>
      </c>
      <c r="O513" cm="1">
        <f t="array" aca="1" ref="O513" ca="1">INDIRECT(_xlfn.CONCAT("E",$Q513))</f>
        <v>14803</v>
      </c>
      <c r="Q513">
        <v>560</v>
      </c>
    </row>
    <row r="514" spans="1:17">
      <c r="A514" t="s">
        <v>97</v>
      </c>
      <c r="B514" t="s">
        <v>10</v>
      </c>
      <c r="C514">
        <v>3</v>
      </c>
      <c r="D514" t="s">
        <v>100</v>
      </c>
      <c r="E514">
        <v>805</v>
      </c>
      <c r="K514" t="str" cm="1">
        <f t="array" aca="1" ref="K514" ca="1">INDIRECT(_xlfn.CONCAT("A",$Q514))</f>
        <v>connection_phase</v>
      </c>
      <c r="L514" t="str" cm="1">
        <f t="array" aca="1" ref="L514" ca="1">INDIRECT(_xlfn.CONCAT("B",$Q514))</f>
        <v>SPVA_CERTMON</v>
      </c>
      <c r="M514" cm="1">
        <f t="array" aca="1" ref="M514" ca="1">INDIRECT(_xlfn.CONCAT("C",$Q514))</f>
        <v>13</v>
      </c>
      <c r="N514" t="str" cm="1">
        <f t="array" aca="1" ref="N514" ca="1">INDIRECT(_xlfn.CONCAT("D",$Q514))</f>
        <v>create_channel</v>
      </c>
      <c r="O514" cm="1">
        <f t="array" aca="1" ref="O514" ca="1">INDIRECT(_xlfn.CONCAT("E",$Q514))</f>
        <v>14328</v>
      </c>
      <c r="Q514">
        <v>565</v>
      </c>
    </row>
    <row r="515" spans="1:17">
      <c r="A515" t="s">
        <v>97</v>
      </c>
      <c r="B515" t="s">
        <v>10</v>
      </c>
      <c r="C515">
        <v>3</v>
      </c>
      <c r="D515" t="s">
        <v>101</v>
      </c>
      <c r="E515">
        <v>15899</v>
      </c>
      <c r="K515" t="str" cm="1">
        <f t="array" aca="1" ref="K515" ca="1">INDIRECT(_xlfn.CONCAT("A",$Q515))</f>
        <v>connection_phase</v>
      </c>
      <c r="L515" t="str" cm="1">
        <f t="array" aca="1" ref="L515" ca="1">INDIRECT(_xlfn.CONCAT("B",$Q515))</f>
        <v>SPVA_CERTMON</v>
      </c>
      <c r="M515" cm="1">
        <f t="array" aca="1" ref="M515" ca="1">INDIRECT(_xlfn.CONCAT("C",$Q515))</f>
        <v>14</v>
      </c>
      <c r="N515" t="str" cm="1">
        <f t="array" aca="1" ref="N515" ca="1">INDIRECT(_xlfn.CONCAT("D",$Q515))</f>
        <v>create_channel</v>
      </c>
      <c r="O515" cm="1">
        <f t="array" aca="1" ref="O515" ca="1">INDIRECT(_xlfn.CONCAT("E",$Q515))</f>
        <v>13796</v>
      </c>
      <c r="Q515">
        <v>570</v>
      </c>
    </row>
    <row r="516" spans="1:17">
      <c r="A516" t="s">
        <v>97</v>
      </c>
      <c r="B516" t="s">
        <v>10</v>
      </c>
      <c r="C516">
        <v>3</v>
      </c>
      <c r="D516" t="s">
        <v>102</v>
      </c>
      <c r="E516">
        <v>30516</v>
      </c>
      <c r="K516" t="str" cm="1">
        <f t="array" aca="1" ref="K516" ca="1">INDIRECT(_xlfn.CONCAT("A",$Q516))</f>
        <v>connection_phase</v>
      </c>
      <c r="L516" t="str" cm="1">
        <f t="array" aca="1" ref="L516" ca="1">INDIRECT(_xlfn.CONCAT("B",$Q516))</f>
        <v>SPVA_CERTMON</v>
      </c>
      <c r="M516" cm="1">
        <f t="array" aca="1" ref="M516" ca="1">INDIRECT(_xlfn.CONCAT("C",$Q516))</f>
        <v>15</v>
      </c>
      <c r="N516" t="str" cm="1">
        <f t="array" aca="1" ref="N516" ca="1">INDIRECT(_xlfn.CONCAT("D",$Q516))</f>
        <v>create_channel</v>
      </c>
      <c r="O516" cm="1">
        <f t="array" aca="1" ref="O516" ca="1">INDIRECT(_xlfn.CONCAT("E",$Q516))</f>
        <v>12758</v>
      </c>
      <c r="Q516">
        <v>575</v>
      </c>
    </row>
    <row r="517" spans="1:17">
      <c r="A517" t="s">
        <v>97</v>
      </c>
      <c r="B517" t="s">
        <v>10</v>
      </c>
      <c r="C517">
        <v>4</v>
      </c>
      <c r="D517" t="s">
        <v>98</v>
      </c>
      <c r="E517">
        <v>2548</v>
      </c>
      <c r="K517" t="str" cm="1">
        <f t="array" aca="1" ref="K517" ca="1">INDIRECT(_xlfn.CONCAT("A",$Q517))</f>
        <v>connection_phase</v>
      </c>
      <c r="L517" t="str" cm="1">
        <f t="array" aca="1" ref="L517" ca="1">INDIRECT(_xlfn.CONCAT("B",$Q517))</f>
        <v>SPVA_CERTMON</v>
      </c>
      <c r="M517" cm="1">
        <f t="array" aca="1" ref="M517" ca="1">INDIRECT(_xlfn.CONCAT("C",$Q517))</f>
        <v>16</v>
      </c>
      <c r="N517" t="str" cm="1">
        <f t="array" aca="1" ref="N517" ca="1">INDIRECT(_xlfn.CONCAT("D",$Q517))</f>
        <v>create_channel</v>
      </c>
      <c r="O517" cm="1">
        <f t="array" aca="1" ref="O517" ca="1">INDIRECT(_xlfn.CONCAT("E",$Q517))</f>
        <v>13661</v>
      </c>
      <c r="Q517">
        <v>580</v>
      </c>
    </row>
    <row r="518" spans="1:17">
      <c r="A518" t="s">
        <v>97</v>
      </c>
      <c r="B518" t="s">
        <v>10</v>
      </c>
      <c r="C518">
        <v>4</v>
      </c>
      <c r="D518" t="s">
        <v>99</v>
      </c>
      <c r="E518">
        <v>12485</v>
      </c>
      <c r="K518" t="str" cm="1">
        <f t="array" aca="1" ref="K518" ca="1">INDIRECT(_xlfn.CONCAT("A",$Q518))</f>
        <v>connection_phase</v>
      </c>
      <c r="L518" t="str" cm="1">
        <f t="array" aca="1" ref="L518" ca="1">INDIRECT(_xlfn.CONCAT("B",$Q518))</f>
        <v>SPVA_CERTMON</v>
      </c>
      <c r="M518" cm="1">
        <f t="array" aca="1" ref="M518" ca="1">INDIRECT(_xlfn.CONCAT("C",$Q518))</f>
        <v>17</v>
      </c>
      <c r="N518" t="str" cm="1">
        <f t="array" aca="1" ref="N518" ca="1">INDIRECT(_xlfn.CONCAT("D",$Q518))</f>
        <v>create_channel</v>
      </c>
      <c r="O518" cm="1">
        <f t="array" aca="1" ref="O518" ca="1">INDIRECT(_xlfn.CONCAT("E",$Q518))</f>
        <v>13554</v>
      </c>
      <c r="Q518">
        <v>585</v>
      </c>
    </row>
    <row r="519" spans="1:17">
      <c r="A519" t="s">
        <v>97</v>
      </c>
      <c r="B519" t="s">
        <v>10</v>
      </c>
      <c r="C519">
        <v>4</v>
      </c>
      <c r="D519" t="s">
        <v>100</v>
      </c>
      <c r="E519">
        <v>844</v>
      </c>
      <c r="K519" t="str" cm="1">
        <f t="array" aca="1" ref="K519" ca="1">INDIRECT(_xlfn.CONCAT("A",$Q519))</f>
        <v>connection_phase</v>
      </c>
      <c r="L519" t="str" cm="1">
        <f t="array" aca="1" ref="L519" ca="1">INDIRECT(_xlfn.CONCAT("B",$Q519))</f>
        <v>SPVA_CERTMON</v>
      </c>
      <c r="M519" cm="1">
        <f t="array" aca="1" ref="M519" ca="1">INDIRECT(_xlfn.CONCAT("C",$Q519))</f>
        <v>18</v>
      </c>
      <c r="N519" t="str" cm="1">
        <f t="array" aca="1" ref="N519" ca="1">INDIRECT(_xlfn.CONCAT("D",$Q519))</f>
        <v>create_channel</v>
      </c>
      <c r="O519" cm="1">
        <f t="array" aca="1" ref="O519" ca="1">INDIRECT(_xlfn.CONCAT("E",$Q519))</f>
        <v>15988</v>
      </c>
      <c r="Q519">
        <v>590</v>
      </c>
    </row>
    <row r="520" spans="1:17">
      <c r="A520" t="s">
        <v>97</v>
      </c>
      <c r="B520" t="s">
        <v>10</v>
      </c>
      <c r="C520">
        <v>4</v>
      </c>
      <c r="D520" t="s">
        <v>101</v>
      </c>
      <c r="E520">
        <v>15135</v>
      </c>
      <c r="K520" t="str" cm="1">
        <f t="array" aca="1" ref="K520" ca="1">INDIRECT(_xlfn.CONCAT("A",$Q520))</f>
        <v>connection_phase</v>
      </c>
      <c r="L520" t="str" cm="1">
        <f t="array" aca="1" ref="L520" ca="1">INDIRECT(_xlfn.CONCAT("B",$Q520))</f>
        <v>SPVA_CERTMON</v>
      </c>
      <c r="M520" cm="1">
        <f t="array" aca="1" ref="M520" ca="1">INDIRECT(_xlfn.CONCAT("C",$Q520))</f>
        <v>19</v>
      </c>
      <c r="N520" t="str" cm="1">
        <f t="array" aca="1" ref="N520" ca="1">INDIRECT(_xlfn.CONCAT("D",$Q520))</f>
        <v>create_channel</v>
      </c>
      <c r="O520" cm="1">
        <f t="array" aca="1" ref="O520" ca="1">INDIRECT(_xlfn.CONCAT("E",$Q520))</f>
        <v>16625</v>
      </c>
      <c r="Q520">
        <v>595</v>
      </c>
    </row>
    <row r="521" spans="1:17">
      <c r="A521" t="s">
        <v>97</v>
      </c>
      <c r="B521" t="s">
        <v>10</v>
      </c>
      <c r="C521">
        <v>4</v>
      </c>
      <c r="D521" t="s">
        <v>102</v>
      </c>
      <c r="E521">
        <v>31012</v>
      </c>
      <c r="K521" t="str" cm="1">
        <f t="array" aca="1" ref="K521" ca="1">INDIRECT(_xlfn.CONCAT("A",$Q521))</f>
        <v>connection_phase</v>
      </c>
      <c r="L521" t="str" cm="1">
        <f t="array" aca="1" ref="L521" ca="1">INDIRECT(_xlfn.CONCAT("B",$Q521))</f>
        <v>SPVA_CERTMON</v>
      </c>
      <c r="M521" cm="1">
        <f t="array" aca="1" ref="M521" ca="1">INDIRECT(_xlfn.CONCAT("C",$Q521))</f>
        <v>20</v>
      </c>
      <c r="N521" t="str" cm="1">
        <f t="array" aca="1" ref="N521" ca="1">INDIRECT(_xlfn.CONCAT("D",$Q521))</f>
        <v>create_channel</v>
      </c>
      <c r="O521" cm="1">
        <f t="array" aca="1" ref="O521" ca="1">INDIRECT(_xlfn.CONCAT("E",$Q521))</f>
        <v>13923</v>
      </c>
      <c r="Q521">
        <v>600</v>
      </c>
    </row>
    <row r="522" spans="1:17">
      <c r="A522" t="s">
        <v>97</v>
      </c>
      <c r="B522" t="s">
        <v>10</v>
      </c>
      <c r="C522">
        <v>5</v>
      </c>
      <c r="D522" t="s">
        <v>98</v>
      </c>
      <c r="E522">
        <v>2711</v>
      </c>
      <c r="K522" t="str" cm="1">
        <f t="array" aca="1" ref="K522" ca="1">INDIRECT(_xlfn.CONCAT("A",$Q522))</f>
        <v>connection_phase</v>
      </c>
      <c r="L522" t="str" cm="1">
        <f t="array" aca="1" ref="L522" ca="1">INDIRECT(_xlfn.CONCAT("B",$Q522))</f>
        <v>SPVA_CERTMON</v>
      </c>
      <c r="M522" cm="1">
        <f t="array" aca="1" ref="M522" ca="1">INDIRECT(_xlfn.CONCAT("C",$Q522))</f>
        <v>21</v>
      </c>
      <c r="N522" t="str" cm="1">
        <f t="array" aca="1" ref="N522" ca="1">INDIRECT(_xlfn.CONCAT("D",$Q522))</f>
        <v>create_channel</v>
      </c>
      <c r="O522" cm="1">
        <f t="array" aca="1" ref="O522" ca="1">INDIRECT(_xlfn.CONCAT("E",$Q522))</f>
        <v>14741</v>
      </c>
      <c r="Q522">
        <v>605</v>
      </c>
    </row>
    <row r="523" spans="1:17">
      <c r="A523" t="s">
        <v>97</v>
      </c>
      <c r="B523" t="s">
        <v>10</v>
      </c>
      <c r="C523">
        <v>5</v>
      </c>
      <c r="D523" t="s">
        <v>99</v>
      </c>
      <c r="E523">
        <v>12987</v>
      </c>
      <c r="K523" t="str" cm="1">
        <f t="array" aca="1" ref="K523" ca="1">INDIRECT(_xlfn.CONCAT("A",$Q523))</f>
        <v>connection_phase</v>
      </c>
      <c r="L523" t="str" cm="1">
        <f t="array" aca="1" ref="L523" ca="1">INDIRECT(_xlfn.CONCAT("B",$Q523))</f>
        <v>SPVA_CERTMON</v>
      </c>
      <c r="M523" cm="1">
        <f t="array" aca="1" ref="M523" ca="1">INDIRECT(_xlfn.CONCAT("C",$Q523))</f>
        <v>22</v>
      </c>
      <c r="N523" t="str" cm="1">
        <f t="array" aca="1" ref="N523" ca="1">INDIRECT(_xlfn.CONCAT("D",$Q523))</f>
        <v>create_channel</v>
      </c>
      <c r="O523" cm="1">
        <f t="array" aca="1" ref="O523" ca="1">INDIRECT(_xlfn.CONCAT("E",$Q523))</f>
        <v>13493</v>
      </c>
      <c r="Q523">
        <v>610</v>
      </c>
    </row>
    <row r="524" spans="1:17">
      <c r="A524" t="s">
        <v>97</v>
      </c>
      <c r="B524" t="s">
        <v>10</v>
      </c>
      <c r="C524">
        <v>5</v>
      </c>
      <c r="D524" t="s">
        <v>100</v>
      </c>
      <c r="E524">
        <v>669</v>
      </c>
      <c r="K524" t="str" cm="1">
        <f t="array" aca="1" ref="K524" ca="1">INDIRECT(_xlfn.CONCAT("A",$Q524))</f>
        <v>connection_phase</v>
      </c>
      <c r="L524" t="str" cm="1">
        <f t="array" aca="1" ref="L524" ca="1">INDIRECT(_xlfn.CONCAT("B",$Q524))</f>
        <v>SPVA_CERTMON</v>
      </c>
      <c r="M524" cm="1">
        <f t="array" aca="1" ref="M524" ca="1">INDIRECT(_xlfn.CONCAT("C",$Q524))</f>
        <v>23</v>
      </c>
      <c r="N524" t="str" cm="1">
        <f t="array" aca="1" ref="N524" ca="1">INDIRECT(_xlfn.CONCAT("D",$Q524))</f>
        <v>create_channel</v>
      </c>
      <c r="O524" cm="1">
        <f t="array" aca="1" ref="O524" ca="1">INDIRECT(_xlfn.CONCAT("E",$Q524))</f>
        <v>13374</v>
      </c>
      <c r="Q524">
        <v>615</v>
      </c>
    </row>
    <row r="525" spans="1:17">
      <c r="A525" t="s">
        <v>97</v>
      </c>
      <c r="B525" t="s">
        <v>10</v>
      </c>
      <c r="C525">
        <v>5</v>
      </c>
      <c r="D525" t="s">
        <v>101</v>
      </c>
      <c r="E525">
        <v>13712</v>
      </c>
      <c r="K525" t="str" cm="1">
        <f t="array" aca="1" ref="K525" ca="1">INDIRECT(_xlfn.CONCAT("A",$Q525))</f>
        <v>connection_phase</v>
      </c>
      <c r="L525" t="str" cm="1">
        <f t="array" aca="1" ref="L525" ca="1">INDIRECT(_xlfn.CONCAT("B",$Q525))</f>
        <v>SPVA_CERTMON</v>
      </c>
      <c r="M525" cm="1">
        <f t="array" aca="1" ref="M525" ca="1">INDIRECT(_xlfn.CONCAT("C",$Q525))</f>
        <v>24</v>
      </c>
      <c r="N525" t="str" cm="1">
        <f t="array" aca="1" ref="N525" ca="1">INDIRECT(_xlfn.CONCAT("D",$Q525))</f>
        <v>create_channel</v>
      </c>
      <c r="O525" cm="1">
        <f t="array" aca="1" ref="O525" ca="1">INDIRECT(_xlfn.CONCAT("E",$Q525))</f>
        <v>16747</v>
      </c>
      <c r="Q525">
        <v>620</v>
      </c>
    </row>
    <row r="526" spans="1:17">
      <c r="A526" t="s">
        <v>97</v>
      </c>
      <c r="B526" t="s">
        <v>10</v>
      </c>
      <c r="C526">
        <v>5</v>
      </c>
      <c r="D526" t="s">
        <v>102</v>
      </c>
      <c r="E526">
        <v>30079</v>
      </c>
      <c r="K526" t="str" cm="1">
        <f t="array" aca="1" ref="K526" ca="1">INDIRECT(_xlfn.CONCAT("A",$Q526))</f>
        <v>connection_phase</v>
      </c>
      <c r="L526" t="str" cm="1">
        <f t="array" aca="1" ref="L526" ca="1">INDIRECT(_xlfn.CONCAT("B",$Q526))</f>
        <v>SPVA_CERTMON</v>
      </c>
      <c r="M526" cm="1">
        <f t="array" aca="1" ref="M526" ca="1">INDIRECT(_xlfn.CONCAT("C",$Q526))</f>
        <v>25</v>
      </c>
      <c r="N526" t="str" cm="1">
        <f t="array" aca="1" ref="N526" ca="1">INDIRECT(_xlfn.CONCAT("D",$Q526))</f>
        <v>create_channel</v>
      </c>
      <c r="O526" cm="1">
        <f t="array" aca="1" ref="O526" ca="1">INDIRECT(_xlfn.CONCAT("E",$Q526))</f>
        <v>13300</v>
      </c>
      <c r="Q526">
        <v>625</v>
      </c>
    </row>
    <row r="527" spans="1:17">
      <c r="A527" t="s">
        <v>97</v>
      </c>
      <c r="B527" t="s">
        <v>10</v>
      </c>
      <c r="C527">
        <v>6</v>
      </c>
      <c r="D527" t="s">
        <v>98</v>
      </c>
      <c r="E527">
        <v>2514</v>
      </c>
      <c r="K527" t="str" cm="1">
        <f t="array" aca="1" ref="K527" ca="1">INDIRECT(_xlfn.CONCAT("A",$Q527))</f>
        <v>connection_phase</v>
      </c>
      <c r="L527" t="str" cm="1">
        <f t="array" aca="1" ref="L527" ca="1">INDIRECT(_xlfn.CONCAT("B",$Q527))</f>
        <v>SPVA_CERTMON</v>
      </c>
      <c r="M527" cm="1">
        <f t="array" aca="1" ref="M527" ca="1">INDIRECT(_xlfn.CONCAT("C",$Q527))</f>
        <v>26</v>
      </c>
      <c r="N527" t="str" cm="1">
        <f t="array" aca="1" ref="N527" ca="1">INDIRECT(_xlfn.CONCAT("D",$Q527))</f>
        <v>create_channel</v>
      </c>
      <c r="O527" cm="1">
        <f t="array" aca="1" ref="O527" ca="1">INDIRECT(_xlfn.CONCAT("E",$Q527))</f>
        <v>19823</v>
      </c>
      <c r="Q527">
        <v>630</v>
      </c>
    </row>
    <row r="528" spans="1:17">
      <c r="A528" t="s">
        <v>97</v>
      </c>
      <c r="B528" t="s">
        <v>10</v>
      </c>
      <c r="C528">
        <v>6</v>
      </c>
      <c r="D528" t="s">
        <v>99</v>
      </c>
      <c r="E528">
        <v>14478</v>
      </c>
      <c r="K528" t="str" cm="1">
        <f t="array" aca="1" ref="K528" ca="1">INDIRECT(_xlfn.CONCAT("A",$Q528))</f>
        <v>connection_phase</v>
      </c>
      <c r="L528" t="str" cm="1">
        <f t="array" aca="1" ref="L528" ca="1">INDIRECT(_xlfn.CONCAT("B",$Q528))</f>
        <v>SPVA_CERTMON</v>
      </c>
      <c r="M528" cm="1">
        <f t="array" aca="1" ref="M528" ca="1">INDIRECT(_xlfn.CONCAT("C",$Q528))</f>
        <v>27</v>
      </c>
      <c r="N528" t="str" cm="1">
        <f t="array" aca="1" ref="N528" ca="1">INDIRECT(_xlfn.CONCAT("D",$Q528))</f>
        <v>create_channel</v>
      </c>
      <c r="O528" cm="1">
        <f t="array" aca="1" ref="O528" ca="1">INDIRECT(_xlfn.CONCAT("E",$Q528))</f>
        <v>14385</v>
      </c>
      <c r="Q528">
        <v>635</v>
      </c>
    </row>
    <row r="529" spans="1:17">
      <c r="A529" t="s">
        <v>97</v>
      </c>
      <c r="B529" t="s">
        <v>10</v>
      </c>
      <c r="C529">
        <v>6</v>
      </c>
      <c r="D529" t="s">
        <v>100</v>
      </c>
      <c r="E529">
        <v>855</v>
      </c>
      <c r="K529" t="str" cm="1">
        <f t="array" aca="1" ref="K529" ca="1">INDIRECT(_xlfn.CONCAT("A",$Q529))</f>
        <v>connection_phase</v>
      </c>
      <c r="L529" t="str" cm="1">
        <f t="array" aca="1" ref="L529" ca="1">INDIRECT(_xlfn.CONCAT("B",$Q529))</f>
        <v>SPVA_CERTMON</v>
      </c>
      <c r="M529" cm="1">
        <f t="array" aca="1" ref="M529" ca="1">INDIRECT(_xlfn.CONCAT("C",$Q529))</f>
        <v>28</v>
      </c>
      <c r="N529" t="str" cm="1">
        <f t="array" aca="1" ref="N529" ca="1">INDIRECT(_xlfn.CONCAT("D",$Q529))</f>
        <v>create_channel</v>
      </c>
      <c r="O529" cm="1">
        <f t="array" aca="1" ref="O529" ca="1">INDIRECT(_xlfn.CONCAT("E",$Q529))</f>
        <v>11756</v>
      </c>
      <c r="Q529">
        <v>640</v>
      </c>
    </row>
    <row r="530" spans="1:17">
      <c r="A530" t="s">
        <v>97</v>
      </c>
      <c r="B530" t="s">
        <v>10</v>
      </c>
      <c r="C530">
        <v>6</v>
      </c>
      <c r="D530" t="s">
        <v>101</v>
      </c>
      <c r="E530">
        <v>16734</v>
      </c>
      <c r="K530" t="str" cm="1">
        <f t="array" aca="1" ref="K530" ca="1">INDIRECT(_xlfn.CONCAT("A",$Q530))</f>
        <v>connection_phase</v>
      </c>
      <c r="L530" t="str" cm="1">
        <f t="array" aca="1" ref="L530" ca="1">INDIRECT(_xlfn.CONCAT("B",$Q530))</f>
        <v>SPVA_CERTMON</v>
      </c>
      <c r="M530" cm="1">
        <f t="array" aca="1" ref="M530" ca="1">INDIRECT(_xlfn.CONCAT("C",$Q530))</f>
        <v>29</v>
      </c>
      <c r="N530" t="str" cm="1">
        <f t="array" aca="1" ref="N530" ca="1">INDIRECT(_xlfn.CONCAT("D",$Q530))</f>
        <v>create_channel</v>
      </c>
      <c r="O530" cm="1">
        <f t="array" aca="1" ref="O530" ca="1">INDIRECT(_xlfn.CONCAT("E",$Q530))</f>
        <v>13305</v>
      </c>
      <c r="Q530">
        <v>645</v>
      </c>
    </row>
    <row r="531" spans="1:17">
      <c r="A531" t="s">
        <v>97</v>
      </c>
      <c r="B531" t="s">
        <v>10</v>
      </c>
      <c r="C531">
        <v>6</v>
      </c>
      <c r="D531" t="s">
        <v>102</v>
      </c>
      <c r="E531">
        <v>34581</v>
      </c>
      <c r="K531" t="str" cm="1">
        <f t="array" aca="1" ref="K531" ca="1">INDIRECT(_xlfn.CONCAT("A",$Q531))</f>
        <v>connection_phase</v>
      </c>
      <c r="L531" t="str" cm="1">
        <f t="array" aca="1" ref="L531" ca="1">INDIRECT(_xlfn.CONCAT("B",$Q531))</f>
        <v>SPVA_CERTMON</v>
      </c>
      <c r="M531" cm="1">
        <f t="array" aca="1" ref="M531" ca="1">INDIRECT(_xlfn.CONCAT("C",$Q531))</f>
        <v>30</v>
      </c>
      <c r="N531" t="str" cm="1">
        <f t="array" aca="1" ref="N531" ca="1">INDIRECT(_xlfn.CONCAT("D",$Q531))</f>
        <v>create_channel</v>
      </c>
      <c r="O531" cm="1">
        <f t="array" aca="1" ref="O531" ca="1">INDIRECT(_xlfn.CONCAT("E",$Q531))</f>
        <v>12861</v>
      </c>
      <c r="Q531">
        <v>650</v>
      </c>
    </row>
    <row r="532" spans="1:17">
      <c r="A532" t="s">
        <v>97</v>
      </c>
      <c r="B532" t="s">
        <v>10</v>
      </c>
      <c r="C532">
        <v>7</v>
      </c>
      <c r="D532" t="s">
        <v>98</v>
      </c>
      <c r="E532">
        <v>2967</v>
      </c>
      <c r="K532" t="str" cm="1">
        <f t="array" aca="1" ref="K532" ca="1">INDIRECT(_xlfn.CONCAT("A",$Q532))</f>
        <v>connection_phase</v>
      </c>
      <c r="L532" t="str" cm="1">
        <f t="array" aca="1" ref="L532" ca="1">INDIRECT(_xlfn.CONCAT("B",$Q532))</f>
        <v>SPVA_CERTMON</v>
      </c>
      <c r="M532" cm="1">
        <f t="array" aca="1" ref="M532" ca="1">INDIRECT(_xlfn.CONCAT("C",$Q532))</f>
        <v>31</v>
      </c>
      <c r="N532" t="str" cm="1">
        <f t="array" aca="1" ref="N532" ca="1">INDIRECT(_xlfn.CONCAT("D",$Q532))</f>
        <v>create_channel</v>
      </c>
      <c r="O532" cm="1">
        <f t="array" aca="1" ref="O532" ca="1">INDIRECT(_xlfn.CONCAT("E",$Q532))</f>
        <v>15506</v>
      </c>
      <c r="Q532">
        <v>655</v>
      </c>
    </row>
    <row r="533" spans="1:17">
      <c r="A533" t="s">
        <v>97</v>
      </c>
      <c r="B533" t="s">
        <v>10</v>
      </c>
      <c r="C533">
        <v>7</v>
      </c>
      <c r="D533" t="s">
        <v>99</v>
      </c>
      <c r="E533">
        <v>16366</v>
      </c>
      <c r="K533" t="str" cm="1">
        <f t="array" aca="1" ref="K533" ca="1">INDIRECT(_xlfn.CONCAT("A",$Q533))</f>
        <v>connection_phase</v>
      </c>
      <c r="L533" t="str" cm="1">
        <f t="array" aca="1" ref="L533" ca="1">INDIRECT(_xlfn.CONCAT("B",$Q533))</f>
        <v>SPVA_CERTMON</v>
      </c>
      <c r="M533" cm="1">
        <f t="array" aca="1" ref="M533" ca="1">INDIRECT(_xlfn.CONCAT("C",$Q533))</f>
        <v>32</v>
      </c>
      <c r="N533" t="str" cm="1">
        <f t="array" aca="1" ref="N533" ca="1">INDIRECT(_xlfn.CONCAT("D",$Q533))</f>
        <v>create_channel</v>
      </c>
      <c r="O533" cm="1">
        <f t="array" aca="1" ref="O533" ca="1">INDIRECT(_xlfn.CONCAT("E",$Q533))</f>
        <v>14063</v>
      </c>
      <c r="Q533">
        <v>660</v>
      </c>
    </row>
    <row r="534" spans="1:17">
      <c r="A534" t="s">
        <v>97</v>
      </c>
      <c r="B534" t="s">
        <v>10</v>
      </c>
      <c r="C534">
        <v>7</v>
      </c>
      <c r="D534" t="s">
        <v>100</v>
      </c>
      <c r="E534">
        <v>862</v>
      </c>
      <c r="K534" t="str" cm="1">
        <f t="array" aca="1" ref="K534" ca="1">INDIRECT(_xlfn.CONCAT("A",$Q534))</f>
        <v>connection_phase</v>
      </c>
      <c r="L534" t="str" cm="1">
        <f t="array" aca="1" ref="L534" ca="1">INDIRECT(_xlfn.CONCAT("B",$Q534))</f>
        <v>SPVA_CERTMON</v>
      </c>
      <c r="M534" cm="1">
        <f t="array" aca="1" ref="M534" ca="1">INDIRECT(_xlfn.CONCAT("C",$Q534))</f>
        <v>33</v>
      </c>
      <c r="N534" t="str" cm="1">
        <f t="array" aca="1" ref="N534" ca="1">INDIRECT(_xlfn.CONCAT("D",$Q534))</f>
        <v>create_channel</v>
      </c>
      <c r="O534" cm="1">
        <f t="array" aca="1" ref="O534" ca="1">INDIRECT(_xlfn.CONCAT("E",$Q534))</f>
        <v>15553</v>
      </c>
      <c r="Q534">
        <v>665</v>
      </c>
    </row>
    <row r="535" spans="1:17">
      <c r="A535" t="s">
        <v>97</v>
      </c>
      <c r="B535" t="s">
        <v>10</v>
      </c>
      <c r="C535">
        <v>7</v>
      </c>
      <c r="D535" t="s">
        <v>101</v>
      </c>
      <c r="E535">
        <v>21495</v>
      </c>
      <c r="K535" t="str" cm="1">
        <f t="array" aca="1" ref="K535" ca="1">INDIRECT(_xlfn.CONCAT("A",$Q535))</f>
        <v>connection_phase</v>
      </c>
      <c r="L535" t="str" cm="1">
        <f t="array" aca="1" ref="L535" ca="1">INDIRECT(_xlfn.CONCAT("B",$Q535))</f>
        <v>SPVA_CERTMON</v>
      </c>
      <c r="M535" cm="1">
        <f t="array" aca="1" ref="M535" ca="1">INDIRECT(_xlfn.CONCAT("C",$Q535))</f>
        <v>34</v>
      </c>
      <c r="N535" t="str" cm="1">
        <f t="array" aca="1" ref="N535" ca="1">INDIRECT(_xlfn.CONCAT("D",$Q535))</f>
        <v>create_channel</v>
      </c>
      <c r="O535" cm="1">
        <f t="array" aca="1" ref="O535" ca="1">INDIRECT(_xlfn.CONCAT("E",$Q535))</f>
        <v>17600</v>
      </c>
      <c r="Q535">
        <v>670</v>
      </c>
    </row>
    <row r="536" spans="1:17">
      <c r="A536" t="s">
        <v>97</v>
      </c>
      <c r="B536" t="s">
        <v>10</v>
      </c>
      <c r="C536">
        <v>7</v>
      </c>
      <c r="D536" t="s">
        <v>102</v>
      </c>
      <c r="E536">
        <v>41690</v>
      </c>
      <c r="K536" t="str" cm="1">
        <f t="array" aca="1" ref="K536" ca="1">INDIRECT(_xlfn.CONCAT("A",$Q536))</f>
        <v>connection_phase</v>
      </c>
      <c r="L536" t="str" cm="1">
        <f t="array" aca="1" ref="L536" ca="1">INDIRECT(_xlfn.CONCAT("B",$Q536))</f>
        <v>SPVA_CERTMON</v>
      </c>
      <c r="M536" cm="1">
        <f t="array" aca="1" ref="M536" ca="1">INDIRECT(_xlfn.CONCAT("C",$Q536))</f>
        <v>35</v>
      </c>
      <c r="N536" t="str" cm="1">
        <f t="array" aca="1" ref="N536" ca="1">INDIRECT(_xlfn.CONCAT("D",$Q536))</f>
        <v>create_channel</v>
      </c>
      <c r="O536" cm="1">
        <f t="array" aca="1" ref="O536" ca="1">INDIRECT(_xlfn.CONCAT("E",$Q536))</f>
        <v>14551</v>
      </c>
      <c r="Q536">
        <v>675</v>
      </c>
    </row>
    <row r="537" spans="1:17">
      <c r="A537" t="s">
        <v>97</v>
      </c>
      <c r="B537" t="s">
        <v>10</v>
      </c>
      <c r="C537">
        <v>8</v>
      </c>
      <c r="D537" t="s">
        <v>98</v>
      </c>
      <c r="E537">
        <v>4322</v>
      </c>
      <c r="K537" t="str" cm="1">
        <f t="array" aca="1" ref="K537" ca="1">INDIRECT(_xlfn.CONCAT("A",$Q537))</f>
        <v>connection_phase</v>
      </c>
      <c r="L537" t="str" cm="1">
        <f t="array" aca="1" ref="L537" ca="1">INDIRECT(_xlfn.CONCAT("B",$Q537))</f>
        <v>SPVA_CERTMON</v>
      </c>
      <c r="M537" cm="1">
        <f t="array" aca="1" ref="M537" ca="1">INDIRECT(_xlfn.CONCAT("C",$Q537))</f>
        <v>36</v>
      </c>
      <c r="N537" t="str" cm="1">
        <f t="array" aca="1" ref="N537" ca="1">INDIRECT(_xlfn.CONCAT("D",$Q537))</f>
        <v>create_channel</v>
      </c>
      <c r="O537" cm="1">
        <f t="array" aca="1" ref="O537" ca="1">INDIRECT(_xlfn.CONCAT("E",$Q537))</f>
        <v>15955</v>
      </c>
      <c r="Q537">
        <v>680</v>
      </c>
    </row>
    <row r="538" spans="1:17">
      <c r="A538" t="s">
        <v>97</v>
      </c>
      <c r="B538" t="s">
        <v>10</v>
      </c>
      <c r="C538">
        <v>8</v>
      </c>
      <c r="D538" t="s">
        <v>99</v>
      </c>
      <c r="E538">
        <v>14503</v>
      </c>
      <c r="K538" t="str" cm="1">
        <f t="array" aca="1" ref="K538" ca="1">INDIRECT(_xlfn.CONCAT("A",$Q538))</f>
        <v>connection_phase</v>
      </c>
      <c r="L538" t="str" cm="1">
        <f t="array" aca="1" ref="L538" ca="1">INDIRECT(_xlfn.CONCAT("B",$Q538))</f>
        <v>SPVA_CERTMON</v>
      </c>
      <c r="M538" cm="1">
        <f t="array" aca="1" ref="M538" ca="1">INDIRECT(_xlfn.CONCAT("C",$Q538))</f>
        <v>37</v>
      </c>
      <c r="N538" t="str" cm="1">
        <f t="array" aca="1" ref="N538" ca="1">INDIRECT(_xlfn.CONCAT("D",$Q538))</f>
        <v>create_channel</v>
      </c>
      <c r="O538" cm="1">
        <f t="array" aca="1" ref="O538" ca="1">INDIRECT(_xlfn.CONCAT("E",$Q538))</f>
        <v>13841</v>
      </c>
      <c r="Q538">
        <v>685</v>
      </c>
    </row>
    <row r="539" spans="1:17">
      <c r="A539" t="s">
        <v>97</v>
      </c>
      <c r="B539" t="s">
        <v>10</v>
      </c>
      <c r="C539">
        <v>8</v>
      </c>
      <c r="D539" t="s">
        <v>100</v>
      </c>
      <c r="E539">
        <v>1213</v>
      </c>
      <c r="K539" t="str" cm="1">
        <f t="array" aca="1" ref="K539" ca="1">INDIRECT(_xlfn.CONCAT("A",$Q539))</f>
        <v>connection_phase</v>
      </c>
      <c r="L539" t="str" cm="1">
        <f t="array" aca="1" ref="L539" ca="1">INDIRECT(_xlfn.CONCAT("B",$Q539))</f>
        <v>SPVA_CERTMON</v>
      </c>
      <c r="M539" cm="1">
        <f t="array" aca="1" ref="M539" ca="1">INDIRECT(_xlfn.CONCAT("C",$Q539))</f>
        <v>38</v>
      </c>
      <c r="N539" t="str" cm="1">
        <f t="array" aca="1" ref="N539" ca="1">INDIRECT(_xlfn.CONCAT("D",$Q539))</f>
        <v>create_channel</v>
      </c>
      <c r="O539" cm="1">
        <f t="array" aca="1" ref="O539" ca="1">INDIRECT(_xlfn.CONCAT("E",$Q539))</f>
        <v>15583</v>
      </c>
      <c r="Q539">
        <v>690</v>
      </c>
    </row>
    <row r="540" spans="1:17">
      <c r="A540" t="s">
        <v>97</v>
      </c>
      <c r="B540" t="s">
        <v>10</v>
      </c>
      <c r="C540">
        <v>8</v>
      </c>
      <c r="D540" t="s">
        <v>101</v>
      </c>
      <c r="E540">
        <v>15265</v>
      </c>
      <c r="K540" t="str" cm="1">
        <f t="array" aca="1" ref="K540" ca="1">INDIRECT(_xlfn.CONCAT("A",$Q540))</f>
        <v>connection_phase</v>
      </c>
      <c r="L540" t="str" cm="1">
        <f t="array" aca="1" ref="L540" ca="1">INDIRECT(_xlfn.CONCAT("B",$Q540))</f>
        <v>SPVA_CERTMON</v>
      </c>
      <c r="M540" cm="1">
        <f t="array" aca="1" ref="M540" ca="1">INDIRECT(_xlfn.CONCAT("C",$Q540))</f>
        <v>39</v>
      </c>
      <c r="N540" t="str" cm="1">
        <f t="array" aca="1" ref="N540" ca="1">INDIRECT(_xlfn.CONCAT("D",$Q540))</f>
        <v>create_channel</v>
      </c>
      <c r="O540" cm="1">
        <f t="array" aca="1" ref="O540" ca="1">INDIRECT(_xlfn.CONCAT("E",$Q540))</f>
        <v>14657</v>
      </c>
      <c r="Q540">
        <v>695</v>
      </c>
    </row>
    <row r="541" spans="1:17">
      <c r="A541" t="s">
        <v>97</v>
      </c>
      <c r="B541" t="s">
        <v>10</v>
      </c>
      <c r="C541">
        <v>8</v>
      </c>
      <c r="D541" t="s">
        <v>102</v>
      </c>
      <c r="E541">
        <v>35303</v>
      </c>
      <c r="K541" t="str" cm="1">
        <f t="array" aca="1" ref="K541" ca="1">INDIRECT(_xlfn.CONCAT("A",$Q541))</f>
        <v>connection_phase</v>
      </c>
      <c r="L541" t="str" cm="1">
        <f t="array" aca="1" ref="L541" ca="1">INDIRECT(_xlfn.CONCAT("B",$Q541))</f>
        <v>SPVA_CERTMON</v>
      </c>
      <c r="M541" cm="1">
        <f t="array" aca="1" ref="M541" ca="1">INDIRECT(_xlfn.CONCAT("C",$Q541))</f>
        <v>40</v>
      </c>
      <c r="N541" t="str" cm="1">
        <f t="array" aca="1" ref="N541" ca="1">INDIRECT(_xlfn.CONCAT("D",$Q541))</f>
        <v>create_channel</v>
      </c>
      <c r="O541" cm="1">
        <f t="array" aca="1" ref="O541" ca="1">INDIRECT(_xlfn.CONCAT("E",$Q541))</f>
        <v>17264</v>
      </c>
      <c r="Q541">
        <v>700</v>
      </c>
    </row>
    <row r="542" spans="1:17">
      <c r="A542" t="s">
        <v>97</v>
      </c>
      <c r="B542" t="s">
        <v>10</v>
      </c>
      <c r="C542">
        <v>9</v>
      </c>
      <c r="D542" t="s">
        <v>98</v>
      </c>
      <c r="E542">
        <v>1994</v>
      </c>
      <c r="K542" t="str" cm="1">
        <f t="array" aca="1" ref="K542" ca="1">INDIRECT(_xlfn.CONCAT("A",$Q542))</f>
        <v>connection_phase</v>
      </c>
      <c r="L542" t="str" cm="1">
        <f t="array" aca="1" ref="L542" ca="1">INDIRECT(_xlfn.CONCAT("B",$Q542))</f>
        <v>SPVA_CERTMON</v>
      </c>
      <c r="M542" cm="1">
        <f t="array" aca="1" ref="M542" ca="1">INDIRECT(_xlfn.CONCAT("C",$Q542))</f>
        <v>41</v>
      </c>
      <c r="N542" t="str" cm="1">
        <f t="array" aca="1" ref="N542" ca="1">INDIRECT(_xlfn.CONCAT("D",$Q542))</f>
        <v>create_channel</v>
      </c>
      <c r="O542" cm="1">
        <f t="array" aca="1" ref="O542" ca="1">INDIRECT(_xlfn.CONCAT("E",$Q542))</f>
        <v>15304</v>
      </c>
      <c r="Q542">
        <v>705</v>
      </c>
    </row>
    <row r="543" spans="1:17">
      <c r="A543" t="s">
        <v>97</v>
      </c>
      <c r="B543" t="s">
        <v>10</v>
      </c>
      <c r="C543">
        <v>9</v>
      </c>
      <c r="D543" t="s">
        <v>99</v>
      </c>
      <c r="E543">
        <v>15677</v>
      </c>
      <c r="K543" t="str" cm="1">
        <f t="array" aca="1" ref="K543" ca="1">INDIRECT(_xlfn.CONCAT("A",$Q543))</f>
        <v>connection_phase</v>
      </c>
      <c r="L543" t="str" cm="1">
        <f t="array" aca="1" ref="L543" ca="1">INDIRECT(_xlfn.CONCAT("B",$Q543))</f>
        <v>SPVA_CERTMON</v>
      </c>
      <c r="M543" cm="1">
        <f t="array" aca="1" ref="M543" ca="1">INDIRECT(_xlfn.CONCAT("C",$Q543))</f>
        <v>42</v>
      </c>
      <c r="N543" t="str" cm="1">
        <f t="array" aca="1" ref="N543" ca="1">INDIRECT(_xlfn.CONCAT("D",$Q543))</f>
        <v>create_channel</v>
      </c>
      <c r="O543" cm="1">
        <f t="array" aca="1" ref="O543" ca="1">INDIRECT(_xlfn.CONCAT("E",$Q543))</f>
        <v>15907</v>
      </c>
      <c r="Q543">
        <v>710</v>
      </c>
    </row>
    <row r="544" spans="1:17">
      <c r="A544" t="s">
        <v>97</v>
      </c>
      <c r="B544" t="s">
        <v>10</v>
      </c>
      <c r="C544">
        <v>9</v>
      </c>
      <c r="D544" t="s">
        <v>100</v>
      </c>
      <c r="E544">
        <v>559</v>
      </c>
      <c r="K544" t="str" cm="1">
        <f t="array" aca="1" ref="K544" ca="1">INDIRECT(_xlfn.CONCAT("A",$Q544))</f>
        <v>connection_phase</v>
      </c>
      <c r="L544" t="str" cm="1">
        <f t="array" aca="1" ref="L544" ca="1">INDIRECT(_xlfn.CONCAT("B",$Q544))</f>
        <v>SPVA_CERTMON</v>
      </c>
      <c r="M544" cm="1">
        <f t="array" aca="1" ref="M544" ca="1">INDIRECT(_xlfn.CONCAT("C",$Q544))</f>
        <v>43</v>
      </c>
      <c r="N544" t="str" cm="1">
        <f t="array" aca="1" ref="N544" ca="1">INDIRECT(_xlfn.CONCAT("D",$Q544))</f>
        <v>create_channel</v>
      </c>
      <c r="O544" cm="1">
        <f t="array" aca="1" ref="O544" ca="1">INDIRECT(_xlfn.CONCAT("E",$Q544))</f>
        <v>16254</v>
      </c>
      <c r="Q544">
        <v>715</v>
      </c>
    </row>
    <row r="545" spans="1:17">
      <c r="A545" t="s">
        <v>97</v>
      </c>
      <c r="B545" t="s">
        <v>10</v>
      </c>
      <c r="C545">
        <v>9</v>
      </c>
      <c r="D545" t="s">
        <v>101</v>
      </c>
      <c r="E545">
        <v>15792</v>
      </c>
      <c r="K545" t="str" cm="1">
        <f t="array" aca="1" ref="K545" ca="1">INDIRECT(_xlfn.CONCAT("A",$Q545))</f>
        <v>connection_phase</v>
      </c>
      <c r="L545" t="str" cm="1">
        <f t="array" aca="1" ref="L545" ca="1">INDIRECT(_xlfn.CONCAT("B",$Q545))</f>
        <v>SPVA_CERTMON</v>
      </c>
      <c r="M545" cm="1">
        <f t="array" aca="1" ref="M545" ca="1">INDIRECT(_xlfn.CONCAT("C",$Q545))</f>
        <v>44</v>
      </c>
      <c r="N545" t="str" cm="1">
        <f t="array" aca="1" ref="N545" ca="1">INDIRECT(_xlfn.CONCAT("D",$Q545))</f>
        <v>create_channel</v>
      </c>
      <c r="O545" cm="1">
        <f t="array" aca="1" ref="O545" ca="1">INDIRECT(_xlfn.CONCAT("E",$Q545))</f>
        <v>17991</v>
      </c>
      <c r="Q545">
        <v>720</v>
      </c>
    </row>
    <row r="546" spans="1:17">
      <c r="A546" t="s">
        <v>97</v>
      </c>
      <c r="B546" t="s">
        <v>10</v>
      </c>
      <c r="C546">
        <v>9</v>
      </c>
      <c r="D546" t="s">
        <v>102</v>
      </c>
      <c r="E546">
        <v>34022</v>
      </c>
      <c r="K546" t="str" cm="1">
        <f t="array" aca="1" ref="K546" ca="1">INDIRECT(_xlfn.CONCAT("A",$Q546))</f>
        <v>connection_phase</v>
      </c>
      <c r="L546" t="str" cm="1">
        <f t="array" aca="1" ref="L546" ca="1">INDIRECT(_xlfn.CONCAT("B",$Q546))</f>
        <v>SPVA_CERTMON</v>
      </c>
      <c r="M546" cm="1">
        <f t="array" aca="1" ref="M546" ca="1">INDIRECT(_xlfn.CONCAT("C",$Q546))</f>
        <v>45</v>
      </c>
      <c r="N546" t="str" cm="1">
        <f t="array" aca="1" ref="N546" ca="1">INDIRECT(_xlfn.CONCAT("D",$Q546))</f>
        <v>create_channel</v>
      </c>
      <c r="O546" cm="1">
        <f t="array" aca="1" ref="O546" ca="1">INDIRECT(_xlfn.CONCAT("E",$Q546))</f>
        <v>13437</v>
      </c>
      <c r="Q546">
        <v>725</v>
      </c>
    </row>
    <row r="547" spans="1:17">
      <c r="A547" t="s">
        <v>97</v>
      </c>
      <c r="B547" t="s">
        <v>10</v>
      </c>
      <c r="C547">
        <v>10</v>
      </c>
      <c r="D547" t="s">
        <v>98</v>
      </c>
      <c r="E547">
        <v>3496</v>
      </c>
      <c r="K547" t="str" cm="1">
        <f t="array" aca="1" ref="K547" ca="1">INDIRECT(_xlfn.CONCAT("A",$Q547))</f>
        <v>connection_phase</v>
      </c>
      <c r="L547" t="str" cm="1">
        <f t="array" aca="1" ref="L547" ca="1">INDIRECT(_xlfn.CONCAT("B",$Q547))</f>
        <v>SPVA_CERTMON</v>
      </c>
      <c r="M547" cm="1">
        <f t="array" aca="1" ref="M547" ca="1">INDIRECT(_xlfn.CONCAT("C",$Q547))</f>
        <v>46</v>
      </c>
      <c r="N547" t="str" cm="1">
        <f t="array" aca="1" ref="N547" ca="1">INDIRECT(_xlfn.CONCAT("D",$Q547))</f>
        <v>create_channel</v>
      </c>
      <c r="O547" cm="1">
        <f t="array" aca="1" ref="O547" ca="1">INDIRECT(_xlfn.CONCAT("E",$Q547))</f>
        <v>12116</v>
      </c>
      <c r="Q547">
        <v>730</v>
      </c>
    </row>
    <row r="548" spans="1:17">
      <c r="A548" t="s">
        <v>97</v>
      </c>
      <c r="B548" t="s">
        <v>10</v>
      </c>
      <c r="C548">
        <v>10</v>
      </c>
      <c r="D548" t="s">
        <v>99</v>
      </c>
      <c r="E548">
        <v>14971</v>
      </c>
      <c r="K548" t="str" cm="1">
        <f t="array" aca="1" ref="K548" ca="1">INDIRECT(_xlfn.CONCAT("A",$Q548))</f>
        <v>connection_phase</v>
      </c>
      <c r="L548" t="str" cm="1">
        <f t="array" aca="1" ref="L548" ca="1">INDIRECT(_xlfn.CONCAT("B",$Q548))</f>
        <v>SPVA_CERTMON</v>
      </c>
      <c r="M548" cm="1">
        <f t="array" aca="1" ref="M548" ca="1">INDIRECT(_xlfn.CONCAT("C",$Q548))</f>
        <v>47</v>
      </c>
      <c r="N548" t="str" cm="1">
        <f t="array" aca="1" ref="N548" ca="1">INDIRECT(_xlfn.CONCAT("D",$Q548))</f>
        <v>create_channel</v>
      </c>
      <c r="O548" cm="1">
        <f t="array" aca="1" ref="O548" ca="1">INDIRECT(_xlfn.CONCAT("E",$Q548))</f>
        <v>12967</v>
      </c>
      <c r="Q548">
        <v>735</v>
      </c>
    </row>
    <row r="549" spans="1:17">
      <c r="A549" t="s">
        <v>97</v>
      </c>
      <c r="B549" t="s">
        <v>10</v>
      </c>
      <c r="C549">
        <v>10</v>
      </c>
      <c r="D549" t="s">
        <v>100</v>
      </c>
      <c r="E549">
        <v>707</v>
      </c>
      <c r="K549" t="str" cm="1">
        <f t="array" aca="1" ref="K549" ca="1">INDIRECT(_xlfn.CONCAT("A",$Q549))</f>
        <v>connection_phase</v>
      </c>
      <c r="L549" t="str" cm="1">
        <f t="array" aca="1" ref="L549" ca="1">INDIRECT(_xlfn.CONCAT("B",$Q549))</f>
        <v>SPVA_CERTMON</v>
      </c>
      <c r="M549" cm="1">
        <f t="array" aca="1" ref="M549" ca="1">INDIRECT(_xlfn.CONCAT("C",$Q549))</f>
        <v>48</v>
      </c>
      <c r="N549" t="str" cm="1">
        <f t="array" aca="1" ref="N549" ca="1">INDIRECT(_xlfn.CONCAT("D",$Q549))</f>
        <v>create_channel</v>
      </c>
      <c r="O549" cm="1">
        <f t="array" aca="1" ref="O549" ca="1">INDIRECT(_xlfn.CONCAT("E",$Q549))</f>
        <v>26029</v>
      </c>
      <c r="Q549">
        <v>740</v>
      </c>
    </row>
    <row r="550" spans="1:17">
      <c r="A550" t="s">
        <v>97</v>
      </c>
      <c r="B550" t="s">
        <v>10</v>
      </c>
      <c r="C550">
        <v>10</v>
      </c>
      <c r="D550" t="s">
        <v>101</v>
      </c>
      <c r="E550">
        <v>17735</v>
      </c>
      <c r="K550" t="str" cm="1">
        <f t="array" aca="1" ref="K550" ca="1">INDIRECT(_xlfn.CONCAT("A",$Q550))</f>
        <v>connection_phase</v>
      </c>
      <c r="L550" t="str" cm="1">
        <f t="array" aca="1" ref="L550" ca="1">INDIRECT(_xlfn.CONCAT("B",$Q550))</f>
        <v>SPVA_CERTMON</v>
      </c>
      <c r="M550" cm="1">
        <f t="array" aca="1" ref="M550" ca="1">INDIRECT(_xlfn.CONCAT("C",$Q550))</f>
        <v>49</v>
      </c>
      <c r="N550" t="str" cm="1">
        <f t="array" aca="1" ref="N550" ca="1">INDIRECT(_xlfn.CONCAT("D",$Q550))</f>
        <v>create_channel</v>
      </c>
      <c r="O550" cm="1">
        <f t="array" aca="1" ref="O550" ca="1">INDIRECT(_xlfn.CONCAT("E",$Q550))</f>
        <v>15472</v>
      </c>
      <c r="Q550">
        <v>745</v>
      </c>
    </row>
    <row r="551" spans="1:17">
      <c r="A551" t="s">
        <v>97</v>
      </c>
      <c r="B551" t="s">
        <v>10</v>
      </c>
      <c r="C551">
        <v>10</v>
      </c>
      <c r="D551" t="s">
        <v>102</v>
      </c>
      <c r="E551">
        <v>36909</v>
      </c>
      <c r="K551" t="str" cm="1">
        <f t="array" aca="1" ref="K551" ca="1">INDIRECT(_xlfn.CONCAT("A",$Q551))</f>
        <v>connection_phase</v>
      </c>
      <c r="L551" t="str" cm="1">
        <f t="array" aca="1" ref="L551" ca="1">INDIRECT(_xlfn.CONCAT("B",$Q551))</f>
        <v>SPVA_CERTMON</v>
      </c>
      <c r="M551" cm="1">
        <f t="array" aca="1" ref="M551" ca="1">INDIRECT(_xlfn.CONCAT("C",$Q551))</f>
        <v>50</v>
      </c>
      <c r="N551" t="str" cm="1">
        <f t="array" aca="1" ref="N551" ca="1">INDIRECT(_xlfn.CONCAT("D",$Q551))</f>
        <v>create_channel</v>
      </c>
      <c r="O551" cm="1">
        <f t="array" aca="1" ref="O551" ca="1">INDIRECT(_xlfn.CONCAT("E",$Q551))</f>
        <v>13356</v>
      </c>
      <c r="Q551">
        <v>750</v>
      </c>
    </row>
    <row r="552" spans="1:17">
      <c r="A552" t="s">
        <v>97</v>
      </c>
      <c r="B552" t="s">
        <v>10</v>
      </c>
      <c r="C552">
        <v>11</v>
      </c>
      <c r="D552" t="s">
        <v>98</v>
      </c>
      <c r="E552">
        <v>4867</v>
      </c>
      <c r="K552" t="str" cm="1">
        <f t="array" aca="1" ref="K552" ca="1">INDIRECT(_xlfn.CONCAT("A",$Q552))</f>
        <v>connection_phase</v>
      </c>
      <c r="L552" t="str" cm="1">
        <f t="array" aca="1" ref="L552" ca="1">INDIRECT(_xlfn.CONCAT("B",$Q552))</f>
        <v>SPVA_CERTMON</v>
      </c>
      <c r="M552" cm="1">
        <f t="array" aca="1" ref="M552" ca="1">INDIRECT(_xlfn.CONCAT("C",$Q552))</f>
        <v>1</v>
      </c>
      <c r="N552" t="str" cm="1">
        <f t="array" aca="1" ref="N552" ca="1">INDIRECT(_xlfn.CONCAT("D",$Q552))</f>
        <v>search</v>
      </c>
      <c r="O552" cm="1">
        <f t="array" aca="1" ref="O552" ca="1">INDIRECT(_xlfn.CONCAT("E",$Q552))</f>
        <v>4684</v>
      </c>
      <c r="Q552">
        <v>502</v>
      </c>
    </row>
    <row r="553" spans="1:17">
      <c r="A553" t="s">
        <v>97</v>
      </c>
      <c r="B553" t="s">
        <v>10</v>
      </c>
      <c r="C553">
        <v>11</v>
      </c>
      <c r="D553" t="s">
        <v>99</v>
      </c>
      <c r="E553">
        <v>15683</v>
      </c>
      <c r="K553" t="str" cm="1">
        <f t="array" aca="1" ref="K553" ca="1">INDIRECT(_xlfn.CONCAT("A",$Q553))</f>
        <v>connection_phase</v>
      </c>
      <c r="L553" t="str" cm="1">
        <f t="array" aca="1" ref="L553" ca="1">INDIRECT(_xlfn.CONCAT("B",$Q553))</f>
        <v>SPVA_CERTMON</v>
      </c>
      <c r="M553" cm="1">
        <f t="array" aca="1" ref="M553" ca="1">INDIRECT(_xlfn.CONCAT("C",$Q553))</f>
        <v>2</v>
      </c>
      <c r="N553" t="str" cm="1">
        <f t="array" aca="1" ref="N553" ca="1">INDIRECT(_xlfn.CONCAT("D",$Q553))</f>
        <v>search</v>
      </c>
      <c r="O553" cm="1">
        <f t="array" aca="1" ref="O553" ca="1">INDIRECT(_xlfn.CONCAT("E",$Q553))</f>
        <v>2861</v>
      </c>
      <c r="Q553">
        <v>507</v>
      </c>
    </row>
    <row r="554" spans="1:17">
      <c r="A554" t="s">
        <v>97</v>
      </c>
      <c r="B554" t="s">
        <v>10</v>
      </c>
      <c r="C554">
        <v>11</v>
      </c>
      <c r="D554" t="s">
        <v>100</v>
      </c>
      <c r="E554">
        <v>766</v>
      </c>
      <c r="K554" t="str" cm="1">
        <f t="array" aca="1" ref="K554" ca="1">INDIRECT(_xlfn.CONCAT("A",$Q554))</f>
        <v>connection_phase</v>
      </c>
      <c r="L554" t="str" cm="1">
        <f t="array" aca="1" ref="L554" ca="1">INDIRECT(_xlfn.CONCAT("B",$Q554))</f>
        <v>SPVA_CERTMON</v>
      </c>
      <c r="M554" cm="1">
        <f t="array" aca="1" ref="M554" ca="1">INDIRECT(_xlfn.CONCAT("C",$Q554))</f>
        <v>3</v>
      </c>
      <c r="N554" t="str" cm="1">
        <f t="array" aca="1" ref="N554" ca="1">INDIRECT(_xlfn.CONCAT("D",$Q554))</f>
        <v>search</v>
      </c>
      <c r="O554" cm="1">
        <f t="array" aca="1" ref="O554" ca="1">INDIRECT(_xlfn.CONCAT("E",$Q554))</f>
        <v>1422</v>
      </c>
      <c r="Q554">
        <v>512</v>
      </c>
    </row>
    <row r="555" spans="1:17">
      <c r="A555" t="s">
        <v>97</v>
      </c>
      <c r="B555" t="s">
        <v>10</v>
      </c>
      <c r="C555">
        <v>11</v>
      </c>
      <c r="D555" t="s">
        <v>101</v>
      </c>
      <c r="E555">
        <v>14789</v>
      </c>
      <c r="K555" t="str" cm="1">
        <f t="array" aca="1" ref="K555" ca="1">INDIRECT(_xlfn.CONCAT("A",$Q555))</f>
        <v>connection_phase</v>
      </c>
      <c r="L555" t="str" cm="1">
        <f t="array" aca="1" ref="L555" ca="1">INDIRECT(_xlfn.CONCAT("B",$Q555))</f>
        <v>SPVA_CERTMON</v>
      </c>
      <c r="M555" cm="1">
        <f t="array" aca="1" ref="M555" ca="1">INDIRECT(_xlfn.CONCAT("C",$Q555))</f>
        <v>4</v>
      </c>
      <c r="N555" t="str" cm="1">
        <f t="array" aca="1" ref="N555" ca="1">INDIRECT(_xlfn.CONCAT("D",$Q555))</f>
        <v>search</v>
      </c>
      <c r="O555" cm="1">
        <f t="array" aca="1" ref="O555" ca="1">INDIRECT(_xlfn.CONCAT("E",$Q555))</f>
        <v>2548</v>
      </c>
      <c r="Q555">
        <v>517</v>
      </c>
    </row>
    <row r="556" spans="1:17">
      <c r="A556" t="s">
        <v>97</v>
      </c>
      <c r="B556" t="s">
        <v>10</v>
      </c>
      <c r="C556">
        <v>11</v>
      </c>
      <c r="D556" t="s">
        <v>102</v>
      </c>
      <c r="E556">
        <v>36105</v>
      </c>
      <c r="K556" t="str" cm="1">
        <f t="array" aca="1" ref="K556" ca="1">INDIRECT(_xlfn.CONCAT("A",$Q556))</f>
        <v>connection_phase</v>
      </c>
      <c r="L556" t="str" cm="1">
        <f t="array" aca="1" ref="L556" ca="1">INDIRECT(_xlfn.CONCAT("B",$Q556))</f>
        <v>SPVA_CERTMON</v>
      </c>
      <c r="M556" cm="1">
        <f t="array" aca="1" ref="M556" ca="1">INDIRECT(_xlfn.CONCAT("C",$Q556))</f>
        <v>5</v>
      </c>
      <c r="N556" t="str" cm="1">
        <f t="array" aca="1" ref="N556" ca="1">INDIRECT(_xlfn.CONCAT("D",$Q556))</f>
        <v>search</v>
      </c>
      <c r="O556" cm="1">
        <f t="array" aca="1" ref="O556" ca="1">INDIRECT(_xlfn.CONCAT("E",$Q556))</f>
        <v>2711</v>
      </c>
      <c r="Q556">
        <v>522</v>
      </c>
    </row>
    <row r="557" spans="1:17">
      <c r="A557" t="s">
        <v>97</v>
      </c>
      <c r="B557" t="s">
        <v>10</v>
      </c>
      <c r="C557">
        <v>12</v>
      </c>
      <c r="D557" t="s">
        <v>98</v>
      </c>
      <c r="E557">
        <v>3732</v>
      </c>
      <c r="K557" t="str" cm="1">
        <f t="array" aca="1" ref="K557" ca="1">INDIRECT(_xlfn.CONCAT("A",$Q557))</f>
        <v>connection_phase</v>
      </c>
      <c r="L557" t="str" cm="1">
        <f t="array" aca="1" ref="L557" ca="1">INDIRECT(_xlfn.CONCAT("B",$Q557))</f>
        <v>SPVA_CERTMON</v>
      </c>
      <c r="M557" cm="1">
        <f t="array" aca="1" ref="M557" ca="1">INDIRECT(_xlfn.CONCAT("C",$Q557))</f>
        <v>6</v>
      </c>
      <c r="N557" t="str" cm="1">
        <f t="array" aca="1" ref="N557" ca="1">INDIRECT(_xlfn.CONCAT("D",$Q557))</f>
        <v>search</v>
      </c>
      <c r="O557" cm="1">
        <f t="array" aca="1" ref="O557" ca="1">INDIRECT(_xlfn.CONCAT("E",$Q557))</f>
        <v>2514</v>
      </c>
      <c r="Q557">
        <v>527</v>
      </c>
    </row>
    <row r="558" spans="1:17">
      <c r="A558" t="s">
        <v>97</v>
      </c>
      <c r="B558" t="s">
        <v>10</v>
      </c>
      <c r="C558">
        <v>12</v>
      </c>
      <c r="D558" t="s">
        <v>99</v>
      </c>
      <c r="E558">
        <v>12835</v>
      </c>
      <c r="K558" t="str" cm="1">
        <f t="array" aca="1" ref="K558" ca="1">INDIRECT(_xlfn.CONCAT("A",$Q558))</f>
        <v>connection_phase</v>
      </c>
      <c r="L558" t="str" cm="1">
        <f t="array" aca="1" ref="L558" ca="1">INDIRECT(_xlfn.CONCAT("B",$Q558))</f>
        <v>SPVA_CERTMON</v>
      </c>
      <c r="M558" cm="1">
        <f t="array" aca="1" ref="M558" ca="1">INDIRECT(_xlfn.CONCAT("C",$Q558))</f>
        <v>7</v>
      </c>
      <c r="N558" t="str" cm="1">
        <f t="array" aca="1" ref="N558" ca="1">INDIRECT(_xlfn.CONCAT("D",$Q558))</f>
        <v>search</v>
      </c>
      <c r="O558" cm="1">
        <f t="array" aca="1" ref="O558" ca="1">INDIRECT(_xlfn.CONCAT("E",$Q558))</f>
        <v>2967</v>
      </c>
      <c r="Q558">
        <v>532</v>
      </c>
    </row>
    <row r="559" spans="1:17">
      <c r="A559" t="s">
        <v>97</v>
      </c>
      <c r="B559" t="s">
        <v>10</v>
      </c>
      <c r="C559">
        <v>12</v>
      </c>
      <c r="D559" t="s">
        <v>100</v>
      </c>
      <c r="E559">
        <v>697</v>
      </c>
      <c r="K559" t="str" cm="1">
        <f t="array" aca="1" ref="K559" ca="1">INDIRECT(_xlfn.CONCAT("A",$Q559))</f>
        <v>connection_phase</v>
      </c>
      <c r="L559" t="str" cm="1">
        <f t="array" aca="1" ref="L559" ca="1">INDIRECT(_xlfn.CONCAT("B",$Q559))</f>
        <v>SPVA_CERTMON</v>
      </c>
      <c r="M559" cm="1">
        <f t="array" aca="1" ref="M559" ca="1">INDIRECT(_xlfn.CONCAT("C",$Q559))</f>
        <v>8</v>
      </c>
      <c r="N559" t="str" cm="1">
        <f t="array" aca="1" ref="N559" ca="1">INDIRECT(_xlfn.CONCAT("D",$Q559))</f>
        <v>search</v>
      </c>
      <c r="O559" cm="1">
        <f t="array" aca="1" ref="O559" ca="1">INDIRECT(_xlfn.CONCAT("E",$Q559))</f>
        <v>4322</v>
      </c>
      <c r="Q559">
        <v>537</v>
      </c>
    </row>
    <row r="560" spans="1:17">
      <c r="A560" t="s">
        <v>97</v>
      </c>
      <c r="B560" t="s">
        <v>10</v>
      </c>
      <c r="C560">
        <v>12</v>
      </c>
      <c r="D560" t="s">
        <v>101</v>
      </c>
      <c r="E560">
        <v>14803</v>
      </c>
      <c r="K560" t="str" cm="1">
        <f t="array" aca="1" ref="K560" ca="1">INDIRECT(_xlfn.CONCAT("A",$Q560))</f>
        <v>connection_phase</v>
      </c>
      <c r="L560" t="str" cm="1">
        <f t="array" aca="1" ref="L560" ca="1">INDIRECT(_xlfn.CONCAT("B",$Q560))</f>
        <v>SPVA_CERTMON</v>
      </c>
      <c r="M560" cm="1">
        <f t="array" aca="1" ref="M560" ca="1">INDIRECT(_xlfn.CONCAT("C",$Q560))</f>
        <v>9</v>
      </c>
      <c r="N560" t="str" cm="1">
        <f t="array" aca="1" ref="N560" ca="1">INDIRECT(_xlfn.CONCAT("D",$Q560))</f>
        <v>search</v>
      </c>
      <c r="O560" cm="1">
        <f t="array" aca="1" ref="O560" ca="1">INDIRECT(_xlfn.CONCAT("E",$Q560))</f>
        <v>1994</v>
      </c>
      <c r="Q560">
        <v>542</v>
      </c>
    </row>
    <row r="561" spans="1:17">
      <c r="A561" t="s">
        <v>97</v>
      </c>
      <c r="B561" t="s">
        <v>10</v>
      </c>
      <c r="C561">
        <v>12</v>
      </c>
      <c r="D561" t="s">
        <v>102</v>
      </c>
      <c r="E561">
        <v>32067</v>
      </c>
      <c r="K561" t="str" cm="1">
        <f t="array" aca="1" ref="K561" ca="1">INDIRECT(_xlfn.CONCAT("A",$Q561))</f>
        <v>connection_phase</v>
      </c>
      <c r="L561" t="str" cm="1">
        <f t="array" aca="1" ref="L561" ca="1">INDIRECT(_xlfn.CONCAT("B",$Q561))</f>
        <v>SPVA_CERTMON</v>
      </c>
      <c r="M561" cm="1">
        <f t="array" aca="1" ref="M561" ca="1">INDIRECT(_xlfn.CONCAT("C",$Q561))</f>
        <v>10</v>
      </c>
      <c r="N561" t="str" cm="1">
        <f t="array" aca="1" ref="N561" ca="1">INDIRECT(_xlfn.CONCAT("D",$Q561))</f>
        <v>search</v>
      </c>
      <c r="O561" cm="1">
        <f t="array" aca="1" ref="O561" ca="1">INDIRECT(_xlfn.CONCAT("E",$Q561))</f>
        <v>3496</v>
      </c>
      <c r="Q561">
        <v>547</v>
      </c>
    </row>
    <row r="562" spans="1:17">
      <c r="A562" t="s">
        <v>97</v>
      </c>
      <c r="B562" t="s">
        <v>10</v>
      </c>
      <c r="C562">
        <v>13</v>
      </c>
      <c r="D562" t="s">
        <v>98</v>
      </c>
      <c r="E562">
        <v>3799</v>
      </c>
      <c r="K562" t="str" cm="1">
        <f t="array" aca="1" ref="K562" ca="1">INDIRECT(_xlfn.CONCAT("A",$Q562))</f>
        <v>connection_phase</v>
      </c>
      <c r="L562" t="str" cm="1">
        <f t="array" aca="1" ref="L562" ca="1">INDIRECT(_xlfn.CONCAT("B",$Q562))</f>
        <v>SPVA_CERTMON</v>
      </c>
      <c r="M562" cm="1">
        <f t="array" aca="1" ref="M562" ca="1">INDIRECT(_xlfn.CONCAT("C",$Q562))</f>
        <v>11</v>
      </c>
      <c r="N562" t="str" cm="1">
        <f t="array" aca="1" ref="N562" ca="1">INDIRECT(_xlfn.CONCAT("D",$Q562))</f>
        <v>search</v>
      </c>
      <c r="O562" cm="1">
        <f t="array" aca="1" ref="O562" ca="1">INDIRECT(_xlfn.CONCAT("E",$Q562))</f>
        <v>4867</v>
      </c>
      <c r="Q562">
        <v>552</v>
      </c>
    </row>
    <row r="563" spans="1:17">
      <c r="A563" t="s">
        <v>97</v>
      </c>
      <c r="B563" t="s">
        <v>10</v>
      </c>
      <c r="C563">
        <v>13</v>
      </c>
      <c r="D563" t="s">
        <v>99</v>
      </c>
      <c r="E563">
        <v>12571</v>
      </c>
      <c r="K563" t="str" cm="1">
        <f t="array" aca="1" ref="K563" ca="1">INDIRECT(_xlfn.CONCAT("A",$Q563))</f>
        <v>connection_phase</v>
      </c>
      <c r="L563" t="str" cm="1">
        <f t="array" aca="1" ref="L563" ca="1">INDIRECT(_xlfn.CONCAT("B",$Q563))</f>
        <v>SPVA_CERTMON</v>
      </c>
      <c r="M563" cm="1">
        <f t="array" aca="1" ref="M563" ca="1">INDIRECT(_xlfn.CONCAT("C",$Q563))</f>
        <v>12</v>
      </c>
      <c r="N563" t="str" cm="1">
        <f t="array" aca="1" ref="N563" ca="1">INDIRECT(_xlfn.CONCAT("D",$Q563))</f>
        <v>search</v>
      </c>
      <c r="O563" cm="1">
        <f t="array" aca="1" ref="O563" ca="1">INDIRECT(_xlfn.CONCAT("E",$Q563))</f>
        <v>3732</v>
      </c>
      <c r="Q563">
        <v>557</v>
      </c>
    </row>
    <row r="564" spans="1:17">
      <c r="A564" t="s">
        <v>97</v>
      </c>
      <c r="B564" t="s">
        <v>10</v>
      </c>
      <c r="C564">
        <v>13</v>
      </c>
      <c r="D564" t="s">
        <v>100</v>
      </c>
      <c r="E564">
        <v>719</v>
      </c>
      <c r="K564" t="str" cm="1">
        <f t="array" aca="1" ref="K564" ca="1">INDIRECT(_xlfn.CONCAT("A",$Q564))</f>
        <v>connection_phase</v>
      </c>
      <c r="L564" t="str" cm="1">
        <f t="array" aca="1" ref="L564" ca="1">INDIRECT(_xlfn.CONCAT("B",$Q564))</f>
        <v>SPVA_CERTMON</v>
      </c>
      <c r="M564" cm="1">
        <f t="array" aca="1" ref="M564" ca="1">INDIRECT(_xlfn.CONCAT("C",$Q564))</f>
        <v>13</v>
      </c>
      <c r="N564" t="str" cm="1">
        <f t="array" aca="1" ref="N564" ca="1">INDIRECT(_xlfn.CONCAT("D",$Q564))</f>
        <v>search</v>
      </c>
      <c r="O564" cm="1">
        <f t="array" aca="1" ref="O564" ca="1">INDIRECT(_xlfn.CONCAT("E",$Q564))</f>
        <v>3799</v>
      </c>
      <c r="Q564">
        <v>562</v>
      </c>
    </row>
    <row r="565" spans="1:17">
      <c r="A565" t="s">
        <v>97</v>
      </c>
      <c r="B565" t="s">
        <v>10</v>
      </c>
      <c r="C565">
        <v>13</v>
      </c>
      <c r="D565" t="s">
        <v>101</v>
      </c>
      <c r="E565">
        <v>14328</v>
      </c>
      <c r="K565" t="str" cm="1">
        <f t="array" aca="1" ref="K565" ca="1">INDIRECT(_xlfn.CONCAT("A",$Q565))</f>
        <v>connection_phase</v>
      </c>
      <c r="L565" t="str" cm="1">
        <f t="array" aca="1" ref="L565" ca="1">INDIRECT(_xlfn.CONCAT("B",$Q565))</f>
        <v>SPVA_CERTMON</v>
      </c>
      <c r="M565" cm="1">
        <f t="array" aca="1" ref="M565" ca="1">INDIRECT(_xlfn.CONCAT("C",$Q565))</f>
        <v>14</v>
      </c>
      <c r="N565" t="str" cm="1">
        <f t="array" aca="1" ref="N565" ca="1">INDIRECT(_xlfn.CONCAT("D",$Q565))</f>
        <v>search</v>
      </c>
      <c r="O565" cm="1">
        <f t="array" aca="1" ref="O565" ca="1">INDIRECT(_xlfn.CONCAT("E",$Q565))</f>
        <v>3358</v>
      </c>
      <c r="Q565">
        <v>567</v>
      </c>
    </row>
    <row r="566" spans="1:17">
      <c r="A566" t="s">
        <v>97</v>
      </c>
      <c r="B566" t="s">
        <v>10</v>
      </c>
      <c r="C566">
        <v>13</v>
      </c>
      <c r="D566" t="s">
        <v>102</v>
      </c>
      <c r="E566">
        <v>31417</v>
      </c>
      <c r="K566" t="str" cm="1">
        <f t="array" aca="1" ref="K566" ca="1">INDIRECT(_xlfn.CONCAT("A",$Q566))</f>
        <v>connection_phase</v>
      </c>
      <c r="L566" t="str" cm="1">
        <f t="array" aca="1" ref="L566" ca="1">INDIRECT(_xlfn.CONCAT("B",$Q566))</f>
        <v>SPVA_CERTMON</v>
      </c>
      <c r="M566" cm="1">
        <f t="array" aca="1" ref="M566" ca="1">INDIRECT(_xlfn.CONCAT("C",$Q566))</f>
        <v>15</v>
      </c>
      <c r="N566" t="str" cm="1">
        <f t="array" aca="1" ref="N566" ca="1">INDIRECT(_xlfn.CONCAT("D",$Q566))</f>
        <v>search</v>
      </c>
      <c r="O566" cm="1">
        <f t="array" aca="1" ref="O566" ca="1">INDIRECT(_xlfn.CONCAT("E",$Q566))</f>
        <v>4199</v>
      </c>
      <c r="Q566">
        <v>572</v>
      </c>
    </row>
    <row r="567" spans="1:17">
      <c r="A567" t="s">
        <v>97</v>
      </c>
      <c r="B567" t="s">
        <v>10</v>
      </c>
      <c r="C567">
        <v>14</v>
      </c>
      <c r="D567" t="s">
        <v>98</v>
      </c>
      <c r="E567">
        <v>3358</v>
      </c>
      <c r="K567" t="str" cm="1">
        <f t="array" aca="1" ref="K567" ca="1">INDIRECT(_xlfn.CONCAT("A",$Q567))</f>
        <v>connection_phase</v>
      </c>
      <c r="L567" t="str" cm="1">
        <f t="array" aca="1" ref="L567" ca="1">INDIRECT(_xlfn.CONCAT("B",$Q567))</f>
        <v>SPVA_CERTMON</v>
      </c>
      <c r="M567" cm="1">
        <f t="array" aca="1" ref="M567" ca="1">INDIRECT(_xlfn.CONCAT("C",$Q567))</f>
        <v>16</v>
      </c>
      <c r="N567" t="str" cm="1">
        <f t="array" aca="1" ref="N567" ca="1">INDIRECT(_xlfn.CONCAT("D",$Q567))</f>
        <v>search</v>
      </c>
      <c r="O567" cm="1">
        <f t="array" aca="1" ref="O567" ca="1">INDIRECT(_xlfn.CONCAT("E",$Q567))</f>
        <v>13005</v>
      </c>
      <c r="Q567">
        <v>577</v>
      </c>
    </row>
    <row r="568" spans="1:17">
      <c r="A568" t="s">
        <v>97</v>
      </c>
      <c r="B568" t="s">
        <v>10</v>
      </c>
      <c r="C568">
        <v>14</v>
      </c>
      <c r="D568" t="s">
        <v>99</v>
      </c>
      <c r="E568">
        <v>13244</v>
      </c>
      <c r="K568" t="str" cm="1">
        <f t="array" aca="1" ref="K568" ca="1">INDIRECT(_xlfn.CONCAT("A",$Q568))</f>
        <v>connection_phase</v>
      </c>
      <c r="L568" t="str" cm="1">
        <f t="array" aca="1" ref="L568" ca="1">INDIRECT(_xlfn.CONCAT("B",$Q568))</f>
        <v>SPVA_CERTMON</v>
      </c>
      <c r="M568" cm="1">
        <f t="array" aca="1" ref="M568" ca="1">INDIRECT(_xlfn.CONCAT("C",$Q568))</f>
        <v>17</v>
      </c>
      <c r="N568" t="str" cm="1">
        <f t="array" aca="1" ref="N568" ca="1">INDIRECT(_xlfn.CONCAT("D",$Q568))</f>
        <v>search</v>
      </c>
      <c r="O568" cm="1">
        <f t="array" aca="1" ref="O568" ca="1">INDIRECT(_xlfn.CONCAT("E",$Q568))</f>
        <v>6328</v>
      </c>
      <c r="Q568">
        <v>582</v>
      </c>
    </row>
    <row r="569" spans="1:17">
      <c r="A569" t="s">
        <v>97</v>
      </c>
      <c r="B569" t="s">
        <v>10</v>
      </c>
      <c r="C569">
        <v>14</v>
      </c>
      <c r="D569" t="s">
        <v>100</v>
      </c>
      <c r="E569">
        <v>624</v>
      </c>
      <c r="K569" t="str" cm="1">
        <f t="array" aca="1" ref="K569" ca="1">INDIRECT(_xlfn.CONCAT("A",$Q569))</f>
        <v>connection_phase</v>
      </c>
      <c r="L569" t="str" cm="1">
        <f t="array" aca="1" ref="L569" ca="1">INDIRECT(_xlfn.CONCAT("B",$Q569))</f>
        <v>SPVA_CERTMON</v>
      </c>
      <c r="M569" cm="1">
        <f t="array" aca="1" ref="M569" ca="1">INDIRECT(_xlfn.CONCAT("C",$Q569))</f>
        <v>18</v>
      </c>
      <c r="N569" t="str" cm="1">
        <f t="array" aca="1" ref="N569" ca="1">INDIRECT(_xlfn.CONCAT("D",$Q569))</f>
        <v>search</v>
      </c>
      <c r="O569" cm="1">
        <f t="array" aca="1" ref="O569" ca="1">INDIRECT(_xlfn.CONCAT("E",$Q569))</f>
        <v>3428</v>
      </c>
      <c r="Q569">
        <v>587</v>
      </c>
    </row>
    <row r="570" spans="1:17">
      <c r="A570" t="s">
        <v>97</v>
      </c>
      <c r="B570" t="s">
        <v>10</v>
      </c>
      <c r="C570">
        <v>14</v>
      </c>
      <c r="D570" t="s">
        <v>101</v>
      </c>
      <c r="E570">
        <v>13796</v>
      </c>
      <c r="K570" t="str" cm="1">
        <f t="array" aca="1" ref="K570" ca="1">INDIRECT(_xlfn.CONCAT("A",$Q570))</f>
        <v>connection_phase</v>
      </c>
      <c r="L570" t="str" cm="1">
        <f t="array" aca="1" ref="L570" ca="1">INDIRECT(_xlfn.CONCAT("B",$Q570))</f>
        <v>SPVA_CERTMON</v>
      </c>
      <c r="M570" cm="1">
        <f t="array" aca="1" ref="M570" ca="1">INDIRECT(_xlfn.CONCAT("C",$Q570))</f>
        <v>19</v>
      </c>
      <c r="N570" t="str" cm="1">
        <f t="array" aca="1" ref="N570" ca="1">INDIRECT(_xlfn.CONCAT("D",$Q570))</f>
        <v>search</v>
      </c>
      <c r="O570" cm="1">
        <f t="array" aca="1" ref="O570" ca="1">INDIRECT(_xlfn.CONCAT("E",$Q570))</f>
        <v>5803</v>
      </c>
      <c r="Q570">
        <v>592</v>
      </c>
    </row>
    <row r="571" spans="1:17">
      <c r="A571" t="s">
        <v>97</v>
      </c>
      <c r="B571" t="s">
        <v>10</v>
      </c>
      <c r="C571">
        <v>14</v>
      </c>
      <c r="D571" t="s">
        <v>102</v>
      </c>
      <c r="E571">
        <v>31022</v>
      </c>
      <c r="K571" t="str" cm="1">
        <f t="array" aca="1" ref="K571" ca="1">INDIRECT(_xlfn.CONCAT("A",$Q571))</f>
        <v>connection_phase</v>
      </c>
      <c r="L571" t="str" cm="1">
        <f t="array" aca="1" ref="L571" ca="1">INDIRECT(_xlfn.CONCAT("B",$Q571))</f>
        <v>SPVA_CERTMON</v>
      </c>
      <c r="M571" cm="1">
        <f t="array" aca="1" ref="M571" ca="1">INDIRECT(_xlfn.CONCAT("C",$Q571))</f>
        <v>20</v>
      </c>
      <c r="N571" t="str" cm="1">
        <f t="array" aca="1" ref="N571" ca="1">INDIRECT(_xlfn.CONCAT("D",$Q571))</f>
        <v>search</v>
      </c>
      <c r="O571" cm="1">
        <f t="array" aca="1" ref="O571" ca="1">INDIRECT(_xlfn.CONCAT("E",$Q571))</f>
        <v>4242</v>
      </c>
      <c r="Q571">
        <v>597</v>
      </c>
    </row>
    <row r="572" spans="1:17">
      <c r="A572" t="s">
        <v>97</v>
      </c>
      <c r="B572" t="s">
        <v>10</v>
      </c>
      <c r="C572">
        <v>15</v>
      </c>
      <c r="D572" t="s">
        <v>98</v>
      </c>
      <c r="E572">
        <v>4199</v>
      </c>
      <c r="K572" t="str" cm="1">
        <f t="array" aca="1" ref="K572" ca="1">INDIRECT(_xlfn.CONCAT("A",$Q572))</f>
        <v>connection_phase</v>
      </c>
      <c r="L572" t="str" cm="1">
        <f t="array" aca="1" ref="L572" ca="1">INDIRECT(_xlfn.CONCAT("B",$Q572))</f>
        <v>SPVA_CERTMON</v>
      </c>
      <c r="M572" cm="1">
        <f t="array" aca="1" ref="M572" ca="1">INDIRECT(_xlfn.CONCAT("C",$Q572))</f>
        <v>21</v>
      </c>
      <c r="N572" t="str" cm="1">
        <f t="array" aca="1" ref="N572" ca="1">INDIRECT(_xlfn.CONCAT("D",$Q572))</f>
        <v>search</v>
      </c>
      <c r="O572" cm="1">
        <f t="array" aca="1" ref="O572" ca="1">INDIRECT(_xlfn.CONCAT("E",$Q572))</f>
        <v>12920</v>
      </c>
      <c r="Q572">
        <v>602</v>
      </c>
    </row>
    <row r="573" spans="1:17">
      <c r="A573" t="s">
        <v>97</v>
      </c>
      <c r="B573" t="s">
        <v>10</v>
      </c>
      <c r="C573">
        <v>15</v>
      </c>
      <c r="D573" t="s">
        <v>99</v>
      </c>
      <c r="E573">
        <v>15071</v>
      </c>
      <c r="K573" t="str" cm="1">
        <f t="array" aca="1" ref="K573" ca="1">INDIRECT(_xlfn.CONCAT("A",$Q573))</f>
        <v>connection_phase</v>
      </c>
      <c r="L573" t="str" cm="1">
        <f t="array" aca="1" ref="L573" ca="1">INDIRECT(_xlfn.CONCAT("B",$Q573))</f>
        <v>SPVA_CERTMON</v>
      </c>
      <c r="M573" cm="1">
        <f t="array" aca="1" ref="M573" ca="1">INDIRECT(_xlfn.CONCAT("C",$Q573))</f>
        <v>22</v>
      </c>
      <c r="N573" t="str" cm="1">
        <f t="array" aca="1" ref="N573" ca="1">INDIRECT(_xlfn.CONCAT("D",$Q573))</f>
        <v>search</v>
      </c>
      <c r="O573" cm="1">
        <f t="array" aca="1" ref="O573" ca="1">INDIRECT(_xlfn.CONCAT("E",$Q573))</f>
        <v>2439</v>
      </c>
      <c r="Q573">
        <v>607</v>
      </c>
    </row>
    <row r="574" spans="1:17">
      <c r="A574" t="s">
        <v>97</v>
      </c>
      <c r="B574" t="s">
        <v>10</v>
      </c>
      <c r="C574">
        <v>15</v>
      </c>
      <c r="D574" t="s">
        <v>100</v>
      </c>
      <c r="E574">
        <v>1107</v>
      </c>
      <c r="K574" t="str" cm="1">
        <f t="array" aca="1" ref="K574" ca="1">INDIRECT(_xlfn.CONCAT("A",$Q574))</f>
        <v>connection_phase</v>
      </c>
      <c r="L574" t="str" cm="1">
        <f t="array" aca="1" ref="L574" ca="1">INDIRECT(_xlfn.CONCAT("B",$Q574))</f>
        <v>SPVA_CERTMON</v>
      </c>
      <c r="M574" cm="1">
        <f t="array" aca="1" ref="M574" ca="1">INDIRECT(_xlfn.CONCAT("C",$Q574))</f>
        <v>23</v>
      </c>
      <c r="N574" t="str" cm="1">
        <f t="array" aca="1" ref="N574" ca="1">INDIRECT(_xlfn.CONCAT("D",$Q574))</f>
        <v>search</v>
      </c>
      <c r="O574" cm="1">
        <f t="array" aca="1" ref="O574" ca="1">INDIRECT(_xlfn.CONCAT("E",$Q574))</f>
        <v>2707</v>
      </c>
      <c r="Q574">
        <v>612</v>
      </c>
    </row>
    <row r="575" spans="1:17">
      <c r="A575" t="s">
        <v>97</v>
      </c>
      <c r="B575" t="s">
        <v>10</v>
      </c>
      <c r="C575">
        <v>15</v>
      </c>
      <c r="D575" t="s">
        <v>101</v>
      </c>
      <c r="E575">
        <v>12758</v>
      </c>
      <c r="K575" t="str" cm="1">
        <f t="array" aca="1" ref="K575" ca="1">INDIRECT(_xlfn.CONCAT("A",$Q575))</f>
        <v>connection_phase</v>
      </c>
      <c r="L575" t="str" cm="1">
        <f t="array" aca="1" ref="L575" ca="1">INDIRECT(_xlfn.CONCAT("B",$Q575))</f>
        <v>SPVA_CERTMON</v>
      </c>
      <c r="M575" cm="1">
        <f t="array" aca="1" ref="M575" ca="1">INDIRECT(_xlfn.CONCAT("C",$Q575))</f>
        <v>24</v>
      </c>
      <c r="N575" t="str" cm="1">
        <f t="array" aca="1" ref="N575" ca="1">INDIRECT(_xlfn.CONCAT("D",$Q575))</f>
        <v>search</v>
      </c>
      <c r="O575" cm="1">
        <f t="array" aca="1" ref="O575" ca="1">INDIRECT(_xlfn.CONCAT("E",$Q575))</f>
        <v>1579</v>
      </c>
      <c r="Q575">
        <v>617</v>
      </c>
    </row>
    <row r="576" spans="1:17">
      <c r="A576" t="s">
        <v>97</v>
      </c>
      <c r="B576" t="s">
        <v>10</v>
      </c>
      <c r="C576">
        <v>15</v>
      </c>
      <c r="D576" t="s">
        <v>102</v>
      </c>
      <c r="E576">
        <v>33135</v>
      </c>
      <c r="K576" t="str" cm="1">
        <f t="array" aca="1" ref="K576" ca="1">INDIRECT(_xlfn.CONCAT("A",$Q576))</f>
        <v>connection_phase</v>
      </c>
      <c r="L576" t="str" cm="1">
        <f t="array" aca="1" ref="L576" ca="1">INDIRECT(_xlfn.CONCAT("B",$Q576))</f>
        <v>SPVA_CERTMON</v>
      </c>
      <c r="M576" cm="1">
        <f t="array" aca="1" ref="M576" ca="1">INDIRECT(_xlfn.CONCAT("C",$Q576))</f>
        <v>25</v>
      </c>
      <c r="N576" t="str" cm="1">
        <f t="array" aca="1" ref="N576" ca="1">INDIRECT(_xlfn.CONCAT("D",$Q576))</f>
        <v>search</v>
      </c>
      <c r="O576" cm="1">
        <f t="array" aca="1" ref="O576" ca="1">INDIRECT(_xlfn.CONCAT("E",$Q576))</f>
        <v>3206</v>
      </c>
      <c r="Q576">
        <v>622</v>
      </c>
    </row>
    <row r="577" spans="1:17">
      <c r="A577" t="s">
        <v>97</v>
      </c>
      <c r="B577" t="s">
        <v>10</v>
      </c>
      <c r="C577">
        <v>16</v>
      </c>
      <c r="D577" t="s">
        <v>98</v>
      </c>
      <c r="E577">
        <v>13005</v>
      </c>
      <c r="K577" t="str" cm="1">
        <f t="array" aca="1" ref="K577" ca="1">INDIRECT(_xlfn.CONCAT("A",$Q577))</f>
        <v>connection_phase</v>
      </c>
      <c r="L577" t="str" cm="1">
        <f t="array" aca="1" ref="L577" ca="1">INDIRECT(_xlfn.CONCAT("B",$Q577))</f>
        <v>SPVA_CERTMON</v>
      </c>
      <c r="M577" cm="1">
        <f t="array" aca="1" ref="M577" ca="1">INDIRECT(_xlfn.CONCAT("C",$Q577))</f>
        <v>26</v>
      </c>
      <c r="N577" t="str" cm="1">
        <f t="array" aca="1" ref="N577" ca="1">INDIRECT(_xlfn.CONCAT("D",$Q577))</f>
        <v>search</v>
      </c>
      <c r="O577" cm="1">
        <f t="array" aca="1" ref="O577" ca="1">INDIRECT(_xlfn.CONCAT("E",$Q577))</f>
        <v>4840</v>
      </c>
      <c r="Q577">
        <v>627</v>
      </c>
    </row>
    <row r="578" spans="1:17">
      <c r="A578" t="s">
        <v>97</v>
      </c>
      <c r="B578" t="s">
        <v>10</v>
      </c>
      <c r="C578">
        <v>16</v>
      </c>
      <c r="D578" t="s">
        <v>99</v>
      </c>
      <c r="E578">
        <v>13116</v>
      </c>
      <c r="K578" t="str" cm="1">
        <f t="array" aca="1" ref="K578" ca="1">INDIRECT(_xlfn.CONCAT("A",$Q578))</f>
        <v>connection_phase</v>
      </c>
      <c r="L578" t="str" cm="1">
        <f t="array" aca="1" ref="L578" ca="1">INDIRECT(_xlfn.CONCAT("B",$Q578))</f>
        <v>SPVA_CERTMON</v>
      </c>
      <c r="M578" cm="1">
        <f t="array" aca="1" ref="M578" ca="1">INDIRECT(_xlfn.CONCAT("C",$Q578))</f>
        <v>27</v>
      </c>
      <c r="N578" t="str" cm="1">
        <f t="array" aca="1" ref="N578" ca="1">INDIRECT(_xlfn.CONCAT("D",$Q578))</f>
        <v>search</v>
      </c>
      <c r="O578" cm="1">
        <f t="array" aca="1" ref="O578" ca="1">INDIRECT(_xlfn.CONCAT("E",$Q578))</f>
        <v>2198</v>
      </c>
      <c r="Q578">
        <v>632</v>
      </c>
    </row>
    <row r="579" spans="1:17">
      <c r="A579" t="s">
        <v>97</v>
      </c>
      <c r="B579" t="s">
        <v>10</v>
      </c>
      <c r="C579">
        <v>16</v>
      </c>
      <c r="D579" t="s">
        <v>100</v>
      </c>
      <c r="E579">
        <v>338</v>
      </c>
      <c r="K579" t="str" cm="1">
        <f t="array" aca="1" ref="K579" ca="1">INDIRECT(_xlfn.CONCAT("A",$Q579))</f>
        <v>connection_phase</v>
      </c>
      <c r="L579" t="str" cm="1">
        <f t="array" aca="1" ref="L579" ca="1">INDIRECT(_xlfn.CONCAT("B",$Q579))</f>
        <v>SPVA_CERTMON</v>
      </c>
      <c r="M579" cm="1">
        <f t="array" aca="1" ref="M579" ca="1">INDIRECT(_xlfn.CONCAT("C",$Q579))</f>
        <v>28</v>
      </c>
      <c r="N579" t="str" cm="1">
        <f t="array" aca="1" ref="N579" ca="1">INDIRECT(_xlfn.CONCAT("D",$Q579))</f>
        <v>search</v>
      </c>
      <c r="O579" cm="1">
        <f t="array" aca="1" ref="O579" ca="1">INDIRECT(_xlfn.CONCAT("E",$Q579))</f>
        <v>11286</v>
      </c>
      <c r="Q579">
        <v>637</v>
      </c>
    </row>
    <row r="580" spans="1:17">
      <c r="A580" t="s">
        <v>97</v>
      </c>
      <c r="B580" t="s">
        <v>10</v>
      </c>
      <c r="C580">
        <v>16</v>
      </c>
      <c r="D580" t="s">
        <v>101</v>
      </c>
      <c r="E580">
        <v>13661</v>
      </c>
      <c r="K580" t="str" cm="1">
        <f t="array" aca="1" ref="K580" ca="1">INDIRECT(_xlfn.CONCAT("A",$Q580))</f>
        <v>connection_phase</v>
      </c>
      <c r="L580" t="str" cm="1">
        <f t="array" aca="1" ref="L580" ca="1">INDIRECT(_xlfn.CONCAT("B",$Q580))</f>
        <v>SPVA_CERTMON</v>
      </c>
      <c r="M580" cm="1">
        <f t="array" aca="1" ref="M580" ca="1">INDIRECT(_xlfn.CONCAT("C",$Q580))</f>
        <v>29</v>
      </c>
      <c r="N580" t="str" cm="1">
        <f t="array" aca="1" ref="N580" ca="1">INDIRECT(_xlfn.CONCAT("D",$Q580))</f>
        <v>search</v>
      </c>
      <c r="O580" cm="1">
        <f t="array" aca="1" ref="O580" ca="1">INDIRECT(_xlfn.CONCAT("E",$Q580))</f>
        <v>2219</v>
      </c>
      <c r="Q580">
        <v>642</v>
      </c>
    </row>
    <row r="581" spans="1:17">
      <c r="A581" t="s">
        <v>97</v>
      </c>
      <c r="B581" t="s">
        <v>10</v>
      </c>
      <c r="C581">
        <v>16</v>
      </c>
      <c r="D581" t="s">
        <v>102</v>
      </c>
      <c r="E581">
        <v>40120</v>
      </c>
      <c r="K581" t="str" cm="1">
        <f t="array" aca="1" ref="K581" ca="1">INDIRECT(_xlfn.CONCAT("A",$Q581))</f>
        <v>connection_phase</v>
      </c>
      <c r="L581" t="str" cm="1">
        <f t="array" aca="1" ref="L581" ca="1">INDIRECT(_xlfn.CONCAT("B",$Q581))</f>
        <v>SPVA_CERTMON</v>
      </c>
      <c r="M581" cm="1">
        <f t="array" aca="1" ref="M581" ca="1">INDIRECT(_xlfn.CONCAT("C",$Q581))</f>
        <v>30</v>
      </c>
      <c r="N581" t="str" cm="1">
        <f t="array" aca="1" ref="N581" ca="1">INDIRECT(_xlfn.CONCAT("D",$Q581))</f>
        <v>search</v>
      </c>
      <c r="O581" cm="1">
        <f t="array" aca="1" ref="O581" ca="1">INDIRECT(_xlfn.CONCAT("E",$Q581))</f>
        <v>1975</v>
      </c>
      <c r="Q581">
        <v>647</v>
      </c>
    </row>
    <row r="582" spans="1:17">
      <c r="A582" t="s">
        <v>97</v>
      </c>
      <c r="B582" t="s">
        <v>10</v>
      </c>
      <c r="C582">
        <v>17</v>
      </c>
      <c r="D582" t="s">
        <v>98</v>
      </c>
      <c r="E582">
        <v>6328</v>
      </c>
      <c r="K582" t="str" cm="1">
        <f t="array" aca="1" ref="K582" ca="1">INDIRECT(_xlfn.CONCAT("A",$Q582))</f>
        <v>connection_phase</v>
      </c>
      <c r="L582" t="str" cm="1">
        <f t="array" aca="1" ref="L582" ca="1">INDIRECT(_xlfn.CONCAT("B",$Q582))</f>
        <v>SPVA_CERTMON</v>
      </c>
      <c r="M582" cm="1">
        <f t="array" aca="1" ref="M582" ca="1">INDIRECT(_xlfn.CONCAT("C",$Q582))</f>
        <v>31</v>
      </c>
      <c r="N582" t="str" cm="1">
        <f t="array" aca="1" ref="N582" ca="1">INDIRECT(_xlfn.CONCAT("D",$Q582))</f>
        <v>search</v>
      </c>
      <c r="O582" cm="1">
        <f t="array" aca="1" ref="O582" ca="1">INDIRECT(_xlfn.CONCAT("E",$Q582))</f>
        <v>5714</v>
      </c>
      <c r="Q582">
        <v>652</v>
      </c>
    </row>
    <row r="583" spans="1:17">
      <c r="A583" t="s">
        <v>97</v>
      </c>
      <c r="B583" t="s">
        <v>10</v>
      </c>
      <c r="C583">
        <v>17</v>
      </c>
      <c r="D583" t="s">
        <v>99</v>
      </c>
      <c r="E583">
        <v>11995</v>
      </c>
      <c r="K583" t="str" cm="1">
        <f t="array" aca="1" ref="K583" ca="1">INDIRECT(_xlfn.CONCAT("A",$Q583))</f>
        <v>connection_phase</v>
      </c>
      <c r="L583" t="str" cm="1">
        <f t="array" aca="1" ref="L583" ca="1">INDIRECT(_xlfn.CONCAT("B",$Q583))</f>
        <v>SPVA_CERTMON</v>
      </c>
      <c r="M583" cm="1">
        <f t="array" aca="1" ref="M583" ca="1">INDIRECT(_xlfn.CONCAT("C",$Q583))</f>
        <v>32</v>
      </c>
      <c r="N583" t="str" cm="1">
        <f t="array" aca="1" ref="N583" ca="1">INDIRECT(_xlfn.CONCAT("D",$Q583))</f>
        <v>search</v>
      </c>
      <c r="O583" cm="1">
        <f t="array" aca="1" ref="O583" ca="1">INDIRECT(_xlfn.CONCAT("E",$Q583))</f>
        <v>7680</v>
      </c>
      <c r="Q583">
        <v>657</v>
      </c>
    </row>
    <row r="584" spans="1:17">
      <c r="A584" t="s">
        <v>97</v>
      </c>
      <c r="B584" t="s">
        <v>10</v>
      </c>
      <c r="C584">
        <v>17</v>
      </c>
      <c r="D584" t="s">
        <v>100</v>
      </c>
      <c r="E584">
        <v>1030</v>
      </c>
      <c r="K584" t="str" cm="1">
        <f t="array" aca="1" ref="K584" ca="1">INDIRECT(_xlfn.CONCAT("A",$Q584))</f>
        <v>connection_phase</v>
      </c>
      <c r="L584" t="str" cm="1">
        <f t="array" aca="1" ref="L584" ca="1">INDIRECT(_xlfn.CONCAT("B",$Q584))</f>
        <v>SPVA_CERTMON</v>
      </c>
      <c r="M584" cm="1">
        <f t="array" aca="1" ref="M584" ca="1">INDIRECT(_xlfn.CONCAT("C",$Q584))</f>
        <v>33</v>
      </c>
      <c r="N584" t="str" cm="1">
        <f t="array" aca="1" ref="N584" ca="1">INDIRECT(_xlfn.CONCAT("D",$Q584))</f>
        <v>search</v>
      </c>
      <c r="O584" cm="1">
        <f t="array" aca="1" ref="O584" ca="1">INDIRECT(_xlfn.CONCAT("E",$Q584))</f>
        <v>6521</v>
      </c>
      <c r="Q584">
        <v>662</v>
      </c>
    </row>
    <row r="585" spans="1:17">
      <c r="A585" t="s">
        <v>97</v>
      </c>
      <c r="B585" t="s">
        <v>10</v>
      </c>
      <c r="C585">
        <v>17</v>
      </c>
      <c r="D585" t="s">
        <v>101</v>
      </c>
      <c r="E585">
        <v>13554</v>
      </c>
      <c r="K585" t="str" cm="1">
        <f t="array" aca="1" ref="K585" ca="1">INDIRECT(_xlfn.CONCAT("A",$Q585))</f>
        <v>connection_phase</v>
      </c>
      <c r="L585" t="str" cm="1">
        <f t="array" aca="1" ref="L585" ca="1">INDIRECT(_xlfn.CONCAT("B",$Q585))</f>
        <v>SPVA_CERTMON</v>
      </c>
      <c r="M585" cm="1">
        <f t="array" aca="1" ref="M585" ca="1">INDIRECT(_xlfn.CONCAT("C",$Q585))</f>
        <v>34</v>
      </c>
      <c r="N585" t="str" cm="1">
        <f t="array" aca="1" ref="N585" ca="1">INDIRECT(_xlfn.CONCAT("D",$Q585))</f>
        <v>search</v>
      </c>
      <c r="O585" cm="1">
        <f t="array" aca="1" ref="O585" ca="1">INDIRECT(_xlfn.CONCAT("E",$Q585))</f>
        <v>2988</v>
      </c>
      <c r="Q585">
        <v>667</v>
      </c>
    </row>
    <row r="586" spans="1:17">
      <c r="A586" t="s">
        <v>97</v>
      </c>
      <c r="B586" t="s">
        <v>10</v>
      </c>
      <c r="C586">
        <v>17</v>
      </c>
      <c r="D586" t="s">
        <v>102</v>
      </c>
      <c r="E586">
        <v>32907</v>
      </c>
      <c r="K586" t="str" cm="1">
        <f t="array" aca="1" ref="K586" ca="1">INDIRECT(_xlfn.CONCAT("A",$Q586))</f>
        <v>connection_phase</v>
      </c>
      <c r="L586" t="str" cm="1">
        <f t="array" aca="1" ref="L586" ca="1">INDIRECT(_xlfn.CONCAT("B",$Q586))</f>
        <v>SPVA_CERTMON</v>
      </c>
      <c r="M586" cm="1">
        <f t="array" aca="1" ref="M586" ca="1">INDIRECT(_xlfn.CONCAT("C",$Q586))</f>
        <v>35</v>
      </c>
      <c r="N586" t="str" cm="1">
        <f t="array" aca="1" ref="N586" ca="1">INDIRECT(_xlfn.CONCAT("D",$Q586))</f>
        <v>search</v>
      </c>
      <c r="O586" cm="1">
        <f t="array" aca="1" ref="O586" ca="1">INDIRECT(_xlfn.CONCAT("E",$Q586))</f>
        <v>7372</v>
      </c>
      <c r="Q586">
        <v>672</v>
      </c>
    </row>
    <row r="587" spans="1:17">
      <c r="A587" t="s">
        <v>97</v>
      </c>
      <c r="B587" t="s">
        <v>10</v>
      </c>
      <c r="C587">
        <v>18</v>
      </c>
      <c r="D587" t="s">
        <v>98</v>
      </c>
      <c r="E587">
        <v>3428</v>
      </c>
      <c r="K587" t="str" cm="1">
        <f t="array" aca="1" ref="K587" ca="1">INDIRECT(_xlfn.CONCAT("A",$Q587))</f>
        <v>connection_phase</v>
      </c>
      <c r="L587" t="str" cm="1">
        <f t="array" aca="1" ref="L587" ca="1">INDIRECT(_xlfn.CONCAT("B",$Q587))</f>
        <v>SPVA_CERTMON</v>
      </c>
      <c r="M587" cm="1">
        <f t="array" aca="1" ref="M587" ca="1">INDIRECT(_xlfn.CONCAT("C",$Q587))</f>
        <v>36</v>
      </c>
      <c r="N587" t="str" cm="1">
        <f t="array" aca="1" ref="N587" ca="1">INDIRECT(_xlfn.CONCAT("D",$Q587))</f>
        <v>search</v>
      </c>
      <c r="O587" cm="1">
        <f t="array" aca="1" ref="O587" ca="1">INDIRECT(_xlfn.CONCAT("E",$Q587))</f>
        <v>2921</v>
      </c>
      <c r="Q587">
        <v>677</v>
      </c>
    </row>
    <row r="588" spans="1:17">
      <c r="A588" t="s">
        <v>97</v>
      </c>
      <c r="B588" t="s">
        <v>10</v>
      </c>
      <c r="C588">
        <v>18</v>
      </c>
      <c r="D588" t="s">
        <v>99</v>
      </c>
      <c r="E588">
        <v>15333</v>
      </c>
      <c r="K588" t="str" cm="1">
        <f t="array" aca="1" ref="K588" ca="1">INDIRECT(_xlfn.CONCAT("A",$Q588))</f>
        <v>connection_phase</v>
      </c>
      <c r="L588" t="str" cm="1">
        <f t="array" aca="1" ref="L588" ca="1">INDIRECT(_xlfn.CONCAT("B",$Q588))</f>
        <v>SPVA_CERTMON</v>
      </c>
      <c r="M588" cm="1">
        <f t="array" aca="1" ref="M588" ca="1">INDIRECT(_xlfn.CONCAT("C",$Q588))</f>
        <v>37</v>
      </c>
      <c r="N588" t="str" cm="1">
        <f t="array" aca="1" ref="N588" ca="1">INDIRECT(_xlfn.CONCAT("D",$Q588))</f>
        <v>search</v>
      </c>
      <c r="O588" cm="1">
        <f t="array" aca="1" ref="O588" ca="1">INDIRECT(_xlfn.CONCAT("E",$Q588))</f>
        <v>2750</v>
      </c>
      <c r="Q588">
        <v>682</v>
      </c>
    </row>
    <row r="589" spans="1:17">
      <c r="A589" t="s">
        <v>97</v>
      </c>
      <c r="B589" t="s">
        <v>10</v>
      </c>
      <c r="C589">
        <v>18</v>
      </c>
      <c r="D589" t="s">
        <v>100</v>
      </c>
      <c r="E589">
        <v>691</v>
      </c>
      <c r="K589" t="str" cm="1">
        <f t="array" aca="1" ref="K589" ca="1">INDIRECT(_xlfn.CONCAT("A",$Q589))</f>
        <v>connection_phase</v>
      </c>
      <c r="L589" t="str" cm="1">
        <f t="array" aca="1" ref="L589" ca="1">INDIRECT(_xlfn.CONCAT("B",$Q589))</f>
        <v>SPVA_CERTMON</v>
      </c>
      <c r="M589" cm="1">
        <f t="array" aca="1" ref="M589" ca="1">INDIRECT(_xlfn.CONCAT("C",$Q589))</f>
        <v>38</v>
      </c>
      <c r="N589" t="str" cm="1">
        <f t="array" aca="1" ref="N589" ca="1">INDIRECT(_xlfn.CONCAT("D",$Q589))</f>
        <v>search</v>
      </c>
      <c r="O589" cm="1">
        <f t="array" aca="1" ref="O589" ca="1">INDIRECT(_xlfn.CONCAT("E",$Q589))</f>
        <v>1653</v>
      </c>
      <c r="Q589">
        <v>687</v>
      </c>
    </row>
    <row r="590" spans="1:17">
      <c r="A590" t="s">
        <v>97</v>
      </c>
      <c r="B590" t="s">
        <v>10</v>
      </c>
      <c r="C590">
        <v>18</v>
      </c>
      <c r="D590" t="s">
        <v>101</v>
      </c>
      <c r="E590">
        <v>15988</v>
      </c>
      <c r="K590" t="str" cm="1">
        <f t="array" aca="1" ref="K590" ca="1">INDIRECT(_xlfn.CONCAT("A",$Q590))</f>
        <v>connection_phase</v>
      </c>
      <c r="L590" t="str" cm="1">
        <f t="array" aca="1" ref="L590" ca="1">INDIRECT(_xlfn.CONCAT("B",$Q590))</f>
        <v>SPVA_CERTMON</v>
      </c>
      <c r="M590" cm="1">
        <f t="array" aca="1" ref="M590" ca="1">INDIRECT(_xlfn.CONCAT("C",$Q590))</f>
        <v>39</v>
      </c>
      <c r="N590" t="str" cm="1">
        <f t="array" aca="1" ref="N590" ca="1">INDIRECT(_xlfn.CONCAT("D",$Q590))</f>
        <v>search</v>
      </c>
      <c r="O590" cm="1">
        <f t="array" aca="1" ref="O590" ca="1">INDIRECT(_xlfn.CONCAT("E",$Q590))</f>
        <v>2980</v>
      </c>
      <c r="Q590">
        <v>692</v>
      </c>
    </row>
    <row r="591" spans="1:17">
      <c r="A591" t="s">
        <v>97</v>
      </c>
      <c r="B591" t="s">
        <v>10</v>
      </c>
      <c r="C591">
        <v>18</v>
      </c>
      <c r="D591" t="s">
        <v>102</v>
      </c>
      <c r="E591">
        <v>35440</v>
      </c>
      <c r="K591" t="str" cm="1">
        <f t="array" aca="1" ref="K591" ca="1">INDIRECT(_xlfn.CONCAT("A",$Q591))</f>
        <v>connection_phase</v>
      </c>
      <c r="L591" t="str" cm="1">
        <f t="array" aca="1" ref="L591" ca="1">INDIRECT(_xlfn.CONCAT("B",$Q591))</f>
        <v>SPVA_CERTMON</v>
      </c>
      <c r="M591" cm="1">
        <f t="array" aca="1" ref="M591" ca="1">INDIRECT(_xlfn.CONCAT("C",$Q591))</f>
        <v>40</v>
      </c>
      <c r="N591" t="str" cm="1">
        <f t="array" aca="1" ref="N591" ca="1">INDIRECT(_xlfn.CONCAT("D",$Q591))</f>
        <v>search</v>
      </c>
      <c r="O591" cm="1">
        <f t="array" aca="1" ref="O591" ca="1">INDIRECT(_xlfn.CONCAT("E",$Q591))</f>
        <v>10298</v>
      </c>
      <c r="Q591">
        <v>697</v>
      </c>
    </row>
    <row r="592" spans="1:17">
      <c r="A592" t="s">
        <v>97</v>
      </c>
      <c r="B592" t="s">
        <v>10</v>
      </c>
      <c r="C592">
        <v>19</v>
      </c>
      <c r="D592" t="s">
        <v>98</v>
      </c>
      <c r="E592">
        <v>5803</v>
      </c>
      <c r="K592" t="str" cm="1">
        <f t="array" aca="1" ref="K592" ca="1">INDIRECT(_xlfn.CONCAT("A",$Q592))</f>
        <v>connection_phase</v>
      </c>
      <c r="L592" t="str" cm="1">
        <f t="array" aca="1" ref="L592" ca="1">INDIRECT(_xlfn.CONCAT("B",$Q592))</f>
        <v>SPVA_CERTMON</v>
      </c>
      <c r="M592" cm="1">
        <f t="array" aca="1" ref="M592" ca="1">INDIRECT(_xlfn.CONCAT("C",$Q592))</f>
        <v>41</v>
      </c>
      <c r="N592" t="str" cm="1">
        <f t="array" aca="1" ref="N592" ca="1">INDIRECT(_xlfn.CONCAT("D",$Q592))</f>
        <v>search</v>
      </c>
      <c r="O592" cm="1">
        <f t="array" aca="1" ref="O592" ca="1">INDIRECT(_xlfn.CONCAT("E",$Q592))</f>
        <v>1765</v>
      </c>
      <c r="Q592">
        <v>702</v>
      </c>
    </row>
    <row r="593" spans="1:17">
      <c r="A593" t="s">
        <v>97</v>
      </c>
      <c r="B593" t="s">
        <v>10</v>
      </c>
      <c r="C593">
        <v>19</v>
      </c>
      <c r="D593" t="s">
        <v>99</v>
      </c>
      <c r="E593">
        <v>12517</v>
      </c>
      <c r="K593" t="str" cm="1">
        <f t="array" aca="1" ref="K593" ca="1">INDIRECT(_xlfn.CONCAT("A",$Q593))</f>
        <v>connection_phase</v>
      </c>
      <c r="L593" t="str" cm="1">
        <f t="array" aca="1" ref="L593" ca="1">INDIRECT(_xlfn.CONCAT("B",$Q593))</f>
        <v>SPVA_CERTMON</v>
      </c>
      <c r="M593" cm="1">
        <f t="array" aca="1" ref="M593" ca="1">INDIRECT(_xlfn.CONCAT("C",$Q593))</f>
        <v>42</v>
      </c>
      <c r="N593" t="str" cm="1">
        <f t="array" aca="1" ref="N593" ca="1">INDIRECT(_xlfn.CONCAT("D",$Q593))</f>
        <v>search</v>
      </c>
      <c r="O593" cm="1">
        <f t="array" aca="1" ref="O593" ca="1">INDIRECT(_xlfn.CONCAT("E",$Q593))</f>
        <v>5998</v>
      </c>
      <c r="Q593">
        <v>707</v>
      </c>
    </row>
    <row r="594" spans="1:17">
      <c r="A594" t="s">
        <v>97</v>
      </c>
      <c r="B594" t="s">
        <v>10</v>
      </c>
      <c r="C594">
        <v>19</v>
      </c>
      <c r="D594" t="s">
        <v>100</v>
      </c>
      <c r="E594">
        <v>631</v>
      </c>
      <c r="K594" t="str" cm="1">
        <f t="array" aca="1" ref="K594" ca="1">INDIRECT(_xlfn.CONCAT("A",$Q594))</f>
        <v>connection_phase</v>
      </c>
      <c r="L594" t="str" cm="1">
        <f t="array" aca="1" ref="L594" ca="1">INDIRECT(_xlfn.CONCAT("B",$Q594))</f>
        <v>SPVA_CERTMON</v>
      </c>
      <c r="M594" cm="1">
        <f t="array" aca="1" ref="M594" ca="1">INDIRECT(_xlfn.CONCAT("C",$Q594))</f>
        <v>43</v>
      </c>
      <c r="N594" t="str" cm="1">
        <f t="array" aca="1" ref="N594" ca="1">INDIRECT(_xlfn.CONCAT("D",$Q594))</f>
        <v>search</v>
      </c>
      <c r="O594" cm="1">
        <f t="array" aca="1" ref="O594" ca="1">INDIRECT(_xlfn.CONCAT("E",$Q594))</f>
        <v>5402</v>
      </c>
      <c r="Q594">
        <v>712</v>
      </c>
    </row>
    <row r="595" spans="1:17">
      <c r="A595" t="s">
        <v>97</v>
      </c>
      <c r="B595" t="s">
        <v>10</v>
      </c>
      <c r="C595">
        <v>19</v>
      </c>
      <c r="D595" t="s">
        <v>101</v>
      </c>
      <c r="E595">
        <v>16625</v>
      </c>
      <c r="K595" t="str" cm="1">
        <f t="array" aca="1" ref="K595" ca="1">INDIRECT(_xlfn.CONCAT("A",$Q595))</f>
        <v>connection_phase</v>
      </c>
      <c r="L595" t="str" cm="1">
        <f t="array" aca="1" ref="L595" ca="1">INDIRECT(_xlfn.CONCAT("B",$Q595))</f>
        <v>SPVA_CERTMON</v>
      </c>
      <c r="M595" cm="1">
        <f t="array" aca="1" ref="M595" ca="1">INDIRECT(_xlfn.CONCAT("C",$Q595))</f>
        <v>44</v>
      </c>
      <c r="N595" t="str" cm="1">
        <f t="array" aca="1" ref="N595" ca="1">INDIRECT(_xlfn.CONCAT("D",$Q595))</f>
        <v>search</v>
      </c>
      <c r="O595" cm="1">
        <f t="array" aca="1" ref="O595" ca="1">INDIRECT(_xlfn.CONCAT("E",$Q595))</f>
        <v>2571</v>
      </c>
      <c r="Q595">
        <v>717</v>
      </c>
    </row>
    <row r="596" spans="1:17">
      <c r="A596" t="s">
        <v>97</v>
      </c>
      <c r="B596" t="s">
        <v>10</v>
      </c>
      <c r="C596">
        <v>19</v>
      </c>
      <c r="D596" t="s">
        <v>102</v>
      </c>
      <c r="E596">
        <v>35576</v>
      </c>
      <c r="K596" t="str" cm="1">
        <f t="array" aca="1" ref="K596" ca="1">INDIRECT(_xlfn.CONCAT("A",$Q596))</f>
        <v>connection_phase</v>
      </c>
      <c r="L596" t="str" cm="1">
        <f t="array" aca="1" ref="L596" ca="1">INDIRECT(_xlfn.CONCAT("B",$Q596))</f>
        <v>SPVA_CERTMON</v>
      </c>
      <c r="M596" cm="1">
        <f t="array" aca="1" ref="M596" ca="1">INDIRECT(_xlfn.CONCAT("C",$Q596))</f>
        <v>45</v>
      </c>
      <c r="N596" t="str" cm="1">
        <f t="array" aca="1" ref="N596" ca="1">INDIRECT(_xlfn.CONCAT("D",$Q596))</f>
        <v>search</v>
      </c>
      <c r="O596" cm="1">
        <f t="array" aca="1" ref="O596" ca="1">INDIRECT(_xlfn.CONCAT("E",$Q596))</f>
        <v>4146</v>
      </c>
      <c r="Q596">
        <v>722</v>
      </c>
    </row>
    <row r="597" spans="1:17">
      <c r="A597" t="s">
        <v>97</v>
      </c>
      <c r="B597" t="s">
        <v>10</v>
      </c>
      <c r="C597">
        <v>20</v>
      </c>
      <c r="D597" t="s">
        <v>98</v>
      </c>
      <c r="E597">
        <v>4242</v>
      </c>
      <c r="K597" t="str" cm="1">
        <f t="array" aca="1" ref="K597" ca="1">INDIRECT(_xlfn.CONCAT("A",$Q597))</f>
        <v>connection_phase</v>
      </c>
      <c r="L597" t="str" cm="1">
        <f t="array" aca="1" ref="L597" ca="1">INDIRECT(_xlfn.CONCAT("B",$Q597))</f>
        <v>SPVA_CERTMON</v>
      </c>
      <c r="M597" cm="1">
        <f t="array" aca="1" ref="M597" ca="1">INDIRECT(_xlfn.CONCAT("C",$Q597))</f>
        <v>46</v>
      </c>
      <c r="N597" t="str" cm="1">
        <f t="array" aca="1" ref="N597" ca="1">INDIRECT(_xlfn.CONCAT("D",$Q597))</f>
        <v>search</v>
      </c>
      <c r="O597" cm="1">
        <f t="array" aca="1" ref="O597" ca="1">INDIRECT(_xlfn.CONCAT("E",$Q597))</f>
        <v>1937</v>
      </c>
      <c r="Q597">
        <v>727</v>
      </c>
    </row>
    <row r="598" spans="1:17">
      <c r="A598" t="s">
        <v>97</v>
      </c>
      <c r="B598" t="s">
        <v>10</v>
      </c>
      <c r="C598">
        <v>20</v>
      </c>
      <c r="D598" t="s">
        <v>99</v>
      </c>
      <c r="E598">
        <v>14021</v>
      </c>
      <c r="K598" t="str" cm="1">
        <f t="array" aca="1" ref="K598" ca="1">INDIRECT(_xlfn.CONCAT("A",$Q598))</f>
        <v>connection_phase</v>
      </c>
      <c r="L598" t="str" cm="1">
        <f t="array" aca="1" ref="L598" ca="1">INDIRECT(_xlfn.CONCAT("B",$Q598))</f>
        <v>SPVA_CERTMON</v>
      </c>
      <c r="M598" cm="1">
        <f t="array" aca="1" ref="M598" ca="1">INDIRECT(_xlfn.CONCAT("C",$Q598))</f>
        <v>47</v>
      </c>
      <c r="N598" t="str" cm="1">
        <f t="array" aca="1" ref="N598" ca="1">INDIRECT(_xlfn.CONCAT("D",$Q598))</f>
        <v>search</v>
      </c>
      <c r="O598" cm="1">
        <f t="array" aca="1" ref="O598" ca="1">INDIRECT(_xlfn.CONCAT("E",$Q598))</f>
        <v>5062</v>
      </c>
      <c r="Q598">
        <v>732</v>
      </c>
    </row>
    <row r="599" spans="1:17">
      <c r="A599" t="s">
        <v>97</v>
      </c>
      <c r="B599" t="s">
        <v>10</v>
      </c>
      <c r="C599">
        <v>20</v>
      </c>
      <c r="D599" t="s">
        <v>100</v>
      </c>
      <c r="E599">
        <v>624</v>
      </c>
      <c r="K599" t="str" cm="1">
        <f t="array" aca="1" ref="K599" ca="1">INDIRECT(_xlfn.CONCAT("A",$Q599))</f>
        <v>connection_phase</v>
      </c>
      <c r="L599" t="str" cm="1">
        <f t="array" aca="1" ref="L599" ca="1">INDIRECT(_xlfn.CONCAT("B",$Q599))</f>
        <v>SPVA_CERTMON</v>
      </c>
      <c r="M599" cm="1">
        <f t="array" aca="1" ref="M599" ca="1">INDIRECT(_xlfn.CONCAT("C",$Q599))</f>
        <v>48</v>
      </c>
      <c r="N599" t="str" cm="1">
        <f t="array" aca="1" ref="N599" ca="1">INDIRECT(_xlfn.CONCAT("D",$Q599))</f>
        <v>search</v>
      </c>
      <c r="O599" cm="1">
        <f t="array" aca="1" ref="O599" ca="1">INDIRECT(_xlfn.CONCAT("E",$Q599))</f>
        <v>2977</v>
      </c>
      <c r="Q599">
        <v>737</v>
      </c>
    </row>
    <row r="600" spans="1:17">
      <c r="A600" t="s">
        <v>97</v>
      </c>
      <c r="B600" t="s">
        <v>10</v>
      </c>
      <c r="C600">
        <v>20</v>
      </c>
      <c r="D600" t="s">
        <v>101</v>
      </c>
      <c r="E600">
        <v>13923</v>
      </c>
      <c r="K600" t="str" cm="1">
        <f t="array" aca="1" ref="K600" ca="1">INDIRECT(_xlfn.CONCAT("A",$Q600))</f>
        <v>connection_phase</v>
      </c>
      <c r="L600" t="str" cm="1">
        <f t="array" aca="1" ref="L600" ca="1">INDIRECT(_xlfn.CONCAT("B",$Q600))</f>
        <v>SPVA_CERTMON</v>
      </c>
      <c r="M600" cm="1">
        <f t="array" aca="1" ref="M600" ca="1">INDIRECT(_xlfn.CONCAT("C",$Q600))</f>
        <v>49</v>
      </c>
      <c r="N600" t="str" cm="1">
        <f t="array" aca="1" ref="N600" ca="1">INDIRECT(_xlfn.CONCAT("D",$Q600))</f>
        <v>search</v>
      </c>
      <c r="O600" cm="1">
        <f t="array" aca="1" ref="O600" ca="1">INDIRECT(_xlfn.CONCAT("E",$Q600))</f>
        <v>1514</v>
      </c>
      <c r="Q600">
        <v>742</v>
      </c>
    </row>
    <row r="601" spans="1:17">
      <c r="A601" t="s">
        <v>97</v>
      </c>
      <c r="B601" t="s">
        <v>10</v>
      </c>
      <c r="C601">
        <v>20</v>
      </c>
      <c r="D601" t="s">
        <v>102</v>
      </c>
      <c r="E601">
        <v>32810</v>
      </c>
      <c r="K601" t="str" cm="1">
        <f t="array" aca="1" ref="K601" ca="1">INDIRECT(_xlfn.CONCAT("A",$Q601))</f>
        <v>connection_phase</v>
      </c>
      <c r="L601" t="str" cm="1">
        <f t="array" aca="1" ref="L601" ca="1">INDIRECT(_xlfn.CONCAT("B",$Q601))</f>
        <v>SPVA_CERTMON</v>
      </c>
      <c r="M601" cm="1">
        <f t="array" aca="1" ref="M601" ca="1">INDIRECT(_xlfn.CONCAT("C",$Q601))</f>
        <v>50</v>
      </c>
      <c r="N601" t="str" cm="1">
        <f t="array" aca="1" ref="N601" ca="1">INDIRECT(_xlfn.CONCAT("D",$Q601))</f>
        <v>search</v>
      </c>
      <c r="O601" cm="1">
        <f t="array" aca="1" ref="O601" ca="1">INDIRECT(_xlfn.CONCAT("E",$Q601))</f>
        <v>4281</v>
      </c>
      <c r="Q601">
        <v>747</v>
      </c>
    </row>
    <row r="602" spans="1:17">
      <c r="A602" t="s">
        <v>97</v>
      </c>
      <c r="B602" t="s">
        <v>10</v>
      </c>
      <c r="C602">
        <v>21</v>
      </c>
      <c r="D602" t="s">
        <v>98</v>
      </c>
      <c r="E602">
        <v>12920</v>
      </c>
      <c r="K602" t="str" cm="1">
        <f t="array" aca="1" ref="K602" ca="1">INDIRECT(_xlfn.CONCAT("A",$Q602))</f>
        <v>connection_phase</v>
      </c>
      <c r="L602" t="str" cm="1">
        <f t="array" aca="1" ref="L602" ca="1">INDIRECT(_xlfn.CONCAT("B",$Q602))</f>
        <v>SPVA_CERTMON</v>
      </c>
      <c r="M602" cm="1">
        <f t="array" aca="1" ref="M602" ca="1">INDIRECT(_xlfn.CONCAT("C",$Q602))</f>
        <v>1</v>
      </c>
      <c r="N602" t="str" cm="1">
        <f t="array" aca="1" ref="N602" ca="1">INDIRECT(_xlfn.CONCAT("D",$Q602))</f>
        <v>tcp_connect</v>
      </c>
      <c r="O602" cm="1">
        <f t="array" aca="1" ref="O602" ca="1">INDIRECT(_xlfn.CONCAT("E",$Q602))</f>
        <v>16273</v>
      </c>
      <c r="Q602">
        <v>503</v>
      </c>
    </row>
    <row r="603" spans="1:17">
      <c r="A603" t="s">
        <v>97</v>
      </c>
      <c r="B603" t="s">
        <v>10</v>
      </c>
      <c r="C603">
        <v>21</v>
      </c>
      <c r="D603" t="s">
        <v>99</v>
      </c>
      <c r="E603">
        <v>12741</v>
      </c>
      <c r="K603" t="str" cm="1">
        <f t="array" aca="1" ref="K603" ca="1">INDIRECT(_xlfn.CONCAT("A",$Q603))</f>
        <v>connection_phase</v>
      </c>
      <c r="L603" t="str" cm="1">
        <f t="array" aca="1" ref="L603" ca="1">INDIRECT(_xlfn.CONCAT("B",$Q603))</f>
        <v>SPVA_CERTMON</v>
      </c>
      <c r="M603" cm="1">
        <f t="array" aca="1" ref="M603" ca="1">INDIRECT(_xlfn.CONCAT("C",$Q603))</f>
        <v>2</v>
      </c>
      <c r="N603" t="str" cm="1">
        <f t="array" aca="1" ref="N603" ca="1">INDIRECT(_xlfn.CONCAT("D",$Q603))</f>
        <v>tcp_connect</v>
      </c>
      <c r="O603" cm="1">
        <f t="array" aca="1" ref="O603" ca="1">INDIRECT(_xlfn.CONCAT("E",$Q603))</f>
        <v>16034</v>
      </c>
      <c r="Q603">
        <v>508</v>
      </c>
    </row>
    <row r="604" spans="1:17">
      <c r="A604" t="s">
        <v>97</v>
      </c>
      <c r="B604" t="s">
        <v>10</v>
      </c>
      <c r="C604">
        <v>21</v>
      </c>
      <c r="D604" t="s">
        <v>100</v>
      </c>
      <c r="E604">
        <v>369</v>
      </c>
      <c r="K604" t="str" cm="1">
        <f t="array" aca="1" ref="K604" ca="1">INDIRECT(_xlfn.CONCAT("A",$Q604))</f>
        <v>connection_phase</v>
      </c>
      <c r="L604" t="str" cm="1">
        <f t="array" aca="1" ref="L604" ca="1">INDIRECT(_xlfn.CONCAT("B",$Q604))</f>
        <v>SPVA_CERTMON</v>
      </c>
      <c r="M604" cm="1">
        <f t="array" aca="1" ref="M604" ca="1">INDIRECT(_xlfn.CONCAT("C",$Q604))</f>
        <v>3</v>
      </c>
      <c r="N604" t="str" cm="1">
        <f t="array" aca="1" ref="N604" ca="1">INDIRECT(_xlfn.CONCAT("D",$Q604))</f>
        <v>tcp_connect</v>
      </c>
      <c r="O604" cm="1">
        <f t="array" aca="1" ref="O604" ca="1">INDIRECT(_xlfn.CONCAT("E",$Q604))</f>
        <v>12390</v>
      </c>
      <c r="Q604">
        <v>513</v>
      </c>
    </row>
    <row r="605" spans="1:17">
      <c r="A605" t="s">
        <v>97</v>
      </c>
      <c r="B605" t="s">
        <v>10</v>
      </c>
      <c r="C605">
        <v>21</v>
      </c>
      <c r="D605" t="s">
        <v>101</v>
      </c>
      <c r="E605">
        <v>14741</v>
      </c>
      <c r="K605" t="str" cm="1">
        <f t="array" aca="1" ref="K605" ca="1">INDIRECT(_xlfn.CONCAT("A",$Q605))</f>
        <v>connection_phase</v>
      </c>
      <c r="L605" t="str" cm="1">
        <f t="array" aca="1" ref="L605" ca="1">INDIRECT(_xlfn.CONCAT("B",$Q605))</f>
        <v>SPVA_CERTMON</v>
      </c>
      <c r="M605" cm="1">
        <f t="array" aca="1" ref="M605" ca="1">INDIRECT(_xlfn.CONCAT("C",$Q605))</f>
        <v>4</v>
      </c>
      <c r="N605" t="str" cm="1">
        <f t="array" aca="1" ref="N605" ca="1">INDIRECT(_xlfn.CONCAT("D",$Q605))</f>
        <v>tcp_connect</v>
      </c>
      <c r="O605" cm="1">
        <f t="array" aca="1" ref="O605" ca="1">INDIRECT(_xlfn.CONCAT("E",$Q605))</f>
        <v>12485</v>
      </c>
      <c r="Q605">
        <v>518</v>
      </c>
    </row>
    <row r="606" spans="1:17">
      <c r="A606" t="s">
        <v>97</v>
      </c>
      <c r="B606" t="s">
        <v>10</v>
      </c>
      <c r="C606">
        <v>21</v>
      </c>
      <c r="D606" t="s">
        <v>102</v>
      </c>
      <c r="E606">
        <v>40771</v>
      </c>
      <c r="K606" t="str" cm="1">
        <f t="array" aca="1" ref="K606" ca="1">INDIRECT(_xlfn.CONCAT("A",$Q606))</f>
        <v>connection_phase</v>
      </c>
      <c r="L606" t="str" cm="1">
        <f t="array" aca="1" ref="L606" ca="1">INDIRECT(_xlfn.CONCAT("B",$Q606))</f>
        <v>SPVA_CERTMON</v>
      </c>
      <c r="M606" cm="1">
        <f t="array" aca="1" ref="M606" ca="1">INDIRECT(_xlfn.CONCAT("C",$Q606))</f>
        <v>5</v>
      </c>
      <c r="N606" t="str" cm="1">
        <f t="array" aca="1" ref="N606" ca="1">INDIRECT(_xlfn.CONCAT("D",$Q606))</f>
        <v>tcp_connect</v>
      </c>
      <c r="O606" cm="1">
        <f t="array" aca="1" ref="O606" ca="1">INDIRECT(_xlfn.CONCAT("E",$Q606))</f>
        <v>12987</v>
      </c>
      <c r="Q606">
        <v>523</v>
      </c>
    </row>
    <row r="607" spans="1:17">
      <c r="A607" t="s">
        <v>97</v>
      </c>
      <c r="B607" t="s">
        <v>10</v>
      </c>
      <c r="C607">
        <v>22</v>
      </c>
      <c r="D607" t="s">
        <v>98</v>
      </c>
      <c r="E607">
        <v>2439</v>
      </c>
      <c r="K607" t="str" cm="1">
        <f t="array" aca="1" ref="K607" ca="1">INDIRECT(_xlfn.CONCAT("A",$Q607))</f>
        <v>connection_phase</v>
      </c>
      <c r="L607" t="str" cm="1">
        <f t="array" aca="1" ref="L607" ca="1">INDIRECT(_xlfn.CONCAT("B",$Q607))</f>
        <v>SPVA_CERTMON</v>
      </c>
      <c r="M607" cm="1">
        <f t="array" aca="1" ref="M607" ca="1">INDIRECT(_xlfn.CONCAT("C",$Q607))</f>
        <v>6</v>
      </c>
      <c r="N607" t="str" cm="1">
        <f t="array" aca="1" ref="N607" ca="1">INDIRECT(_xlfn.CONCAT("D",$Q607))</f>
        <v>tcp_connect</v>
      </c>
      <c r="O607" cm="1">
        <f t="array" aca="1" ref="O607" ca="1">INDIRECT(_xlfn.CONCAT("E",$Q607))</f>
        <v>14478</v>
      </c>
      <c r="Q607">
        <v>528</v>
      </c>
    </row>
    <row r="608" spans="1:17">
      <c r="A608" t="s">
        <v>97</v>
      </c>
      <c r="B608" t="s">
        <v>10</v>
      </c>
      <c r="C608">
        <v>22</v>
      </c>
      <c r="D608" t="s">
        <v>99</v>
      </c>
      <c r="E608">
        <v>11415</v>
      </c>
      <c r="K608" t="str" cm="1">
        <f t="array" aca="1" ref="K608" ca="1">INDIRECT(_xlfn.CONCAT("A",$Q608))</f>
        <v>connection_phase</v>
      </c>
      <c r="L608" t="str" cm="1">
        <f t="array" aca="1" ref="L608" ca="1">INDIRECT(_xlfn.CONCAT("B",$Q608))</f>
        <v>SPVA_CERTMON</v>
      </c>
      <c r="M608" cm="1">
        <f t="array" aca="1" ref="M608" ca="1">INDIRECT(_xlfn.CONCAT("C",$Q608))</f>
        <v>7</v>
      </c>
      <c r="N608" t="str" cm="1">
        <f t="array" aca="1" ref="N608" ca="1">INDIRECT(_xlfn.CONCAT("D",$Q608))</f>
        <v>tcp_connect</v>
      </c>
      <c r="O608" cm="1">
        <f t="array" aca="1" ref="O608" ca="1">INDIRECT(_xlfn.CONCAT("E",$Q608))</f>
        <v>16366</v>
      </c>
      <c r="Q608">
        <v>533</v>
      </c>
    </row>
    <row r="609" spans="1:17">
      <c r="A609" t="s">
        <v>97</v>
      </c>
      <c r="B609" t="s">
        <v>10</v>
      </c>
      <c r="C609">
        <v>22</v>
      </c>
      <c r="D609" t="s">
        <v>100</v>
      </c>
      <c r="E609">
        <v>681</v>
      </c>
      <c r="K609" t="str" cm="1">
        <f t="array" aca="1" ref="K609" ca="1">INDIRECT(_xlfn.CONCAT("A",$Q609))</f>
        <v>connection_phase</v>
      </c>
      <c r="L609" t="str" cm="1">
        <f t="array" aca="1" ref="L609" ca="1">INDIRECT(_xlfn.CONCAT("B",$Q609))</f>
        <v>SPVA_CERTMON</v>
      </c>
      <c r="M609" cm="1">
        <f t="array" aca="1" ref="M609" ca="1">INDIRECT(_xlfn.CONCAT("C",$Q609))</f>
        <v>8</v>
      </c>
      <c r="N609" t="str" cm="1">
        <f t="array" aca="1" ref="N609" ca="1">INDIRECT(_xlfn.CONCAT("D",$Q609))</f>
        <v>tcp_connect</v>
      </c>
      <c r="O609" cm="1">
        <f t="array" aca="1" ref="O609" ca="1">INDIRECT(_xlfn.CONCAT("E",$Q609))</f>
        <v>14503</v>
      </c>
      <c r="Q609">
        <v>538</v>
      </c>
    </row>
    <row r="610" spans="1:17">
      <c r="A610" t="s">
        <v>97</v>
      </c>
      <c r="B610" t="s">
        <v>10</v>
      </c>
      <c r="C610">
        <v>22</v>
      </c>
      <c r="D610" t="s">
        <v>101</v>
      </c>
      <c r="E610">
        <v>13493</v>
      </c>
      <c r="K610" t="str" cm="1">
        <f t="array" aca="1" ref="K610" ca="1">INDIRECT(_xlfn.CONCAT("A",$Q610))</f>
        <v>connection_phase</v>
      </c>
      <c r="L610" t="str" cm="1">
        <f t="array" aca="1" ref="L610" ca="1">INDIRECT(_xlfn.CONCAT("B",$Q610))</f>
        <v>SPVA_CERTMON</v>
      </c>
      <c r="M610" cm="1">
        <f t="array" aca="1" ref="M610" ca="1">INDIRECT(_xlfn.CONCAT("C",$Q610))</f>
        <v>9</v>
      </c>
      <c r="N610" t="str" cm="1">
        <f t="array" aca="1" ref="N610" ca="1">INDIRECT(_xlfn.CONCAT("D",$Q610))</f>
        <v>tcp_connect</v>
      </c>
      <c r="O610" cm="1">
        <f t="array" aca="1" ref="O610" ca="1">INDIRECT(_xlfn.CONCAT("E",$Q610))</f>
        <v>15677</v>
      </c>
      <c r="Q610">
        <v>543</v>
      </c>
    </row>
    <row r="611" spans="1:17">
      <c r="A611" t="s">
        <v>97</v>
      </c>
      <c r="B611" t="s">
        <v>10</v>
      </c>
      <c r="C611">
        <v>22</v>
      </c>
      <c r="D611" t="s">
        <v>102</v>
      </c>
      <c r="E611">
        <v>28028</v>
      </c>
      <c r="K611" t="str" cm="1">
        <f t="array" aca="1" ref="K611" ca="1">INDIRECT(_xlfn.CONCAT("A",$Q611))</f>
        <v>connection_phase</v>
      </c>
      <c r="L611" t="str" cm="1">
        <f t="array" aca="1" ref="L611" ca="1">INDIRECT(_xlfn.CONCAT("B",$Q611))</f>
        <v>SPVA_CERTMON</v>
      </c>
      <c r="M611" cm="1">
        <f t="array" aca="1" ref="M611" ca="1">INDIRECT(_xlfn.CONCAT("C",$Q611))</f>
        <v>10</v>
      </c>
      <c r="N611" t="str" cm="1">
        <f t="array" aca="1" ref="N611" ca="1">INDIRECT(_xlfn.CONCAT("D",$Q611))</f>
        <v>tcp_connect</v>
      </c>
      <c r="O611" cm="1">
        <f t="array" aca="1" ref="O611" ca="1">INDIRECT(_xlfn.CONCAT("E",$Q611))</f>
        <v>14971</v>
      </c>
      <c r="Q611">
        <v>548</v>
      </c>
    </row>
    <row r="612" spans="1:17">
      <c r="A612" t="s">
        <v>97</v>
      </c>
      <c r="B612" t="s">
        <v>10</v>
      </c>
      <c r="C612">
        <v>23</v>
      </c>
      <c r="D612" t="s">
        <v>98</v>
      </c>
      <c r="E612">
        <v>2707</v>
      </c>
      <c r="K612" t="str" cm="1">
        <f t="array" aca="1" ref="K612" ca="1">INDIRECT(_xlfn.CONCAT("A",$Q612))</f>
        <v>connection_phase</v>
      </c>
      <c r="L612" t="str" cm="1">
        <f t="array" aca="1" ref="L612" ca="1">INDIRECT(_xlfn.CONCAT("B",$Q612))</f>
        <v>SPVA_CERTMON</v>
      </c>
      <c r="M612" cm="1">
        <f t="array" aca="1" ref="M612" ca="1">INDIRECT(_xlfn.CONCAT("C",$Q612))</f>
        <v>11</v>
      </c>
      <c r="N612" t="str" cm="1">
        <f t="array" aca="1" ref="N612" ca="1">INDIRECT(_xlfn.CONCAT("D",$Q612))</f>
        <v>tcp_connect</v>
      </c>
      <c r="O612" cm="1">
        <f t="array" aca="1" ref="O612" ca="1">INDIRECT(_xlfn.CONCAT("E",$Q612))</f>
        <v>15683</v>
      </c>
      <c r="Q612">
        <v>553</v>
      </c>
    </row>
    <row r="613" spans="1:17">
      <c r="A613" t="s">
        <v>97</v>
      </c>
      <c r="B613" t="s">
        <v>10</v>
      </c>
      <c r="C613">
        <v>23</v>
      </c>
      <c r="D613" t="s">
        <v>99</v>
      </c>
      <c r="E613">
        <v>16441</v>
      </c>
      <c r="K613" t="str" cm="1">
        <f t="array" aca="1" ref="K613" ca="1">INDIRECT(_xlfn.CONCAT("A",$Q613))</f>
        <v>connection_phase</v>
      </c>
      <c r="L613" t="str" cm="1">
        <f t="array" aca="1" ref="L613" ca="1">INDIRECT(_xlfn.CONCAT("B",$Q613))</f>
        <v>SPVA_CERTMON</v>
      </c>
      <c r="M613" cm="1">
        <f t="array" aca="1" ref="M613" ca="1">INDIRECT(_xlfn.CONCAT("C",$Q613))</f>
        <v>12</v>
      </c>
      <c r="N613" t="str" cm="1">
        <f t="array" aca="1" ref="N613" ca="1">INDIRECT(_xlfn.CONCAT("D",$Q613))</f>
        <v>tcp_connect</v>
      </c>
      <c r="O613" cm="1">
        <f t="array" aca="1" ref="O613" ca="1">INDIRECT(_xlfn.CONCAT("E",$Q613))</f>
        <v>12835</v>
      </c>
      <c r="Q613">
        <v>558</v>
      </c>
    </row>
    <row r="614" spans="1:17">
      <c r="A614" t="s">
        <v>97</v>
      </c>
      <c r="B614" t="s">
        <v>10</v>
      </c>
      <c r="C614">
        <v>23</v>
      </c>
      <c r="D614" t="s">
        <v>100</v>
      </c>
      <c r="E614">
        <v>836</v>
      </c>
      <c r="K614" t="str" cm="1">
        <f t="array" aca="1" ref="K614" ca="1">INDIRECT(_xlfn.CONCAT("A",$Q614))</f>
        <v>connection_phase</v>
      </c>
      <c r="L614" t="str" cm="1">
        <f t="array" aca="1" ref="L614" ca="1">INDIRECT(_xlfn.CONCAT("B",$Q614))</f>
        <v>SPVA_CERTMON</v>
      </c>
      <c r="M614" cm="1">
        <f t="array" aca="1" ref="M614" ca="1">INDIRECT(_xlfn.CONCAT("C",$Q614))</f>
        <v>13</v>
      </c>
      <c r="N614" t="str" cm="1">
        <f t="array" aca="1" ref="N614" ca="1">INDIRECT(_xlfn.CONCAT("D",$Q614))</f>
        <v>tcp_connect</v>
      </c>
      <c r="O614" cm="1">
        <f t="array" aca="1" ref="O614" ca="1">INDIRECT(_xlfn.CONCAT("E",$Q614))</f>
        <v>12571</v>
      </c>
      <c r="Q614">
        <v>563</v>
      </c>
    </row>
    <row r="615" spans="1:17">
      <c r="A615" t="s">
        <v>97</v>
      </c>
      <c r="B615" t="s">
        <v>10</v>
      </c>
      <c r="C615">
        <v>23</v>
      </c>
      <c r="D615" t="s">
        <v>101</v>
      </c>
      <c r="E615">
        <v>13374</v>
      </c>
      <c r="K615" t="str" cm="1">
        <f t="array" aca="1" ref="K615" ca="1">INDIRECT(_xlfn.CONCAT("A",$Q615))</f>
        <v>connection_phase</v>
      </c>
      <c r="L615" t="str" cm="1">
        <f t="array" aca="1" ref="L615" ca="1">INDIRECT(_xlfn.CONCAT("B",$Q615))</f>
        <v>SPVA_CERTMON</v>
      </c>
      <c r="M615" cm="1">
        <f t="array" aca="1" ref="M615" ca="1">INDIRECT(_xlfn.CONCAT("C",$Q615))</f>
        <v>14</v>
      </c>
      <c r="N615" t="str" cm="1">
        <f t="array" aca="1" ref="N615" ca="1">INDIRECT(_xlfn.CONCAT("D",$Q615))</f>
        <v>tcp_connect</v>
      </c>
      <c r="O615" cm="1">
        <f t="array" aca="1" ref="O615" ca="1">INDIRECT(_xlfn.CONCAT("E",$Q615))</f>
        <v>13244</v>
      </c>
      <c r="Q615">
        <v>568</v>
      </c>
    </row>
    <row r="616" spans="1:17">
      <c r="A616" t="s">
        <v>97</v>
      </c>
      <c r="B616" t="s">
        <v>10</v>
      </c>
      <c r="C616">
        <v>23</v>
      </c>
      <c r="D616" t="s">
        <v>102</v>
      </c>
      <c r="E616">
        <v>33358</v>
      </c>
      <c r="K616" t="str" cm="1">
        <f t="array" aca="1" ref="K616" ca="1">INDIRECT(_xlfn.CONCAT("A",$Q616))</f>
        <v>connection_phase</v>
      </c>
      <c r="L616" t="str" cm="1">
        <f t="array" aca="1" ref="L616" ca="1">INDIRECT(_xlfn.CONCAT("B",$Q616))</f>
        <v>SPVA_CERTMON</v>
      </c>
      <c r="M616" cm="1">
        <f t="array" aca="1" ref="M616" ca="1">INDIRECT(_xlfn.CONCAT("C",$Q616))</f>
        <v>15</v>
      </c>
      <c r="N616" t="str" cm="1">
        <f t="array" aca="1" ref="N616" ca="1">INDIRECT(_xlfn.CONCAT("D",$Q616))</f>
        <v>tcp_connect</v>
      </c>
      <c r="O616" cm="1">
        <f t="array" aca="1" ref="O616" ca="1">INDIRECT(_xlfn.CONCAT("E",$Q616))</f>
        <v>15071</v>
      </c>
      <c r="Q616">
        <v>573</v>
      </c>
    </row>
    <row r="617" spans="1:17">
      <c r="A617" t="s">
        <v>97</v>
      </c>
      <c r="B617" t="s">
        <v>10</v>
      </c>
      <c r="C617">
        <v>24</v>
      </c>
      <c r="D617" t="s">
        <v>98</v>
      </c>
      <c r="E617">
        <v>1579</v>
      </c>
      <c r="K617" t="str" cm="1">
        <f t="array" aca="1" ref="K617" ca="1">INDIRECT(_xlfn.CONCAT("A",$Q617))</f>
        <v>connection_phase</v>
      </c>
      <c r="L617" t="str" cm="1">
        <f t="array" aca="1" ref="L617" ca="1">INDIRECT(_xlfn.CONCAT("B",$Q617))</f>
        <v>SPVA_CERTMON</v>
      </c>
      <c r="M617" cm="1">
        <f t="array" aca="1" ref="M617" ca="1">INDIRECT(_xlfn.CONCAT("C",$Q617))</f>
        <v>16</v>
      </c>
      <c r="N617" t="str" cm="1">
        <f t="array" aca="1" ref="N617" ca="1">INDIRECT(_xlfn.CONCAT("D",$Q617))</f>
        <v>tcp_connect</v>
      </c>
      <c r="O617" cm="1">
        <f t="array" aca="1" ref="O617" ca="1">INDIRECT(_xlfn.CONCAT("E",$Q617))</f>
        <v>13116</v>
      </c>
      <c r="Q617">
        <v>578</v>
      </c>
    </row>
    <row r="618" spans="1:17">
      <c r="A618" t="s">
        <v>97</v>
      </c>
      <c r="B618" t="s">
        <v>10</v>
      </c>
      <c r="C618">
        <v>24</v>
      </c>
      <c r="D618" t="s">
        <v>99</v>
      </c>
      <c r="E618">
        <v>10016</v>
      </c>
      <c r="K618" t="str" cm="1">
        <f t="array" aca="1" ref="K618" ca="1">INDIRECT(_xlfn.CONCAT("A",$Q618))</f>
        <v>connection_phase</v>
      </c>
      <c r="L618" t="str" cm="1">
        <f t="array" aca="1" ref="L618" ca="1">INDIRECT(_xlfn.CONCAT("B",$Q618))</f>
        <v>SPVA_CERTMON</v>
      </c>
      <c r="M618" cm="1">
        <f t="array" aca="1" ref="M618" ca="1">INDIRECT(_xlfn.CONCAT("C",$Q618))</f>
        <v>17</v>
      </c>
      <c r="N618" t="str" cm="1">
        <f t="array" aca="1" ref="N618" ca="1">INDIRECT(_xlfn.CONCAT("D",$Q618))</f>
        <v>tcp_connect</v>
      </c>
      <c r="O618" cm="1">
        <f t="array" aca="1" ref="O618" ca="1">INDIRECT(_xlfn.CONCAT("E",$Q618))</f>
        <v>11995</v>
      </c>
      <c r="Q618">
        <v>583</v>
      </c>
    </row>
    <row r="619" spans="1:17">
      <c r="A619" t="s">
        <v>97</v>
      </c>
      <c r="B619" t="s">
        <v>10</v>
      </c>
      <c r="C619">
        <v>24</v>
      </c>
      <c r="D619" t="s">
        <v>100</v>
      </c>
      <c r="E619">
        <v>676</v>
      </c>
      <c r="K619" t="str" cm="1">
        <f t="array" aca="1" ref="K619" ca="1">INDIRECT(_xlfn.CONCAT("A",$Q619))</f>
        <v>connection_phase</v>
      </c>
      <c r="L619" t="str" cm="1">
        <f t="array" aca="1" ref="L619" ca="1">INDIRECT(_xlfn.CONCAT("B",$Q619))</f>
        <v>SPVA_CERTMON</v>
      </c>
      <c r="M619" cm="1">
        <f t="array" aca="1" ref="M619" ca="1">INDIRECT(_xlfn.CONCAT("C",$Q619))</f>
        <v>18</v>
      </c>
      <c r="N619" t="str" cm="1">
        <f t="array" aca="1" ref="N619" ca="1">INDIRECT(_xlfn.CONCAT("D",$Q619))</f>
        <v>tcp_connect</v>
      </c>
      <c r="O619" cm="1">
        <f t="array" aca="1" ref="O619" ca="1">INDIRECT(_xlfn.CONCAT("E",$Q619))</f>
        <v>15333</v>
      </c>
      <c r="Q619">
        <v>588</v>
      </c>
    </row>
    <row r="620" spans="1:17">
      <c r="A620" t="s">
        <v>97</v>
      </c>
      <c r="B620" t="s">
        <v>10</v>
      </c>
      <c r="C620">
        <v>24</v>
      </c>
      <c r="D620" t="s">
        <v>101</v>
      </c>
      <c r="E620">
        <v>16747</v>
      </c>
      <c r="K620" t="str" cm="1">
        <f t="array" aca="1" ref="K620" ca="1">INDIRECT(_xlfn.CONCAT("A",$Q620))</f>
        <v>connection_phase</v>
      </c>
      <c r="L620" t="str" cm="1">
        <f t="array" aca="1" ref="L620" ca="1">INDIRECT(_xlfn.CONCAT("B",$Q620))</f>
        <v>SPVA_CERTMON</v>
      </c>
      <c r="M620" cm="1">
        <f t="array" aca="1" ref="M620" ca="1">INDIRECT(_xlfn.CONCAT("C",$Q620))</f>
        <v>19</v>
      </c>
      <c r="N620" t="str" cm="1">
        <f t="array" aca="1" ref="N620" ca="1">INDIRECT(_xlfn.CONCAT("D",$Q620))</f>
        <v>tcp_connect</v>
      </c>
      <c r="O620" cm="1">
        <f t="array" aca="1" ref="O620" ca="1">INDIRECT(_xlfn.CONCAT("E",$Q620))</f>
        <v>12517</v>
      </c>
      <c r="Q620">
        <v>593</v>
      </c>
    </row>
    <row r="621" spans="1:17">
      <c r="A621" t="s">
        <v>97</v>
      </c>
      <c r="B621" t="s">
        <v>10</v>
      </c>
      <c r="C621">
        <v>24</v>
      </c>
      <c r="D621" t="s">
        <v>102</v>
      </c>
      <c r="E621">
        <v>29018</v>
      </c>
      <c r="K621" t="str" cm="1">
        <f t="array" aca="1" ref="K621" ca="1">INDIRECT(_xlfn.CONCAT("A",$Q621))</f>
        <v>connection_phase</v>
      </c>
      <c r="L621" t="str" cm="1">
        <f t="array" aca="1" ref="L621" ca="1">INDIRECT(_xlfn.CONCAT("B",$Q621))</f>
        <v>SPVA_CERTMON</v>
      </c>
      <c r="M621" cm="1">
        <f t="array" aca="1" ref="M621" ca="1">INDIRECT(_xlfn.CONCAT("C",$Q621))</f>
        <v>20</v>
      </c>
      <c r="N621" t="str" cm="1">
        <f t="array" aca="1" ref="N621" ca="1">INDIRECT(_xlfn.CONCAT("D",$Q621))</f>
        <v>tcp_connect</v>
      </c>
      <c r="O621" cm="1">
        <f t="array" aca="1" ref="O621" ca="1">INDIRECT(_xlfn.CONCAT("E",$Q621))</f>
        <v>14021</v>
      </c>
      <c r="Q621">
        <v>598</v>
      </c>
    </row>
    <row r="622" spans="1:17">
      <c r="A622" t="s">
        <v>97</v>
      </c>
      <c r="B622" t="s">
        <v>10</v>
      </c>
      <c r="C622">
        <v>25</v>
      </c>
      <c r="D622" t="s">
        <v>98</v>
      </c>
      <c r="E622">
        <v>3206</v>
      </c>
      <c r="K622" t="str" cm="1">
        <f t="array" aca="1" ref="K622" ca="1">INDIRECT(_xlfn.CONCAT("A",$Q622))</f>
        <v>connection_phase</v>
      </c>
      <c r="L622" t="str" cm="1">
        <f t="array" aca="1" ref="L622" ca="1">INDIRECT(_xlfn.CONCAT("B",$Q622))</f>
        <v>SPVA_CERTMON</v>
      </c>
      <c r="M622" cm="1">
        <f t="array" aca="1" ref="M622" ca="1">INDIRECT(_xlfn.CONCAT("C",$Q622))</f>
        <v>21</v>
      </c>
      <c r="N622" t="str" cm="1">
        <f t="array" aca="1" ref="N622" ca="1">INDIRECT(_xlfn.CONCAT("D",$Q622))</f>
        <v>tcp_connect</v>
      </c>
      <c r="O622" cm="1">
        <f t="array" aca="1" ref="O622" ca="1">INDIRECT(_xlfn.CONCAT("E",$Q622))</f>
        <v>12741</v>
      </c>
      <c r="Q622">
        <v>603</v>
      </c>
    </row>
    <row r="623" spans="1:17">
      <c r="A623" t="s">
        <v>97</v>
      </c>
      <c r="B623" t="s">
        <v>10</v>
      </c>
      <c r="C623">
        <v>25</v>
      </c>
      <c r="D623" t="s">
        <v>99</v>
      </c>
      <c r="E623">
        <v>12350</v>
      </c>
      <c r="K623" t="str" cm="1">
        <f t="array" aca="1" ref="K623" ca="1">INDIRECT(_xlfn.CONCAT("A",$Q623))</f>
        <v>connection_phase</v>
      </c>
      <c r="L623" t="str" cm="1">
        <f t="array" aca="1" ref="L623" ca="1">INDIRECT(_xlfn.CONCAT("B",$Q623))</f>
        <v>SPVA_CERTMON</v>
      </c>
      <c r="M623" cm="1">
        <f t="array" aca="1" ref="M623" ca="1">INDIRECT(_xlfn.CONCAT("C",$Q623))</f>
        <v>22</v>
      </c>
      <c r="N623" t="str" cm="1">
        <f t="array" aca="1" ref="N623" ca="1">INDIRECT(_xlfn.CONCAT("D",$Q623))</f>
        <v>tcp_connect</v>
      </c>
      <c r="O623" cm="1">
        <f t="array" aca="1" ref="O623" ca="1">INDIRECT(_xlfn.CONCAT("E",$Q623))</f>
        <v>11415</v>
      </c>
      <c r="Q623">
        <v>608</v>
      </c>
    </row>
    <row r="624" spans="1:17">
      <c r="A624" t="s">
        <v>97</v>
      </c>
      <c r="B624" t="s">
        <v>10</v>
      </c>
      <c r="C624">
        <v>25</v>
      </c>
      <c r="D624" t="s">
        <v>100</v>
      </c>
      <c r="E624">
        <v>766</v>
      </c>
      <c r="K624" t="str" cm="1">
        <f t="array" aca="1" ref="K624" ca="1">INDIRECT(_xlfn.CONCAT("A",$Q624))</f>
        <v>connection_phase</v>
      </c>
      <c r="L624" t="str" cm="1">
        <f t="array" aca="1" ref="L624" ca="1">INDIRECT(_xlfn.CONCAT("B",$Q624))</f>
        <v>SPVA_CERTMON</v>
      </c>
      <c r="M624" cm="1">
        <f t="array" aca="1" ref="M624" ca="1">INDIRECT(_xlfn.CONCAT("C",$Q624))</f>
        <v>23</v>
      </c>
      <c r="N624" t="str" cm="1">
        <f t="array" aca="1" ref="N624" ca="1">INDIRECT(_xlfn.CONCAT("D",$Q624))</f>
        <v>tcp_connect</v>
      </c>
      <c r="O624" cm="1">
        <f t="array" aca="1" ref="O624" ca="1">INDIRECT(_xlfn.CONCAT("E",$Q624))</f>
        <v>16441</v>
      </c>
      <c r="Q624">
        <v>613</v>
      </c>
    </row>
    <row r="625" spans="1:17">
      <c r="A625" t="s">
        <v>97</v>
      </c>
      <c r="B625" t="s">
        <v>10</v>
      </c>
      <c r="C625">
        <v>25</v>
      </c>
      <c r="D625" t="s">
        <v>101</v>
      </c>
      <c r="E625">
        <v>13300</v>
      </c>
      <c r="K625" t="str" cm="1">
        <f t="array" aca="1" ref="K625" ca="1">INDIRECT(_xlfn.CONCAT("A",$Q625))</f>
        <v>connection_phase</v>
      </c>
      <c r="L625" t="str" cm="1">
        <f t="array" aca="1" ref="L625" ca="1">INDIRECT(_xlfn.CONCAT("B",$Q625))</f>
        <v>SPVA_CERTMON</v>
      </c>
      <c r="M625" cm="1">
        <f t="array" aca="1" ref="M625" ca="1">INDIRECT(_xlfn.CONCAT("C",$Q625))</f>
        <v>24</v>
      </c>
      <c r="N625" t="str" cm="1">
        <f t="array" aca="1" ref="N625" ca="1">INDIRECT(_xlfn.CONCAT("D",$Q625))</f>
        <v>tcp_connect</v>
      </c>
      <c r="O625" cm="1">
        <f t="array" aca="1" ref="O625" ca="1">INDIRECT(_xlfn.CONCAT("E",$Q625))</f>
        <v>10016</v>
      </c>
      <c r="Q625">
        <v>618</v>
      </c>
    </row>
    <row r="626" spans="1:17">
      <c r="A626" t="s">
        <v>97</v>
      </c>
      <c r="B626" t="s">
        <v>10</v>
      </c>
      <c r="C626">
        <v>25</v>
      </c>
      <c r="D626" t="s">
        <v>102</v>
      </c>
      <c r="E626">
        <v>29622</v>
      </c>
      <c r="K626" t="str" cm="1">
        <f t="array" aca="1" ref="K626" ca="1">INDIRECT(_xlfn.CONCAT("A",$Q626))</f>
        <v>connection_phase</v>
      </c>
      <c r="L626" t="str" cm="1">
        <f t="array" aca="1" ref="L626" ca="1">INDIRECT(_xlfn.CONCAT("B",$Q626))</f>
        <v>SPVA_CERTMON</v>
      </c>
      <c r="M626" cm="1">
        <f t="array" aca="1" ref="M626" ca="1">INDIRECT(_xlfn.CONCAT("C",$Q626))</f>
        <v>25</v>
      </c>
      <c r="N626" t="str" cm="1">
        <f t="array" aca="1" ref="N626" ca="1">INDIRECT(_xlfn.CONCAT("D",$Q626))</f>
        <v>tcp_connect</v>
      </c>
      <c r="O626" cm="1">
        <f t="array" aca="1" ref="O626" ca="1">INDIRECT(_xlfn.CONCAT("E",$Q626))</f>
        <v>12350</v>
      </c>
      <c r="Q626">
        <v>623</v>
      </c>
    </row>
    <row r="627" spans="1:17">
      <c r="A627" t="s">
        <v>97</v>
      </c>
      <c r="B627" t="s">
        <v>10</v>
      </c>
      <c r="C627">
        <v>26</v>
      </c>
      <c r="D627" t="s">
        <v>98</v>
      </c>
      <c r="E627">
        <v>4840</v>
      </c>
      <c r="K627" t="str" cm="1">
        <f t="array" aca="1" ref="K627" ca="1">INDIRECT(_xlfn.CONCAT("A",$Q627))</f>
        <v>connection_phase</v>
      </c>
      <c r="L627" t="str" cm="1">
        <f t="array" aca="1" ref="L627" ca="1">INDIRECT(_xlfn.CONCAT("B",$Q627))</f>
        <v>SPVA_CERTMON</v>
      </c>
      <c r="M627" cm="1">
        <f t="array" aca="1" ref="M627" ca="1">INDIRECT(_xlfn.CONCAT("C",$Q627))</f>
        <v>26</v>
      </c>
      <c r="N627" t="str" cm="1">
        <f t="array" aca="1" ref="N627" ca="1">INDIRECT(_xlfn.CONCAT("D",$Q627))</f>
        <v>tcp_connect</v>
      </c>
      <c r="O627" cm="1">
        <f t="array" aca="1" ref="O627" ca="1">INDIRECT(_xlfn.CONCAT("E",$Q627))</f>
        <v>14021</v>
      </c>
      <c r="Q627">
        <v>628</v>
      </c>
    </row>
    <row r="628" spans="1:17">
      <c r="A628" t="s">
        <v>97</v>
      </c>
      <c r="B628" t="s">
        <v>10</v>
      </c>
      <c r="C628">
        <v>26</v>
      </c>
      <c r="D628" t="s">
        <v>99</v>
      </c>
      <c r="E628">
        <v>14021</v>
      </c>
      <c r="K628" t="str" cm="1">
        <f t="array" aca="1" ref="K628" ca="1">INDIRECT(_xlfn.CONCAT("A",$Q628))</f>
        <v>connection_phase</v>
      </c>
      <c r="L628" t="str" cm="1">
        <f t="array" aca="1" ref="L628" ca="1">INDIRECT(_xlfn.CONCAT("B",$Q628))</f>
        <v>SPVA_CERTMON</v>
      </c>
      <c r="M628" cm="1">
        <f t="array" aca="1" ref="M628" ca="1">INDIRECT(_xlfn.CONCAT("C",$Q628))</f>
        <v>27</v>
      </c>
      <c r="N628" t="str" cm="1">
        <f t="array" aca="1" ref="N628" ca="1">INDIRECT(_xlfn.CONCAT("D",$Q628))</f>
        <v>tcp_connect</v>
      </c>
      <c r="O628" cm="1">
        <f t="array" aca="1" ref="O628" ca="1">INDIRECT(_xlfn.CONCAT("E",$Q628))</f>
        <v>13358</v>
      </c>
      <c r="Q628">
        <v>633</v>
      </c>
    </row>
    <row r="629" spans="1:17">
      <c r="A629" t="s">
        <v>97</v>
      </c>
      <c r="B629" t="s">
        <v>10</v>
      </c>
      <c r="C629">
        <v>26</v>
      </c>
      <c r="D629" t="s">
        <v>100</v>
      </c>
      <c r="E629">
        <v>728</v>
      </c>
      <c r="K629" t="str" cm="1">
        <f t="array" aca="1" ref="K629" ca="1">INDIRECT(_xlfn.CONCAT("A",$Q629))</f>
        <v>connection_phase</v>
      </c>
      <c r="L629" t="str" cm="1">
        <f t="array" aca="1" ref="L629" ca="1">INDIRECT(_xlfn.CONCAT("B",$Q629))</f>
        <v>SPVA_CERTMON</v>
      </c>
      <c r="M629" cm="1">
        <f t="array" aca="1" ref="M629" ca="1">INDIRECT(_xlfn.CONCAT("C",$Q629))</f>
        <v>28</v>
      </c>
      <c r="N629" t="str" cm="1">
        <f t="array" aca="1" ref="N629" ca="1">INDIRECT(_xlfn.CONCAT("D",$Q629))</f>
        <v>tcp_connect</v>
      </c>
      <c r="O629" cm="1">
        <f t="array" aca="1" ref="O629" ca="1">INDIRECT(_xlfn.CONCAT("E",$Q629))</f>
        <v>4595</v>
      </c>
      <c r="Q629">
        <v>638</v>
      </c>
    </row>
    <row r="630" spans="1:17">
      <c r="A630" t="s">
        <v>97</v>
      </c>
      <c r="B630" t="s">
        <v>10</v>
      </c>
      <c r="C630">
        <v>26</v>
      </c>
      <c r="D630" t="s">
        <v>101</v>
      </c>
      <c r="E630">
        <v>19823</v>
      </c>
      <c r="K630" t="str" cm="1">
        <f t="array" aca="1" ref="K630" ca="1">INDIRECT(_xlfn.CONCAT("A",$Q630))</f>
        <v>connection_phase</v>
      </c>
      <c r="L630" t="str" cm="1">
        <f t="array" aca="1" ref="L630" ca="1">INDIRECT(_xlfn.CONCAT("B",$Q630))</f>
        <v>SPVA_CERTMON</v>
      </c>
      <c r="M630" cm="1">
        <f t="array" aca="1" ref="M630" ca="1">INDIRECT(_xlfn.CONCAT("C",$Q630))</f>
        <v>29</v>
      </c>
      <c r="N630" t="str" cm="1">
        <f t="array" aca="1" ref="N630" ca="1">INDIRECT(_xlfn.CONCAT("D",$Q630))</f>
        <v>tcp_connect</v>
      </c>
      <c r="O630" cm="1">
        <f t="array" aca="1" ref="O630" ca="1">INDIRECT(_xlfn.CONCAT("E",$Q630))</f>
        <v>16580</v>
      </c>
      <c r="Q630">
        <v>643</v>
      </c>
    </row>
    <row r="631" spans="1:17">
      <c r="A631" t="s">
        <v>97</v>
      </c>
      <c r="B631" t="s">
        <v>10</v>
      </c>
      <c r="C631">
        <v>26</v>
      </c>
      <c r="D631" t="s">
        <v>102</v>
      </c>
      <c r="E631">
        <v>39412</v>
      </c>
      <c r="K631" t="str" cm="1">
        <f t="array" aca="1" ref="K631" ca="1">INDIRECT(_xlfn.CONCAT("A",$Q631))</f>
        <v>connection_phase</v>
      </c>
      <c r="L631" t="str" cm="1">
        <f t="array" aca="1" ref="L631" ca="1">INDIRECT(_xlfn.CONCAT("B",$Q631))</f>
        <v>SPVA_CERTMON</v>
      </c>
      <c r="M631" cm="1">
        <f t="array" aca="1" ref="M631" ca="1">INDIRECT(_xlfn.CONCAT("C",$Q631))</f>
        <v>30</v>
      </c>
      <c r="N631" t="str" cm="1">
        <f t="array" aca="1" ref="N631" ca="1">INDIRECT(_xlfn.CONCAT("D",$Q631))</f>
        <v>tcp_connect</v>
      </c>
      <c r="O631" cm="1">
        <f t="array" aca="1" ref="O631" ca="1">INDIRECT(_xlfn.CONCAT("E",$Q631))</f>
        <v>9690</v>
      </c>
      <c r="Q631">
        <v>648</v>
      </c>
    </row>
    <row r="632" spans="1:17">
      <c r="A632" t="s">
        <v>97</v>
      </c>
      <c r="B632" t="s">
        <v>10</v>
      </c>
      <c r="C632">
        <v>27</v>
      </c>
      <c r="D632" t="s">
        <v>98</v>
      </c>
      <c r="E632">
        <v>2198</v>
      </c>
      <c r="K632" t="str" cm="1">
        <f t="array" aca="1" ref="K632" ca="1">INDIRECT(_xlfn.CONCAT("A",$Q632))</f>
        <v>connection_phase</v>
      </c>
      <c r="L632" t="str" cm="1">
        <f t="array" aca="1" ref="L632" ca="1">INDIRECT(_xlfn.CONCAT("B",$Q632))</f>
        <v>SPVA_CERTMON</v>
      </c>
      <c r="M632" cm="1">
        <f t="array" aca="1" ref="M632" ca="1">INDIRECT(_xlfn.CONCAT("C",$Q632))</f>
        <v>31</v>
      </c>
      <c r="N632" t="str" cm="1">
        <f t="array" aca="1" ref="N632" ca="1">INDIRECT(_xlfn.CONCAT("D",$Q632))</f>
        <v>tcp_connect</v>
      </c>
      <c r="O632" cm="1">
        <f t="array" aca="1" ref="O632" ca="1">INDIRECT(_xlfn.CONCAT("E",$Q632))</f>
        <v>15071</v>
      </c>
      <c r="Q632">
        <v>653</v>
      </c>
    </row>
    <row r="633" spans="1:17">
      <c r="A633" t="s">
        <v>97</v>
      </c>
      <c r="B633" t="s">
        <v>10</v>
      </c>
      <c r="C633">
        <v>27</v>
      </c>
      <c r="D633" t="s">
        <v>99</v>
      </c>
      <c r="E633">
        <v>13358</v>
      </c>
      <c r="K633" t="str" cm="1">
        <f t="array" aca="1" ref="K633" ca="1">INDIRECT(_xlfn.CONCAT("A",$Q633))</f>
        <v>connection_phase</v>
      </c>
      <c r="L633" t="str" cm="1">
        <f t="array" aca="1" ref="L633" ca="1">INDIRECT(_xlfn.CONCAT("B",$Q633))</f>
        <v>SPVA_CERTMON</v>
      </c>
      <c r="M633" cm="1">
        <f t="array" aca="1" ref="M633" ca="1">INDIRECT(_xlfn.CONCAT("C",$Q633))</f>
        <v>32</v>
      </c>
      <c r="N633" t="str" cm="1">
        <f t="array" aca="1" ref="N633" ca="1">INDIRECT(_xlfn.CONCAT("D",$Q633))</f>
        <v>tcp_connect</v>
      </c>
      <c r="O633" cm="1">
        <f t="array" aca="1" ref="O633" ca="1">INDIRECT(_xlfn.CONCAT("E",$Q633))</f>
        <v>12669</v>
      </c>
      <c r="Q633">
        <v>658</v>
      </c>
    </row>
    <row r="634" spans="1:17">
      <c r="A634" t="s">
        <v>97</v>
      </c>
      <c r="B634" t="s">
        <v>10</v>
      </c>
      <c r="C634">
        <v>27</v>
      </c>
      <c r="D634" t="s">
        <v>100</v>
      </c>
      <c r="E634">
        <v>418</v>
      </c>
      <c r="K634" t="str" cm="1">
        <f t="array" aca="1" ref="K634" ca="1">INDIRECT(_xlfn.CONCAT("A",$Q634))</f>
        <v>connection_phase</v>
      </c>
      <c r="L634" t="str" cm="1">
        <f t="array" aca="1" ref="L634" ca="1">INDIRECT(_xlfn.CONCAT("B",$Q634))</f>
        <v>SPVA_CERTMON</v>
      </c>
      <c r="M634" cm="1">
        <f t="array" aca="1" ref="M634" ca="1">INDIRECT(_xlfn.CONCAT("C",$Q634))</f>
        <v>33</v>
      </c>
      <c r="N634" t="str" cm="1">
        <f t="array" aca="1" ref="N634" ca="1">INDIRECT(_xlfn.CONCAT("D",$Q634))</f>
        <v>tcp_connect</v>
      </c>
      <c r="O634" cm="1">
        <f t="array" aca="1" ref="O634" ca="1">INDIRECT(_xlfn.CONCAT("E",$Q634))</f>
        <v>8104</v>
      </c>
      <c r="Q634">
        <v>663</v>
      </c>
    </row>
    <row r="635" spans="1:17">
      <c r="A635" t="s">
        <v>97</v>
      </c>
      <c r="B635" t="s">
        <v>10</v>
      </c>
      <c r="C635">
        <v>27</v>
      </c>
      <c r="D635" t="s">
        <v>101</v>
      </c>
      <c r="E635">
        <v>14385</v>
      </c>
      <c r="K635" t="str" cm="1">
        <f t="array" aca="1" ref="K635" ca="1">INDIRECT(_xlfn.CONCAT("A",$Q635))</f>
        <v>connection_phase</v>
      </c>
      <c r="L635" t="str" cm="1">
        <f t="array" aca="1" ref="L635" ca="1">INDIRECT(_xlfn.CONCAT("B",$Q635))</f>
        <v>SPVA_CERTMON</v>
      </c>
      <c r="M635" cm="1">
        <f t="array" aca="1" ref="M635" ca="1">INDIRECT(_xlfn.CONCAT("C",$Q635))</f>
        <v>34</v>
      </c>
      <c r="N635" t="str" cm="1">
        <f t="array" aca="1" ref="N635" ca="1">INDIRECT(_xlfn.CONCAT("D",$Q635))</f>
        <v>tcp_connect</v>
      </c>
      <c r="O635" cm="1">
        <f t="array" aca="1" ref="O635" ca="1">INDIRECT(_xlfn.CONCAT("E",$Q635))</f>
        <v>15750</v>
      </c>
      <c r="Q635">
        <v>668</v>
      </c>
    </row>
    <row r="636" spans="1:17">
      <c r="A636" t="s">
        <v>97</v>
      </c>
      <c r="B636" t="s">
        <v>10</v>
      </c>
      <c r="C636">
        <v>27</v>
      </c>
      <c r="D636" t="s">
        <v>102</v>
      </c>
      <c r="E636">
        <v>30359</v>
      </c>
      <c r="K636" t="str" cm="1">
        <f t="array" aca="1" ref="K636" ca="1">INDIRECT(_xlfn.CONCAT("A",$Q636))</f>
        <v>connection_phase</v>
      </c>
      <c r="L636" t="str" cm="1">
        <f t="array" aca="1" ref="L636" ca="1">INDIRECT(_xlfn.CONCAT("B",$Q636))</f>
        <v>SPVA_CERTMON</v>
      </c>
      <c r="M636" cm="1">
        <f t="array" aca="1" ref="M636" ca="1">INDIRECT(_xlfn.CONCAT("C",$Q636))</f>
        <v>35</v>
      </c>
      <c r="N636" t="str" cm="1">
        <f t="array" aca="1" ref="N636" ca="1">INDIRECT(_xlfn.CONCAT("D",$Q636))</f>
        <v>tcp_connect</v>
      </c>
      <c r="O636" cm="1">
        <f t="array" aca="1" ref="O636" ca="1">INDIRECT(_xlfn.CONCAT("E",$Q636))</f>
        <v>17431</v>
      </c>
      <c r="Q636">
        <v>673</v>
      </c>
    </row>
    <row r="637" spans="1:17">
      <c r="A637" t="s">
        <v>97</v>
      </c>
      <c r="B637" t="s">
        <v>10</v>
      </c>
      <c r="C637">
        <v>28</v>
      </c>
      <c r="D637" t="s">
        <v>98</v>
      </c>
      <c r="E637">
        <v>11286</v>
      </c>
      <c r="K637" t="str" cm="1">
        <f t="array" aca="1" ref="K637" ca="1">INDIRECT(_xlfn.CONCAT("A",$Q637))</f>
        <v>connection_phase</v>
      </c>
      <c r="L637" t="str" cm="1">
        <f t="array" aca="1" ref="L637" ca="1">INDIRECT(_xlfn.CONCAT("B",$Q637))</f>
        <v>SPVA_CERTMON</v>
      </c>
      <c r="M637" cm="1">
        <f t="array" aca="1" ref="M637" ca="1">INDIRECT(_xlfn.CONCAT("C",$Q637))</f>
        <v>36</v>
      </c>
      <c r="N637" t="str" cm="1">
        <f t="array" aca="1" ref="N637" ca="1">INDIRECT(_xlfn.CONCAT("D",$Q637))</f>
        <v>tcp_connect</v>
      </c>
      <c r="O637" cm="1">
        <f t="array" aca="1" ref="O637" ca="1">INDIRECT(_xlfn.CONCAT("E",$Q637))</f>
        <v>12729</v>
      </c>
      <c r="Q637">
        <v>678</v>
      </c>
    </row>
    <row r="638" spans="1:17">
      <c r="A638" t="s">
        <v>97</v>
      </c>
      <c r="B638" t="s">
        <v>10</v>
      </c>
      <c r="C638">
        <v>28</v>
      </c>
      <c r="D638" t="s">
        <v>99</v>
      </c>
      <c r="E638">
        <v>4595</v>
      </c>
      <c r="K638" t="str" cm="1">
        <f t="array" aca="1" ref="K638" ca="1">INDIRECT(_xlfn.CONCAT("A",$Q638))</f>
        <v>connection_phase</v>
      </c>
      <c r="L638" t="str" cm="1">
        <f t="array" aca="1" ref="L638" ca="1">INDIRECT(_xlfn.CONCAT("B",$Q638))</f>
        <v>SPVA_CERTMON</v>
      </c>
      <c r="M638" cm="1">
        <f t="array" aca="1" ref="M638" ca="1">INDIRECT(_xlfn.CONCAT("C",$Q638))</f>
        <v>37</v>
      </c>
      <c r="N638" t="str" cm="1">
        <f t="array" aca="1" ref="N638" ca="1">INDIRECT(_xlfn.CONCAT("D",$Q638))</f>
        <v>tcp_connect</v>
      </c>
      <c r="O638" cm="1">
        <f t="array" aca="1" ref="O638" ca="1">INDIRECT(_xlfn.CONCAT("E",$Q638))</f>
        <v>15936</v>
      </c>
      <c r="Q638">
        <v>683</v>
      </c>
    </row>
    <row r="639" spans="1:17">
      <c r="A639" t="s">
        <v>97</v>
      </c>
      <c r="B639" t="s">
        <v>10</v>
      </c>
      <c r="C639">
        <v>28</v>
      </c>
      <c r="D639" t="s">
        <v>100</v>
      </c>
      <c r="E639">
        <v>407</v>
      </c>
      <c r="K639" t="str" cm="1">
        <f t="array" aca="1" ref="K639" ca="1">INDIRECT(_xlfn.CONCAT("A",$Q639))</f>
        <v>connection_phase</v>
      </c>
      <c r="L639" t="str" cm="1">
        <f t="array" aca="1" ref="L639" ca="1">INDIRECT(_xlfn.CONCAT("B",$Q639))</f>
        <v>SPVA_CERTMON</v>
      </c>
      <c r="M639" cm="1">
        <f t="array" aca="1" ref="M639" ca="1">INDIRECT(_xlfn.CONCAT("C",$Q639))</f>
        <v>38</v>
      </c>
      <c r="N639" t="str" cm="1">
        <f t="array" aca="1" ref="N639" ca="1">INDIRECT(_xlfn.CONCAT("D",$Q639))</f>
        <v>tcp_connect</v>
      </c>
      <c r="O639" cm="1">
        <f t="array" aca="1" ref="O639" ca="1">INDIRECT(_xlfn.CONCAT("E",$Q639))</f>
        <v>16000</v>
      </c>
      <c r="Q639">
        <v>688</v>
      </c>
    </row>
    <row r="640" spans="1:17">
      <c r="A640" t="s">
        <v>97</v>
      </c>
      <c r="B640" t="s">
        <v>10</v>
      </c>
      <c r="C640">
        <v>28</v>
      </c>
      <c r="D640" t="s">
        <v>101</v>
      </c>
      <c r="E640">
        <v>11756</v>
      </c>
      <c r="K640" t="str" cm="1">
        <f t="array" aca="1" ref="K640" ca="1">INDIRECT(_xlfn.CONCAT("A",$Q640))</f>
        <v>connection_phase</v>
      </c>
      <c r="L640" t="str" cm="1">
        <f t="array" aca="1" ref="L640" ca="1">INDIRECT(_xlfn.CONCAT("B",$Q640))</f>
        <v>SPVA_CERTMON</v>
      </c>
      <c r="M640" cm="1">
        <f t="array" aca="1" ref="M640" ca="1">INDIRECT(_xlfn.CONCAT("C",$Q640))</f>
        <v>39</v>
      </c>
      <c r="N640" t="str" cm="1">
        <f t="array" aca="1" ref="N640" ca="1">INDIRECT(_xlfn.CONCAT("D",$Q640))</f>
        <v>tcp_connect</v>
      </c>
      <c r="O640" cm="1">
        <f t="array" aca="1" ref="O640" ca="1">INDIRECT(_xlfn.CONCAT("E",$Q640))</f>
        <v>14681</v>
      </c>
      <c r="Q640">
        <v>693</v>
      </c>
    </row>
    <row r="641" spans="1:17">
      <c r="A641" t="s">
        <v>97</v>
      </c>
      <c r="B641" t="s">
        <v>10</v>
      </c>
      <c r="C641">
        <v>28</v>
      </c>
      <c r="D641" t="s">
        <v>102</v>
      </c>
      <c r="E641">
        <v>28044</v>
      </c>
      <c r="K641" t="str" cm="1">
        <f t="array" aca="1" ref="K641" ca="1">INDIRECT(_xlfn.CONCAT("A",$Q641))</f>
        <v>connection_phase</v>
      </c>
      <c r="L641" t="str" cm="1">
        <f t="array" aca="1" ref="L641" ca="1">INDIRECT(_xlfn.CONCAT("B",$Q641))</f>
        <v>SPVA_CERTMON</v>
      </c>
      <c r="M641" cm="1">
        <f t="array" aca="1" ref="M641" ca="1">INDIRECT(_xlfn.CONCAT("C",$Q641))</f>
        <v>40</v>
      </c>
      <c r="N641" t="str" cm="1">
        <f t="array" aca="1" ref="N641" ca="1">INDIRECT(_xlfn.CONCAT("D",$Q641))</f>
        <v>tcp_connect</v>
      </c>
      <c r="O641" cm="1">
        <f t="array" aca="1" ref="O641" ca="1">INDIRECT(_xlfn.CONCAT("E",$Q641))</f>
        <v>4631</v>
      </c>
      <c r="Q641">
        <v>698</v>
      </c>
    </row>
    <row r="642" spans="1:17">
      <c r="A642" t="s">
        <v>97</v>
      </c>
      <c r="B642" t="s">
        <v>10</v>
      </c>
      <c r="C642">
        <v>29</v>
      </c>
      <c r="D642" t="s">
        <v>98</v>
      </c>
      <c r="E642">
        <v>2219</v>
      </c>
      <c r="K642" t="str" cm="1">
        <f t="array" aca="1" ref="K642" ca="1">INDIRECT(_xlfn.CONCAT("A",$Q642))</f>
        <v>connection_phase</v>
      </c>
      <c r="L642" t="str" cm="1">
        <f t="array" aca="1" ref="L642" ca="1">INDIRECT(_xlfn.CONCAT("B",$Q642))</f>
        <v>SPVA_CERTMON</v>
      </c>
      <c r="M642" cm="1">
        <f t="array" aca="1" ref="M642" ca="1">INDIRECT(_xlfn.CONCAT("C",$Q642))</f>
        <v>41</v>
      </c>
      <c r="N642" t="str" cm="1">
        <f t="array" aca="1" ref="N642" ca="1">INDIRECT(_xlfn.CONCAT("D",$Q642))</f>
        <v>tcp_connect</v>
      </c>
      <c r="O642" cm="1">
        <f t="array" aca="1" ref="O642" ca="1">INDIRECT(_xlfn.CONCAT("E",$Q642))</f>
        <v>13875</v>
      </c>
      <c r="Q642">
        <v>703</v>
      </c>
    </row>
    <row r="643" spans="1:17">
      <c r="A643" t="s">
        <v>97</v>
      </c>
      <c r="B643" t="s">
        <v>10</v>
      </c>
      <c r="C643">
        <v>29</v>
      </c>
      <c r="D643" t="s">
        <v>99</v>
      </c>
      <c r="E643">
        <v>16580</v>
      </c>
      <c r="K643" t="str" cm="1">
        <f t="array" aca="1" ref="K643" ca="1">INDIRECT(_xlfn.CONCAT("A",$Q643))</f>
        <v>connection_phase</v>
      </c>
      <c r="L643" t="str" cm="1">
        <f t="array" aca="1" ref="L643" ca="1">INDIRECT(_xlfn.CONCAT("B",$Q643))</f>
        <v>SPVA_CERTMON</v>
      </c>
      <c r="M643" cm="1">
        <f t="array" aca="1" ref="M643" ca="1">INDIRECT(_xlfn.CONCAT("C",$Q643))</f>
        <v>42</v>
      </c>
      <c r="N643" t="str" cm="1">
        <f t="array" aca="1" ref="N643" ca="1">INDIRECT(_xlfn.CONCAT("D",$Q643))</f>
        <v>tcp_connect</v>
      </c>
      <c r="O643" cm="1">
        <f t="array" aca="1" ref="O643" ca="1">INDIRECT(_xlfn.CONCAT("E",$Q643))</f>
        <v>16964</v>
      </c>
      <c r="Q643">
        <v>708</v>
      </c>
    </row>
    <row r="644" spans="1:17">
      <c r="A644" t="s">
        <v>97</v>
      </c>
      <c r="B644" t="s">
        <v>10</v>
      </c>
      <c r="C644">
        <v>29</v>
      </c>
      <c r="D644" t="s">
        <v>100</v>
      </c>
      <c r="E644">
        <v>686</v>
      </c>
      <c r="K644" t="str" cm="1">
        <f t="array" aca="1" ref="K644" ca="1">INDIRECT(_xlfn.CONCAT("A",$Q644))</f>
        <v>connection_phase</v>
      </c>
      <c r="L644" t="str" cm="1">
        <f t="array" aca="1" ref="L644" ca="1">INDIRECT(_xlfn.CONCAT("B",$Q644))</f>
        <v>SPVA_CERTMON</v>
      </c>
      <c r="M644" cm="1">
        <f t="array" aca="1" ref="M644" ca="1">INDIRECT(_xlfn.CONCAT("C",$Q644))</f>
        <v>43</v>
      </c>
      <c r="N644" t="str" cm="1">
        <f t="array" aca="1" ref="N644" ca="1">INDIRECT(_xlfn.CONCAT("D",$Q644))</f>
        <v>tcp_connect</v>
      </c>
      <c r="O644" cm="1">
        <f t="array" aca="1" ref="O644" ca="1">INDIRECT(_xlfn.CONCAT("E",$Q644))</f>
        <v>15409</v>
      </c>
      <c r="Q644">
        <v>713</v>
      </c>
    </row>
    <row r="645" spans="1:17">
      <c r="A645" t="s">
        <v>97</v>
      </c>
      <c r="B645" t="s">
        <v>10</v>
      </c>
      <c r="C645">
        <v>29</v>
      </c>
      <c r="D645" t="s">
        <v>101</v>
      </c>
      <c r="E645">
        <v>13305</v>
      </c>
      <c r="K645" t="str" cm="1">
        <f t="array" aca="1" ref="K645" ca="1">INDIRECT(_xlfn.CONCAT("A",$Q645))</f>
        <v>connection_phase</v>
      </c>
      <c r="L645" t="str" cm="1">
        <f t="array" aca="1" ref="L645" ca="1">INDIRECT(_xlfn.CONCAT("B",$Q645))</f>
        <v>SPVA_CERTMON</v>
      </c>
      <c r="M645" cm="1">
        <f t="array" aca="1" ref="M645" ca="1">INDIRECT(_xlfn.CONCAT("C",$Q645))</f>
        <v>44</v>
      </c>
      <c r="N645" t="str" cm="1">
        <f t="array" aca="1" ref="N645" ca="1">INDIRECT(_xlfn.CONCAT("D",$Q645))</f>
        <v>tcp_connect</v>
      </c>
      <c r="O645" cm="1">
        <f t="array" aca="1" ref="O645" ca="1">INDIRECT(_xlfn.CONCAT("E",$Q645))</f>
        <v>16324</v>
      </c>
      <c r="Q645">
        <v>718</v>
      </c>
    </row>
    <row r="646" spans="1:17">
      <c r="A646" t="s">
        <v>97</v>
      </c>
      <c r="B646" t="s">
        <v>10</v>
      </c>
      <c r="C646">
        <v>29</v>
      </c>
      <c r="D646" t="s">
        <v>102</v>
      </c>
      <c r="E646">
        <v>32790</v>
      </c>
      <c r="K646" t="str" cm="1">
        <f t="array" aca="1" ref="K646" ca="1">INDIRECT(_xlfn.CONCAT("A",$Q646))</f>
        <v>connection_phase</v>
      </c>
      <c r="L646" t="str" cm="1">
        <f t="array" aca="1" ref="L646" ca="1">INDIRECT(_xlfn.CONCAT("B",$Q646))</f>
        <v>SPVA_CERTMON</v>
      </c>
      <c r="M646" cm="1">
        <f t="array" aca="1" ref="M646" ca="1">INDIRECT(_xlfn.CONCAT("C",$Q646))</f>
        <v>45</v>
      </c>
      <c r="N646" t="str" cm="1">
        <f t="array" aca="1" ref="N646" ca="1">INDIRECT(_xlfn.CONCAT("D",$Q646))</f>
        <v>tcp_connect</v>
      </c>
      <c r="O646" cm="1">
        <f t="array" aca="1" ref="O646" ca="1">INDIRECT(_xlfn.CONCAT("E",$Q646))</f>
        <v>13046</v>
      </c>
      <c r="Q646">
        <v>723</v>
      </c>
    </row>
    <row r="647" spans="1:17">
      <c r="A647" t="s">
        <v>97</v>
      </c>
      <c r="B647" t="s">
        <v>10</v>
      </c>
      <c r="C647">
        <v>30</v>
      </c>
      <c r="D647" t="s">
        <v>98</v>
      </c>
      <c r="E647">
        <v>1975</v>
      </c>
      <c r="K647" t="str" cm="1">
        <f t="array" aca="1" ref="K647" ca="1">INDIRECT(_xlfn.CONCAT("A",$Q647))</f>
        <v>connection_phase</v>
      </c>
      <c r="L647" t="str" cm="1">
        <f t="array" aca="1" ref="L647" ca="1">INDIRECT(_xlfn.CONCAT("B",$Q647))</f>
        <v>SPVA_CERTMON</v>
      </c>
      <c r="M647" cm="1">
        <f t="array" aca="1" ref="M647" ca="1">INDIRECT(_xlfn.CONCAT("C",$Q647))</f>
        <v>46</v>
      </c>
      <c r="N647" t="str" cm="1">
        <f t="array" aca="1" ref="N647" ca="1">INDIRECT(_xlfn.CONCAT("D",$Q647))</f>
        <v>tcp_connect</v>
      </c>
      <c r="O647" cm="1">
        <f t="array" aca="1" ref="O647" ca="1">INDIRECT(_xlfn.CONCAT("E",$Q647))</f>
        <v>27059</v>
      </c>
      <c r="Q647">
        <v>728</v>
      </c>
    </row>
    <row r="648" spans="1:17">
      <c r="A648" t="s">
        <v>97</v>
      </c>
      <c r="B648" t="s">
        <v>10</v>
      </c>
      <c r="C648">
        <v>30</v>
      </c>
      <c r="D648" t="s">
        <v>99</v>
      </c>
      <c r="E648">
        <v>9690</v>
      </c>
      <c r="K648" t="str" cm="1">
        <f t="array" aca="1" ref="K648" ca="1">INDIRECT(_xlfn.CONCAT("A",$Q648))</f>
        <v>connection_phase</v>
      </c>
      <c r="L648" t="str" cm="1">
        <f t="array" aca="1" ref="L648" ca="1">INDIRECT(_xlfn.CONCAT("B",$Q648))</f>
        <v>SPVA_CERTMON</v>
      </c>
      <c r="M648" cm="1">
        <f t="array" aca="1" ref="M648" ca="1">INDIRECT(_xlfn.CONCAT("C",$Q648))</f>
        <v>47</v>
      </c>
      <c r="N648" t="str" cm="1">
        <f t="array" aca="1" ref="N648" ca="1">INDIRECT(_xlfn.CONCAT("D",$Q648))</f>
        <v>tcp_connect</v>
      </c>
      <c r="O648" cm="1">
        <f t="array" aca="1" ref="O648" ca="1">INDIRECT(_xlfn.CONCAT("E",$Q648))</f>
        <v>11184</v>
      </c>
      <c r="Q648">
        <v>733</v>
      </c>
    </row>
    <row r="649" spans="1:17">
      <c r="A649" t="s">
        <v>97</v>
      </c>
      <c r="B649" t="s">
        <v>10</v>
      </c>
      <c r="C649">
        <v>30</v>
      </c>
      <c r="D649" t="s">
        <v>100</v>
      </c>
      <c r="E649">
        <v>783</v>
      </c>
      <c r="K649" t="str" cm="1">
        <f t="array" aca="1" ref="K649" ca="1">INDIRECT(_xlfn.CONCAT("A",$Q649))</f>
        <v>connection_phase</v>
      </c>
      <c r="L649" t="str" cm="1">
        <f t="array" aca="1" ref="L649" ca="1">INDIRECT(_xlfn.CONCAT("B",$Q649))</f>
        <v>SPVA_CERTMON</v>
      </c>
      <c r="M649" cm="1">
        <f t="array" aca="1" ref="M649" ca="1">INDIRECT(_xlfn.CONCAT("C",$Q649))</f>
        <v>48</v>
      </c>
      <c r="N649" t="str" cm="1">
        <f t="array" aca="1" ref="N649" ca="1">INDIRECT(_xlfn.CONCAT("D",$Q649))</f>
        <v>tcp_connect</v>
      </c>
      <c r="O649" cm="1">
        <f t="array" aca="1" ref="O649" ca="1">INDIRECT(_xlfn.CONCAT("E",$Q649))</f>
        <v>12335</v>
      </c>
      <c r="Q649">
        <v>738</v>
      </c>
    </row>
    <row r="650" spans="1:17">
      <c r="A650" t="s">
        <v>97</v>
      </c>
      <c r="B650" t="s">
        <v>10</v>
      </c>
      <c r="C650">
        <v>30</v>
      </c>
      <c r="D650" t="s">
        <v>101</v>
      </c>
      <c r="E650">
        <v>12861</v>
      </c>
      <c r="K650" t="str" cm="1">
        <f t="array" aca="1" ref="K650" ca="1">INDIRECT(_xlfn.CONCAT("A",$Q650))</f>
        <v>connection_phase</v>
      </c>
      <c r="L650" t="str" cm="1">
        <f t="array" aca="1" ref="L650" ca="1">INDIRECT(_xlfn.CONCAT("B",$Q650))</f>
        <v>SPVA_CERTMON</v>
      </c>
      <c r="M650" cm="1">
        <f t="array" aca="1" ref="M650" ca="1">INDIRECT(_xlfn.CONCAT("C",$Q650))</f>
        <v>49</v>
      </c>
      <c r="N650" t="str" cm="1">
        <f t="array" aca="1" ref="N650" ca="1">INDIRECT(_xlfn.CONCAT("D",$Q650))</f>
        <v>tcp_connect</v>
      </c>
      <c r="O650" cm="1">
        <f t="array" aca="1" ref="O650" ca="1">INDIRECT(_xlfn.CONCAT("E",$Q650))</f>
        <v>11893</v>
      </c>
      <c r="Q650">
        <v>743</v>
      </c>
    </row>
    <row r="651" spans="1:17">
      <c r="A651" t="s">
        <v>97</v>
      </c>
      <c r="B651" t="s">
        <v>10</v>
      </c>
      <c r="C651">
        <v>30</v>
      </c>
      <c r="D651" t="s">
        <v>102</v>
      </c>
      <c r="E651">
        <v>25309</v>
      </c>
      <c r="K651" t="str" cm="1">
        <f t="array" aca="1" ref="K651" ca="1">INDIRECT(_xlfn.CONCAT("A",$Q651))</f>
        <v>connection_phase</v>
      </c>
      <c r="L651" t="str" cm="1">
        <f t="array" aca="1" ref="L651" ca="1">INDIRECT(_xlfn.CONCAT("B",$Q651))</f>
        <v>SPVA_CERTMON</v>
      </c>
      <c r="M651" cm="1">
        <f t="array" aca="1" ref="M651" ca="1">INDIRECT(_xlfn.CONCAT("C",$Q651))</f>
        <v>50</v>
      </c>
      <c r="N651" t="str" cm="1">
        <f t="array" aca="1" ref="N651" ca="1">INDIRECT(_xlfn.CONCAT("D",$Q651))</f>
        <v>tcp_connect</v>
      </c>
      <c r="O651" cm="1">
        <f t="array" aca="1" ref="O651" ca="1">INDIRECT(_xlfn.CONCAT("E",$Q651))</f>
        <v>12679</v>
      </c>
      <c r="Q651">
        <v>748</v>
      </c>
    </row>
    <row r="652" spans="1:17">
      <c r="A652" t="s">
        <v>97</v>
      </c>
      <c r="B652" t="s">
        <v>10</v>
      </c>
      <c r="C652">
        <v>31</v>
      </c>
      <c r="D652" t="s">
        <v>98</v>
      </c>
      <c r="E652">
        <v>5714</v>
      </c>
      <c r="K652" t="str" cm="1">
        <f t="array" aca="1" ref="K652" ca="1">INDIRECT(_xlfn.CONCAT("A",$Q652))</f>
        <v>connection_phase</v>
      </c>
      <c r="L652" t="str" cm="1">
        <f t="array" aca="1" ref="L652" ca="1">INDIRECT(_xlfn.CONCAT("B",$Q652))</f>
        <v>SPVA_CERTMON</v>
      </c>
      <c r="M652" cm="1">
        <f t="array" aca="1" ref="M652" ca="1">INDIRECT(_xlfn.CONCAT("C",$Q652))</f>
        <v>1</v>
      </c>
      <c r="N652" t="str" cm="1">
        <f t="array" aca="1" ref="N652" ca="1">INDIRECT(_xlfn.CONCAT("D",$Q652))</f>
        <v>total</v>
      </c>
      <c r="O652" cm="1">
        <f t="array" aca="1" ref="O652" ca="1">INDIRECT(_xlfn.CONCAT("E",$Q652))</f>
        <v>38141</v>
      </c>
      <c r="Q652">
        <v>506</v>
      </c>
    </row>
    <row r="653" spans="1:17">
      <c r="A653" t="s">
        <v>97</v>
      </c>
      <c r="B653" t="s">
        <v>10</v>
      </c>
      <c r="C653">
        <v>31</v>
      </c>
      <c r="D653" t="s">
        <v>99</v>
      </c>
      <c r="E653">
        <v>15071</v>
      </c>
      <c r="K653" t="str" cm="1">
        <f t="array" aca="1" ref="K653" ca="1">INDIRECT(_xlfn.CONCAT("A",$Q653))</f>
        <v>connection_phase</v>
      </c>
      <c r="L653" t="str" cm="1">
        <f t="array" aca="1" ref="L653" ca="1">INDIRECT(_xlfn.CONCAT("B",$Q653))</f>
        <v>SPVA_CERTMON</v>
      </c>
      <c r="M653" cm="1">
        <f t="array" aca="1" ref="M653" ca="1">INDIRECT(_xlfn.CONCAT("C",$Q653))</f>
        <v>2</v>
      </c>
      <c r="N653" t="str" cm="1">
        <f t="array" aca="1" ref="N653" ca="1">INDIRECT(_xlfn.CONCAT("D",$Q653))</f>
        <v>total</v>
      </c>
      <c r="O653" cm="1">
        <f t="array" aca="1" ref="O653" ca="1">INDIRECT(_xlfn.CONCAT("E",$Q653))</f>
        <v>32902</v>
      </c>
      <c r="Q653">
        <v>511</v>
      </c>
    </row>
    <row r="654" spans="1:17">
      <c r="A654" t="s">
        <v>97</v>
      </c>
      <c r="B654" t="s">
        <v>10</v>
      </c>
      <c r="C654">
        <v>31</v>
      </c>
      <c r="D654" t="s">
        <v>100</v>
      </c>
      <c r="E654">
        <v>274</v>
      </c>
      <c r="K654" t="str" cm="1">
        <f t="array" aca="1" ref="K654" ca="1">INDIRECT(_xlfn.CONCAT("A",$Q654))</f>
        <v>connection_phase</v>
      </c>
      <c r="L654" t="str" cm="1">
        <f t="array" aca="1" ref="L654" ca="1">INDIRECT(_xlfn.CONCAT("B",$Q654))</f>
        <v>SPVA_CERTMON</v>
      </c>
      <c r="M654" cm="1">
        <f t="array" aca="1" ref="M654" ca="1">INDIRECT(_xlfn.CONCAT("C",$Q654))</f>
        <v>3</v>
      </c>
      <c r="N654" t="str" cm="1">
        <f t="array" aca="1" ref="N654" ca="1">INDIRECT(_xlfn.CONCAT("D",$Q654))</f>
        <v>total</v>
      </c>
      <c r="O654" cm="1">
        <f t="array" aca="1" ref="O654" ca="1">INDIRECT(_xlfn.CONCAT("E",$Q654))</f>
        <v>30516</v>
      </c>
      <c r="Q654">
        <v>516</v>
      </c>
    </row>
    <row r="655" spans="1:17">
      <c r="A655" t="s">
        <v>97</v>
      </c>
      <c r="B655" t="s">
        <v>10</v>
      </c>
      <c r="C655">
        <v>31</v>
      </c>
      <c r="D655" t="s">
        <v>101</v>
      </c>
      <c r="E655">
        <v>15506</v>
      </c>
      <c r="K655" t="str" cm="1">
        <f t="array" aca="1" ref="K655" ca="1">INDIRECT(_xlfn.CONCAT("A",$Q655))</f>
        <v>connection_phase</v>
      </c>
      <c r="L655" t="str" cm="1">
        <f t="array" aca="1" ref="L655" ca="1">INDIRECT(_xlfn.CONCAT("B",$Q655))</f>
        <v>SPVA_CERTMON</v>
      </c>
      <c r="M655" cm="1">
        <f t="array" aca="1" ref="M655" ca="1">INDIRECT(_xlfn.CONCAT("C",$Q655))</f>
        <v>4</v>
      </c>
      <c r="N655" t="str" cm="1">
        <f t="array" aca="1" ref="N655" ca="1">INDIRECT(_xlfn.CONCAT("D",$Q655))</f>
        <v>total</v>
      </c>
      <c r="O655" cm="1">
        <f t="array" aca="1" ref="O655" ca="1">INDIRECT(_xlfn.CONCAT("E",$Q655))</f>
        <v>31012</v>
      </c>
      <c r="Q655">
        <v>521</v>
      </c>
    </row>
    <row r="656" spans="1:17">
      <c r="A656" t="s">
        <v>97</v>
      </c>
      <c r="B656" t="s">
        <v>10</v>
      </c>
      <c r="C656">
        <v>31</v>
      </c>
      <c r="D656" t="s">
        <v>102</v>
      </c>
      <c r="E656">
        <v>36565</v>
      </c>
      <c r="K656" t="str" cm="1">
        <f t="array" aca="1" ref="K656" ca="1">INDIRECT(_xlfn.CONCAT("A",$Q656))</f>
        <v>connection_phase</v>
      </c>
      <c r="L656" t="str" cm="1">
        <f t="array" aca="1" ref="L656" ca="1">INDIRECT(_xlfn.CONCAT("B",$Q656))</f>
        <v>SPVA_CERTMON</v>
      </c>
      <c r="M656" cm="1">
        <f t="array" aca="1" ref="M656" ca="1">INDIRECT(_xlfn.CONCAT("C",$Q656))</f>
        <v>5</v>
      </c>
      <c r="N656" t="str" cm="1">
        <f t="array" aca="1" ref="N656" ca="1">INDIRECT(_xlfn.CONCAT("D",$Q656))</f>
        <v>total</v>
      </c>
      <c r="O656" cm="1">
        <f t="array" aca="1" ref="O656" ca="1">INDIRECT(_xlfn.CONCAT("E",$Q656))</f>
        <v>30079</v>
      </c>
      <c r="Q656">
        <v>526</v>
      </c>
    </row>
    <row r="657" spans="1:17">
      <c r="A657" t="s">
        <v>97</v>
      </c>
      <c r="B657" t="s">
        <v>10</v>
      </c>
      <c r="C657">
        <v>32</v>
      </c>
      <c r="D657" t="s">
        <v>98</v>
      </c>
      <c r="E657">
        <v>7680</v>
      </c>
      <c r="K657" t="str" cm="1">
        <f t="array" aca="1" ref="K657" ca="1">INDIRECT(_xlfn.CONCAT("A",$Q657))</f>
        <v>connection_phase</v>
      </c>
      <c r="L657" t="str" cm="1">
        <f t="array" aca="1" ref="L657" ca="1">INDIRECT(_xlfn.CONCAT("B",$Q657))</f>
        <v>SPVA_CERTMON</v>
      </c>
      <c r="M657" cm="1">
        <f t="array" aca="1" ref="M657" ca="1">INDIRECT(_xlfn.CONCAT("C",$Q657))</f>
        <v>6</v>
      </c>
      <c r="N657" t="str" cm="1">
        <f t="array" aca="1" ref="N657" ca="1">INDIRECT(_xlfn.CONCAT("D",$Q657))</f>
        <v>total</v>
      </c>
      <c r="O657" cm="1">
        <f t="array" aca="1" ref="O657" ca="1">INDIRECT(_xlfn.CONCAT("E",$Q657))</f>
        <v>34581</v>
      </c>
      <c r="Q657">
        <v>531</v>
      </c>
    </row>
    <row r="658" spans="1:17">
      <c r="A658" t="s">
        <v>97</v>
      </c>
      <c r="B658" t="s">
        <v>10</v>
      </c>
      <c r="C658">
        <v>32</v>
      </c>
      <c r="D658" t="s">
        <v>99</v>
      </c>
      <c r="E658">
        <v>12669</v>
      </c>
      <c r="K658" t="str" cm="1">
        <f t="array" aca="1" ref="K658" ca="1">INDIRECT(_xlfn.CONCAT("A",$Q658))</f>
        <v>connection_phase</v>
      </c>
      <c r="L658" t="str" cm="1">
        <f t="array" aca="1" ref="L658" ca="1">INDIRECT(_xlfn.CONCAT("B",$Q658))</f>
        <v>SPVA_CERTMON</v>
      </c>
      <c r="M658" cm="1">
        <f t="array" aca="1" ref="M658" ca="1">INDIRECT(_xlfn.CONCAT("C",$Q658))</f>
        <v>7</v>
      </c>
      <c r="N658" t="str" cm="1">
        <f t="array" aca="1" ref="N658" ca="1">INDIRECT(_xlfn.CONCAT("D",$Q658))</f>
        <v>total</v>
      </c>
      <c r="O658" cm="1">
        <f t="array" aca="1" ref="O658" ca="1">INDIRECT(_xlfn.CONCAT("E",$Q658))</f>
        <v>41690</v>
      </c>
      <c r="Q658">
        <v>536</v>
      </c>
    </row>
    <row r="659" spans="1:17">
      <c r="A659" t="s">
        <v>97</v>
      </c>
      <c r="B659" t="s">
        <v>10</v>
      </c>
      <c r="C659">
        <v>32</v>
      </c>
      <c r="D659" t="s">
        <v>100</v>
      </c>
      <c r="E659">
        <v>806</v>
      </c>
      <c r="K659" t="str" cm="1">
        <f t="array" aca="1" ref="K659" ca="1">INDIRECT(_xlfn.CONCAT("A",$Q659))</f>
        <v>connection_phase</v>
      </c>
      <c r="L659" t="str" cm="1">
        <f t="array" aca="1" ref="L659" ca="1">INDIRECT(_xlfn.CONCAT("B",$Q659))</f>
        <v>SPVA_CERTMON</v>
      </c>
      <c r="M659" cm="1">
        <f t="array" aca="1" ref="M659" ca="1">INDIRECT(_xlfn.CONCAT("C",$Q659))</f>
        <v>8</v>
      </c>
      <c r="N659" t="str" cm="1">
        <f t="array" aca="1" ref="N659" ca="1">INDIRECT(_xlfn.CONCAT("D",$Q659))</f>
        <v>total</v>
      </c>
      <c r="O659" cm="1">
        <f t="array" aca="1" ref="O659" ca="1">INDIRECT(_xlfn.CONCAT("E",$Q659))</f>
        <v>35303</v>
      </c>
      <c r="Q659">
        <v>541</v>
      </c>
    </row>
    <row r="660" spans="1:17">
      <c r="A660" t="s">
        <v>97</v>
      </c>
      <c r="B660" t="s">
        <v>10</v>
      </c>
      <c r="C660">
        <v>32</v>
      </c>
      <c r="D660" t="s">
        <v>101</v>
      </c>
      <c r="E660">
        <v>14063</v>
      </c>
      <c r="K660" t="str" cm="1">
        <f t="array" aca="1" ref="K660" ca="1">INDIRECT(_xlfn.CONCAT("A",$Q660))</f>
        <v>connection_phase</v>
      </c>
      <c r="L660" t="str" cm="1">
        <f t="array" aca="1" ref="L660" ca="1">INDIRECT(_xlfn.CONCAT("B",$Q660))</f>
        <v>SPVA_CERTMON</v>
      </c>
      <c r="M660" cm="1">
        <f t="array" aca="1" ref="M660" ca="1">INDIRECT(_xlfn.CONCAT("C",$Q660))</f>
        <v>9</v>
      </c>
      <c r="N660" t="str" cm="1">
        <f t="array" aca="1" ref="N660" ca="1">INDIRECT(_xlfn.CONCAT("D",$Q660))</f>
        <v>total</v>
      </c>
      <c r="O660" cm="1">
        <f t="array" aca="1" ref="O660" ca="1">INDIRECT(_xlfn.CONCAT("E",$Q660))</f>
        <v>34022</v>
      </c>
      <c r="Q660">
        <v>546</v>
      </c>
    </row>
    <row r="661" spans="1:17">
      <c r="A661" t="s">
        <v>97</v>
      </c>
      <c r="B661" t="s">
        <v>10</v>
      </c>
      <c r="C661">
        <v>32</v>
      </c>
      <c r="D661" t="s">
        <v>102</v>
      </c>
      <c r="E661">
        <v>35218</v>
      </c>
      <c r="K661" t="str" cm="1">
        <f t="array" aca="1" ref="K661" ca="1">INDIRECT(_xlfn.CONCAT("A",$Q661))</f>
        <v>connection_phase</v>
      </c>
      <c r="L661" t="str" cm="1">
        <f t="array" aca="1" ref="L661" ca="1">INDIRECT(_xlfn.CONCAT("B",$Q661))</f>
        <v>SPVA_CERTMON</v>
      </c>
      <c r="M661" cm="1">
        <f t="array" aca="1" ref="M661" ca="1">INDIRECT(_xlfn.CONCAT("C",$Q661))</f>
        <v>10</v>
      </c>
      <c r="N661" t="str" cm="1">
        <f t="array" aca="1" ref="N661" ca="1">INDIRECT(_xlfn.CONCAT("D",$Q661))</f>
        <v>total</v>
      </c>
      <c r="O661" cm="1">
        <f t="array" aca="1" ref="O661" ca="1">INDIRECT(_xlfn.CONCAT("E",$Q661))</f>
        <v>36909</v>
      </c>
      <c r="Q661">
        <v>551</v>
      </c>
    </row>
    <row r="662" spans="1:17">
      <c r="A662" t="s">
        <v>97</v>
      </c>
      <c r="B662" t="s">
        <v>10</v>
      </c>
      <c r="C662">
        <v>33</v>
      </c>
      <c r="D662" t="s">
        <v>98</v>
      </c>
      <c r="E662">
        <v>6521</v>
      </c>
      <c r="K662" t="str" cm="1">
        <f t="array" aca="1" ref="K662" ca="1">INDIRECT(_xlfn.CONCAT("A",$Q662))</f>
        <v>connection_phase</v>
      </c>
      <c r="L662" t="str" cm="1">
        <f t="array" aca="1" ref="L662" ca="1">INDIRECT(_xlfn.CONCAT("B",$Q662))</f>
        <v>SPVA_CERTMON</v>
      </c>
      <c r="M662" cm="1">
        <f t="array" aca="1" ref="M662" ca="1">INDIRECT(_xlfn.CONCAT("C",$Q662))</f>
        <v>11</v>
      </c>
      <c r="N662" t="str" cm="1">
        <f t="array" aca="1" ref="N662" ca="1">INDIRECT(_xlfn.CONCAT("D",$Q662))</f>
        <v>total</v>
      </c>
      <c r="O662" cm="1">
        <f t="array" aca="1" ref="O662" ca="1">INDIRECT(_xlfn.CONCAT("E",$Q662))</f>
        <v>36105</v>
      </c>
      <c r="Q662">
        <v>556</v>
      </c>
    </row>
    <row r="663" spans="1:17">
      <c r="A663" t="s">
        <v>97</v>
      </c>
      <c r="B663" t="s">
        <v>10</v>
      </c>
      <c r="C663">
        <v>33</v>
      </c>
      <c r="D663" t="s">
        <v>99</v>
      </c>
      <c r="E663">
        <v>8104</v>
      </c>
      <c r="K663" t="str" cm="1">
        <f t="array" aca="1" ref="K663" ca="1">INDIRECT(_xlfn.CONCAT("A",$Q663))</f>
        <v>connection_phase</v>
      </c>
      <c r="L663" t="str" cm="1">
        <f t="array" aca="1" ref="L663" ca="1">INDIRECT(_xlfn.CONCAT("B",$Q663))</f>
        <v>SPVA_CERTMON</v>
      </c>
      <c r="M663" cm="1">
        <f t="array" aca="1" ref="M663" ca="1">INDIRECT(_xlfn.CONCAT("C",$Q663))</f>
        <v>12</v>
      </c>
      <c r="N663" t="str" cm="1">
        <f t="array" aca="1" ref="N663" ca="1">INDIRECT(_xlfn.CONCAT("D",$Q663))</f>
        <v>total</v>
      </c>
      <c r="O663" cm="1">
        <f t="array" aca="1" ref="O663" ca="1">INDIRECT(_xlfn.CONCAT("E",$Q663))</f>
        <v>32067</v>
      </c>
      <c r="Q663">
        <v>561</v>
      </c>
    </row>
    <row r="664" spans="1:17">
      <c r="A664" t="s">
        <v>97</v>
      </c>
      <c r="B664" t="s">
        <v>10</v>
      </c>
      <c r="C664">
        <v>33</v>
      </c>
      <c r="D664" t="s">
        <v>100</v>
      </c>
      <c r="E664">
        <v>445</v>
      </c>
      <c r="K664" t="str" cm="1">
        <f t="array" aca="1" ref="K664" ca="1">INDIRECT(_xlfn.CONCAT("A",$Q664))</f>
        <v>connection_phase</v>
      </c>
      <c r="L664" t="str" cm="1">
        <f t="array" aca="1" ref="L664" ca="1">INDIRECT(_xlfn.CONCAT("B",$Q664))</f>
        <v>SPVA_CERTMON</v>
      </c>
      <c r="M664" cm="1">
        <f t="array" aca="1" ref="M664" ca="1">INDIRECT(_xlfn.CONCAT("C",$Q664))</f>
        <v>13</v>
      </c>
      <c r="N664" t="str" cm="1">
        <f t="array" aca="1" ref="N664" ca="1">INDIRECT(_xlfn.CONCAT("D",$Q664))</f>
        <v>total</v>
      </c>
      <c r="O664" cm="1">
        <f t="array" aca="1" ref="O664" ca="1">INDIRECT(_xlfn.CONCAT("E",$Q664))</f>
        <v>31417</v>
      </c>
      <c r="Q664">
        <v>566</v>
      </c>
    </row>
    <row r="665" spans="1:17">
      <c r="A665" t="s">
        <v>97</v>
      </c>
      <c r="B665" t="s">
        <v>10</v>
      </c>
      <c r="C665">
        <v>33</v>
      </c>
      <c r="D665" t="s">
        <v>101</v>
      </c>
      <c r="E665">
        <v>15553</v>
      </c>
      <c r="K665" t="str" cm="1">
        <f t="array" aca="1" ref="K665" ca="1">INDIRECT(_xlfn.CONCAT("A",$Q665))</f>
        <v>connection_phase</v>
      </c>
      <c r="L665" t="str" cm="1">
        <f t="array" aca="1" ref="L665" ca="1">INDIRECT(_xlfn.CONCAT("B",$Q665))</f>
        <v>SPVA_CERTMON</v>
      </c>
      <c r="M665" cm="1">
        <f t="array" aca="1" ref="M665" ca="1">INDIRECT(_xlfn.CONCAT("C",$Q665))</f>
        <v>14</v>
      </c>
      <c r="N665" t="str" cm="1">
        <f t="array" aca="1" ref="N665" ca="1">INDIRECT(_xlfn.CONCAT("D",$Q665))</f>
        <v>total</v>
      </c>
      <c r="O665" cm="1">
        <f t="array" aca="1" ref="O665" ca="1">INDIRECT(_xlfn.CONCAT("E",$Q665))</f>
        <v>31022</v>
      </c>
      <c r="Q665">
        <v>571</v>
      </c>
    </row>
    <row r="666" spans="1:17">
      <c r="A666" t="s">
        <v>97</v>
      </c>
      <c r="B666" t="s">
        <v>10</v>
      </c>
      <c r="C666">
        <v>33</v>
      </c>
      <c r="D666" t="s">
        <v>102</v>
      </c>
      <c r="E666">
        <v>30623</v>
      </c>
      <c r="K666" t="str" cm="1">
        <f t="array" aca="1" ref="K666" ca="1">INDIRECT(_xlfn.CONCAT("A",$Q666))</f>
        <v>connection_phase</v>
      </c>
      <c r="L666" t="str" cm="1">
        <f t="array" aca="1" ref="L666" ca="1">INDIRECT(_xlfn.CONCAT("B",$Q666))</f>
        <v>SPVA_CERTMON</v>
      </c>
      <c r="M666" cm="1">
        <f t="array" aca="1" ref="M666" ca="1">INDIRECT(_xlfn.CONCAT("C",$Q666))</f>
        <v>15</v>
      </c>
      <c r="N666" t="str" cm="1">
        <f t="array" aca="1" ref="N666" ca="1">INDIRECT(_xlfn.CONCAT("D",$Q666))</f>
        <v>total</v>
      </c>
      <c r="O666" cm="1">
        <f t="array" aca="1" ref="O666" ca="1">INDIRECT(_xlfn.CONCAT("E",$Q666))</f>
        <v>33135</v>
      </c>
      <c r="Q666">
        <v>576</v>
      </c>
    </row>
    <row r="667" spans="1:17">
      <c r="A667" t="s">
        <v>97</v>
      </c>
      <c r="B667" t="s">
        <v>10</v>
      </c>
      <c r="C667">
        <v>34</v>
      </c>
      <c r="D667" t="s">
        <v>98</v>
      </c>
      <c r="E667">
        <v>2988</v>
      </c>
      <c r="K667" t="str" cm="1">
        <f t="array" aca="1" ref="K667" ca="1">INDIRECT(_xlfn.CONCAT("A",$Q667))</f>
        <v>connection_phase</v>
      </c>
      <c r="L667" t="str" cm="1">
        <f t="array" aca="1" ref="L667" ca="1">INDIRECT(_xlfn.CONCAT("B",$Q667))</f>
        <v>SPVA_CERTMON</v>
      </c>
      <c r="M667" cm="1">
        <f t="array" aca="1" ref="M667" ca="1">INDIRECT(_xlfn.CONCAT("C",$Q667))</f>
        <v>16</v>
      </c>
      <c r="N667" t="str" cm="1">
        <f t="array" aca="1" ref="N667" ca="1">INDIRECT(_xlfn.CONCAT("D",$Q667))</f>
        <v>total</v>
      </c>
      <c r="O667" cm="1">
        <f t="array" aca="1" ref="O667" ca="1">INDIRECT(_xlfn.CONCAT("E",$Q667))</f>
        <v>40120</v>
      </c>
      <c r="Q667">
        <v>581</v>
      </c>
    </row>
    <row r="668" spans="1:17">
      <c r="A668" t="s">
        <v>97</v>
      </c>
      <c r="B668" t="s">
        <v>10</v>
      </c>
      <c r="C668">
        <v>34</v>
      </c>
      <c r="D668" t="s">
        <v>99</v>
      </c>
      <c r="E668">
        <v>15750</v>
      </c>
      <c r="K668" t="str" cm="1">
        <f t="array" aca="1" ref="K668" ca="1">INDIRECT(_xlfn.CONCAT("A",$Q668))</f>
        <v>connection_phase</v>
      </c>
      <c r="L668" t="str" cm="1">
        <f t="array" aca="1" ref="L668" ca="1">INDIRECT(_xlfn.CONCAT("B",$Q668))</f>
        <v>SPVA_CERTMON</v>
      </c>
      <c r="M668" cm="1">
        <f t="array" aca="1" ref="M668" ca="1">INDIRECT(_xlfn.CONCAT("C",$Q668))</f>
        <v>17</v>
      </c>
      <c r="N668" t="str" cm="1">
        <f t="array" aca="1" ref="N668" ca="1">INDIRECT(_xlfn.CONCAT("D",$Q668))</f>
        <v>total</v>
      </c>
      <c r="O668" cm="1">
        <f t="array" aca="1" ref="O668" ca="1">INDIRECT(_xlfn.CONCAT("E",$Q668))</f>
        <v>32907</v>
      </c>
      <c r="Q668">
        <v>586</v>
      </c>
    </row>
    <row r="669" spans="1:17">
      <c r="A669" t="s">
        <v>97</v>
      </c>
      <c r="B669" t="s">
        <v>10</v>
      </c>
      <c r="C669">
        <v>34</v>
      </c>
      <c r="D669" t="s">
        <v>100</v>
      </c>
      <c r="E669">
        <v>616</v>
      </c>
      <c r="K669" t="str" cm="1">
        <f t="array" aca="1" ref="K669" ca="1">INDIRECT(_xlfn.CONCAT("A",$Q669))</f>
        <v>connection_phase</v>
      </c>
      <c r="L669" t="str" cm="1">
        <f t="array" aca="1" ref="L669" ca="1">INDIRECT(_xlfn.CONCAT("B",$Q669))</f>
        <v>SPVA_CERTMON</v>
      </c>
      <c r="M669" cm="1">
        <f t="array" aca="1" ref="M669" ca="1">INDIRECT(_xlfn.CONCAT("C",$Q669))</f>
        <v>18</v>
      </c>
      <c r="N669" t="str" cm="1">
        <f t="array" aca="1" ref="N669" ca="1">INDIRECT(_xlfn.CONCAT("D",$Q669))</f>
        <v>total</v>
      </c>
      <c r="O669" cm="1">
        <f t="array" aca="1" ref="O669" ca="1">INDIRECT(_xlfn.CONCAT("E",$Q669))</f>
        <v>35440</v>
      </c>
      <c r="Q669">
        <v>591</v>
      </c>
    </row>
    <row r="670" spans="1:17">
      <c r="A670" t="s">
        <v>97</v>
      </c>
      <c r="B670" t="s">
        <v>10</v>
      </c>
      <c r="C670">
        <v>34</v>
      </c>
      <c r="D670" t="s">
        <v>101</v>
      </c>
      <c r="E670">
        <v>17600</v>
      </c>
      <c r="K670" t="str" cm="1">
        <f t="array" aca="1" ref="K670" ca="1">INDIRECT(_xlfn.CONCAT("A",$Q670))</f>
        <v>connection_phase</v>
      </c>
      <c r="L670" t="str" cm="1">
        <f t="array" aca="1" ref="L670" ca="1">INDIRECT(_xlfn.CONCAT("B",$Q670))</f>
        <v>SPVA_CERTMON</v>
      </c>
      <c r="M670" cm="1">
        <f t="array" aca="1" ref="M670" ca="1">INDIRECT(_xlfn.CONCAT("C",$Q670))</f>
        <v>19</v>
      </c>
      <c r="N670" t="str" cm="1">
        <f t="array" aca="1" ref="N670" ca="1">INDIRECT(_xlfn.CONCAT("D",$Q670))</f>
        <v>total</v>
      </c>
      <c r="O670" cm="1">
        <f t="array" aca="1" ref="O670" ca="1">INDIRECT(_xlfn.CONCAT("E",$Q670))</f>
        <v>35576</v>
      </c>
      <c r="Q670">
        <v>596</v>
      </c>
    </row>
    <row r="671" spans="1:17">
      <c r="A671" t="s">
        <v>97</v>
      </c>
      <c r="B671" t="s">
        <v>10</v>
      </c>
      <c r="C671">
        <v>34</v>
      </c>
      <c r="D671" t="s">
        <v>102</v>
      </c>
      <c r="E671">
        <v>36954</v>
      </c>
      <c r="K671" t="str" cm="1">
        <f t="array" aca="1" ref="K671" ca="1">INDIRECT(_xlfn.CONCAT("A",$Q671))</f>
        <v>connection_phase</v>
      </c>
      <c r="L671" t="str" cm="1">
        <f t="array" aca="1" ref="L671" ca="1">INDIRECT(_xlfn.CONCAT("B",$Q671))</f>
        <v>SPVA_CERTMON</v>
      </c>
      <c r="M671" cm="1">
        <f t="array" aca="1" ref="M671" ca="1">INDIRECT(_xlfn.CONCAT("C",$Q671))</f>
        <v>20</v>
      </c>
      <c r="N671" t="str" cm="1">
        <f t="array" aca="1" ref="N671" ca="1">INDIRECT(_xlfn.CONCAT("D",$Q671))</f>
        <v>total</v>
      </c>
      <c r="O671" cm="1">
        <f t="array" aca="1" ref="O671" ca="1">INDIRECT(_xlfn.CONCAT("E",$Q671))</f>
        <v>32810</v>
      </c>
      <c r="Q671">
        <v>601</v>
      </c>
    </row>
    <row r="672" spans="1:17">
      <c r="A672" t="s">
        <v>97</v>
      </c>
      <c r="B672" t="s">
        <v>10</v>
      </c>
      <c r="C672">
        <v>35</v>
      </c>
      <c r="D672" t="s">
        <v>98</v>
      </c>
      <c r="E672">
        <v>7372</v>
      </c>
      <c r="K672" t="str" cm="1">
        <f t="array" aca="1" ref="K672" ca="1">INDIRECT(_xlfn.CONCAT("A",$Q672))</f>
        <v>connection_phase</v>
      </c>
      <c r="L672" t="str" cm="1">
        <f t="array" aca="1" ref="L672" ca="1">INDIRECT(_xlfn.CONCAT("B",$Q672))</f>
        <v>SPVA_CERTMON</v>
      </c>
      <c r="M672" cm="1">
        <f t="array" aca="1" ref="M672" ca="1">INDIRECT(_xlfn.CONCAT("C",$Q672))</f>
        <v>21</v>
      </c>
      <c r="N672" t="str" cm="1">
        <f t="array" aca="1" ref="N672" ca="1">INDIRECT(_xlfn.CONCAT("D",$Q672))</f>
        <v>total</v>
      </c>
      <c r="O672" cm="1">
        <f t="array" aca="1" ref="O672" ca="1">INDIRECT(_xlfn.CONCAT("E",$Q672))</f>
        <v>40771</v>
      </c>
      <c r="Q672">
        <v>606</v>
      </c>
    </row>
    <row r="673" spans="1:17">
      <c r="A673" t="s">
        <v>97</v>
      </c>
      <c r="B673" t="s">
        <v>10</v>
      </c>
      <c r="C673">
        <v>35</v>
      </c>
      <c r="D673" t="s">
        <v>99</v>
      </c>
      <c r="E673">
        <v>17431</v>
      </c>
      <c r="K673" t="str" cm="1">
        <f t="array" aca="1" ref="K673" ca="1">INDIRECT(_xlfn.CONCAT("A",$Q673))</f>
        <v>connection_phase</v>
      </c>
      <c r="L673" t="str" cm="1">
        <f t="array" aca="1" ref="L673" ca="1">INDIRECT(_xlfn.CONCAT("B",$Q673))</f>
        <v>SPVA_CERTMON</v>
      </c>
      <c r="M673" cm="1">
        <f t="array" aca="1" ref="M673" ca="1">INDIRECT(_xlfn.CONCAT("C",$Q673))</f>
        <v>22</v>
      </c>
      <c r="N673" t="str" cm="1">
        <f t="array" aca="1" ref="N673" ca="1">INDIRECT(_xlfn.CONCAT("D",$Q673))</f>
        <v>total</v>
      </c>
      <c r="O673" cm="1">
        <f t="array" aca="1" ref="O673" ca="1">INDIRECT(_xlfn.CONCAT("E",$Q673))</f>
        <v>28028</v>
      </c>
      <c r="Q673">
        <v>611</v>
      </c>
    </row>
    <row r="674" spans="1:17">
      <c r="A674" t="s">
        <v>97</v>
      </c>
      <c r="B674" t="s">
        <v>10</v>
      </c>
      <c r="C674">
        <v>35</v>
      </c>
      <c r="D674" t="s">
        <v>100</v>
      </c>
      <c r="E674">
        <v>877</v>
      </c>
      <c r="K674" t="str" cm="1">
        <f t="array" aca="1" ref="K674" ca="1">INDIRECT(_xlfn.CONCAT("A",$Q674))</f>
        <v>connection_phase</v>
      </c>
      <c r="L674" t="str" cm="1">
        <f t="array" aca="1" ref="L674" ca="1">INDIRECT(_xlfn.CONCAT("B",$Q674))</f>
        <v>SPVA_CERTMON</v>
      </c>
      <c r="M674" cm="1">
        <f t="array" aca="1" ref="M674" ca="1">INDIRECT(_xlfn.CONCAT("C",$Q674))</f>
        <v>23</v>
      </c>
      <c r="N674" t="str" cm="1">
        <f t="array" aca="1" ref="N674" ca="1">INDIRECT(_xlfn.CONCAT("D",$Q674))</f>
        <v>total</v>
      </c>
      <c r="O674" cm="1">
        <f t="array" aca="1" ref="O674" ca="1">INDIRECT(_xlfn.CONCAT("E",$Q674))</f>
        <v>33358</v>
      </c>
      <c r="Q674">
        <v>616</v>
      </c>
    </row>
    <row r="675" spans="1:17">
      <c r="A675" t="s">
        <v>97</v>
      </c>
      <c r="B675" t="s">
        <v>10</v>
      </c>
      <c r="C675">
        <v>35</v>
      </c>
      <c r="D675" t="s">
        <v>101</v>
      </c>
      <c r="E675">
        <v>14551</v>
      </c>
      <c r="K675" t="str" cm="1">
        <f t="array" aca="1" ref="K675" ca="1">INDIRECT(_xlfn.CONCAT("A",$Q675))</f>
        <v>connection_phase</v>
      </c>
      <c r="L675" t="str" cm="1">
        <f t="array" aca="1" ref="L675" ca="1">INDIRECT(_xlfn.CONCAT("B",$Q675))</f>
        <v>SPVA_CERTMON</v>
      </c>
      <c r="M675" cm="1">
        <f t="array" aca="1" ref="M675" ca="1">INDIRECT(_xlfn.CONCAT("C",$Q675))</f>
        <v>24</v>
      </c>
      <c r="N675" t="str" cm="1">
        <f t="array" aca="1" ref="N675" ca="1">INDIRECT(_xlfn.CONCAT("D",$Q675))</f>
        <v>total</v>
      </c>
      <c r="O675" cm="1">
        <f t="array" aca="1" ref="O675" ca="1">INDIRECT(_xlfn.CONCAT("E",$Q675))</f>
        <v>29018</v>
      </c>
      <c r="Q675">
        <v>621</v>
      </c>
    </row>
    <row r="676" spans="1:17">
      <c r="A676" t="s">
        <v>97</v>
      </c>
      <c r="B676" t="s">
        <v>10</v>
      </c>
      <c r="C676">
        <v>35</v>
      </c>
      <c r="D676" t="s">
        <v>102</v>
      </c>
      <c r="E676">
        <v>40231</v>
      </c>
      <c r="K676" t="str" cm="1">
        <f t="array" aca="1" ref="K676" ca="1">INDIRECT(_xlfn.CONCAT("A",$Q676))</f>
        <v>connection_phase</v>
      </c>
      <c r="L676" t="str" cm="1">
        <f t="array" aca="1" ref="L676" ca="1">INDIRECT(_xlfn.CONCAT("B",$Q676))</f>
        <v>SPVA_CERTMON</v>
      </c>
      <c r="M676" cm="1">
        <f t="array" aca="1" ref="M676" ca="1">INDIRECT(_xlfn.CONCAT("C",$Q676))</f>
        <v>25</v>
      </c>
      <c r="N676" t="str" cm="1">
        <f t="array" aca="1" ref="N676" ca="1">INDIRECT(_xlfn.CONCAT("D",$Q676))</f>
        <v>total</v>
      </c>
      <c r="O676" cm="1">
        <f t="array" aca="1" ref="O676" ca="1">INDIRECT(_xlfn.CONCAT("E",$Q676))</f>
        <v>29622</v>
      </c>
      <c r="Q676">
        <v>626</v>
      </c>
    </row>
    <row r="677" spans="1:17">
      <c r="A677" t="s">
        <v>97</v>
      </c>
      <c r="B677" t="s">
        <v>10</v>
      </c>
      <c r="C677">
        <v>36</v>
      </c>
      <c r="D677" t="s">
        <v>98</v>
      </c>
      <c r="E677">
        <v>2921</v>
      </c>
      <c r="K677" t="str" cm="1">
        <f t="array" aca="1" ref="K677" ca="1">INDIRECT(_xlfn.CONCAT("A",$Q677))</f>
        <v>connection_phase</v>
      </c>
      <c r="L677" t="str" cm="1">
        <f t="array" aca="1" ref="L677" ca="1">INDIRECT(_xlfn.CONCAT("B",$Q677))</f>
        <v>SPVA_CERTMON</v>
      </c>
      <c r="M677" cm="1">
        <f t="array" aca="1" ref="M677" ca="1">INDIRECT(_xlfn.CONCAT("C",$Q677))</f>
        <v>26</v>
      </c>
      <c r="N677" t="str" cm="1">
        <f t="array" aca="1" ref="N677" ca="1">INDIRECT(_xlfn.CONCAT("D",$Q677))</f>
        <v>total</v>
      </c>
      <c r="O677" cm="1">
        <f t="array" aca="1" ref="O677" ca="1">INDIRECT(_xlfn.CONCAT("E",$Q677))</f>
        <v>39412</v>
      </c>
      <c r="Q677">
        <v>631</v>
      </c>
    </row>
    <row r="678" spans="1:17">
      <c r="A678" t="s">
        <v>97</v>
      </c>
      <c r="B678" t="s">
        <v>10</v>
      </c>
      <c r="C678">
        <v>36</v>
      </c>
      <c r="D678" t="s">
        <v>99</v>
      </c>
      <c r="E678">
        <v>12729</v>
      </c>
      <c r="K678" t="str" cm="1">
        <f t="array" aca="1" ref="K678" ca="1">INDIRECT(_xlfn.CONCAT("A",$Q678))</f>
        <v>connection_phase</v>
      </c>
      <c r="L678" t="str" cm="1">
        <f t="array" aca="1" ref="L678" ca="1">INDIRECT(_xlfn.CONCAT("B",$Q678))</f>
        <v>SPVA_CERTMON</v>
      </c>
      <c r="M678" cm="1">
        <f t="array" aca="1" ref="M678" ca="1">INDIRECT(_xlfn.CONCAT("C",$Q678))</f>
        <v>27</v>
      </c>
      <c r="N678" t="str" cm="1">
        <f t="array" aca="1" ref="N678" ca="1">INDIRECT(_xlfn.CONCAT("D",$Q678))</f>
        <v>total</v>
      </c>
      <c r="O678" cm="1">
        <f t="array" aca="1" ref="O678" ca="1">INDIRECT(_xlfn.CONCAT("E",$Q678))</f>
        <v>30359</v>
      </c>
      <c r="Q678">
        <v>636</v>
      </c>
    </row>
    <row r="679" spans="1:17">
      <c r="A679" t="s">
        <v>97</v>
      </c>
      <c r="B679" t="s">
        <v>10</v>
      </c>
      <c r="C679">
        <v>36</v>
      </c>
      <c r="D679" t="s">
        <v>100</v>
      </c>
      <c r="E679">
        <v>673</v>
      </c>
      <c r="K679" t="str" cm="1">
        <f t="array" aca="1" ref="K679" ca="1">INDIRECT(_xlfn.CONCAT("A",$Q679))</f>
        <v>connection_phase</v>
      </c>
      <c r="L679" t="str" cm="1">
        <f t="array" aca="1" ref="L679" ca="1">INDIRECT(_xlfn.CONCAT("B",$Q679))</f>
        <v>SPVA_CERTMON</v>
      </c>
      <c r="M679" cm="1">
        <f t="array" aca="1" ref="M679" ca="1">INDIRECT(_xlfn.CONCAT("C",$Q679))</f>
        <v>28</v>
      </c>
      <c r="N679" t="str" cm="1">
        <f t="array" aca="1" ref="N679" ca="1">INDIRECT(_xlfn.CONCAT("D",$Q679))</f>
        <v>total</v>
      </c>
      <c r="O679" cm="1">
        <f t="array" aca="1" ref="O679" ca="1">INDIRECT(_xlfn.CONCAT("E",$Q679))</f>
        <v>28044</v>
      </c>
      <c r="Q679">
        <v>641</v>
      </c>
    </row>
    <row r="680" spans="1:17">
      <c r="A680" t="s">
        <v>97</v>
      </c>
      <c r="B680" t="s">
        <v>10</v>
      </c>
      <c r="C680">
        <v>36</v>
      </c>
      <c r="D680" t="s">
        <v>101</v>
      </c>
      <c r="E680">
        <v>15955</v>
      </c>
      <c r="K680" t="str" cm="1">
        <f t="array" aca="1" ref="K680" ca="1">INDIRECT(_xlfn.CONCAT("A",$Q680))</f>
        <v>connection_phase</v>
      </c>
      <c r="L680" t="str" cm="1">
        <f t="array" aca="1" ref="L680" ca="1">INDIRECT(_xlfn.CONCAT("B",$Q680))</f>
        <v>SPVA_CERTMON</v>
      </c>
      <c r="M680" cm="1">
        <f t="array" aca="1" ref="M680" ca="1">INDIRECT(_xlfn.CONCAT("C",$Q680))</f>
        <v>29</v>
      </c>
      <c r="N680" t="str" cm="1">
        <f t="array" aca="1" ref="N680" ca="1">INDIRECT(_xlfn.CONCAT("D",$Q680))</f>
        <v>total</v>
      </c>
      <c r="O680" cm="1">
        <f t="array" aca="1" ref="O680" ca="1">INDIRECT(_xlfn.CONCAT("E",$Q680))</f>
        <v>32790</v>
      </c>
      <c r="Q680">
        <v>646</v>
      </c>
    </row>
    <row r="681" spans="1:17">
      <c r="A681" t="s">
        <v>97</v>
      </c>
      <c r="B681" t="s">
        <v>10</v>
      </c>
      <c r="C681">
        <v>36</v>
      </c>
      <c r="D681" t="s">
        <v>102</v>
      </c>
      <c r="E681">
        <v>32278</v>
      </c>
      <c r="K681" t="str" cm="1">
        <f t="array" aca="1" ref="K681" ca="1">INDIRECT(_xlfn.CONCAT("A",$Q681))</f>
        <v>connection_phase</v>
      </c>
      <c r="L681" t="str" cm="1">
        <f t="array" aca="1" ref="L681" ca="1">INDIRECT(_xlfn.CONCAT("B",$Q681))</f>
        <v>SPVA_CERTMON</v>
      </c>
      <c r="M681" cm="1">
        <f t="array" aca="1" ref="M681" ca="1">INDIRECT(_xlfn.CONCAT("C",$Q681))</f>
        <v>30</v>
      </c>
      <c r="N681" t="str" cm="1">
        <f t="array" aca="1" ref="N681" ca="1">INDIRECT(_xlfn.CONCAT("D",$Q681))</f>
        <v>total</v>
      </c>
      <c r="O681" cm="1">
        <f t="array" aca="1" ref="O681" ca="1">INDIRECT(_xlfn.CONCAT("E",$Q681))</f>
        <v>25309</v>
      </c>
      <c r="Q681">
        <v>651</v>
      </c>
    </row>
    <row r="682" spans="1:17">
      <c r="A682" t="s">
        <v>97</v>
      </c>
      <c r="B682" t="s">
        <v>10</v>
      </c>
      <c r="C682">
        <v>37</v>
      </c>
      <c r="D682" t="s">
        <v>98</v>
      </c>
      <c r="E682">
        <v>2750</v>
      </c>
      <c r="K682" t="str" cm="1">
        <f t="array" aca="1" ref="K682" ca="1">INDIRECT(_xlfn.CONCAT("A",$Q682))</f>
        <v>connection_phase</v>
      </c>
      <c r="L682" t="str" cm="1">
        <f t="array" aca="1" ref="L682" ca="1">INDIRECT(_xlfn.CONCAT("B",$Q682))</f>
        <v>SPVA_CERTMON</v>
      </c>
      <c r="M682" cm="1">
        <f t="array" aca="1" ref="M682" ca="1">INDIRECT(_xlfn.CONCAT("C",$Q682))</f>
        <v>31</v>
      </c>
      <c r="N682" t="str" cm="1">
        <f t="array" aca="1" ref="N682" ca="1">INDIRECT(_xlfn.CONCAT("D",$Q682))</f>
        <v>total</v>
      </c>
      <c r="O682" cm="1">
        <f t="array" aca="1" ref="O682" ca="1">INDIRECT(_xlfn.CONCAT("E",$Q682))</f>
        <v>36565</v>
      </c>
      <c r="Q682">
        <v>656</v>
      </c>
    </row>
    <row r="683" spans="1:17">
      <c r="A683" t="s">
        <v>97</v>
      </c>
      <c r="B683" t="s">
        <v>10</v>
      </c>
      <c r="C683">
        <v>37</v>
      </c>
      <c r="D683" t="s">
        <v>99</v>
      </c>
      <c r="E683">
        <v>15936</v>
      </c>
      <c r="K683" t="str" cm="1">
        <f t="array" aca="1" ref="K683" ca="1">INDIRECT(_xlfn.CONCAT("A",$Q683))</f>
        <v>connection_phase</v>
      </c>
      <c r="L683" t="str" cm="1">
        <f t="array" aca="1" ref="L683" ca="1">INDIRECT(_xlfn.CONCAT("B",$Q683))</f>
        <v>SPVA_CERTMON</v>
      </c>
      <c r="M683" cm="1">
        <f t="array" aca="1" ref="M683" ca="1">INDIRECT(_xlfn.CONCAT("C",$Q683))</f>
        <v>32</v>
      </c>
      <c r="N683" t="str" cm="1">
        <f t="array" aca="1" ref="N683" ca="1">INDIRECT(_xlfn.CONCAT("D",$Q683))</f>
        <v>total</v>
      </c>
      <c r="O683" cm="1">
        <f t="array" aca="1" ref="O683" ca="1">INDIRECT(_xlfn.CONCAT("E",$Q683))</f>
        <v>35218</v>
      </c>
      <c r="Q683">
        <v>661</v>
      </c>
    </row>
    <row r="684" spans="1:17">
      <c r="A684" t="s">
        <v>97</v>
      </c>
      <c r="B684" t="s">
        <v>10</v>
      </c>
      <c r="C684">
        <v>37</v>
      </c>
      <c r="D684" t="s">
        <v>100</v>
      </c>
      <c r="E684">
        <v>1141</v>
      </c>
      <c r="K684" t="str" cm="1">
        <f t="array" aca="1" ref="K684" ca="1">INDIRECT(_xlfn.CONCAT("A",$Q684))</f>
        <v>connection_phase</v>
      </c>
      <c r="L684" t="str" cm="1">
        <f t="array" aca="1" ref="L684" ca="1">INDIRECT(_xlfn.CONCAT("B",$Q684))</f>
        <v>SPVA_CERTMON</v>
      </c>
      <c r="M684" cm="1">
        <f t="array" aca="1" ref="M684" ca="1">INDIRECT(_xlfn.CONCAT("C",$Q684))</f>
        <v>33</v>
      </c>
      <c r="N684" t="str" cm="1">
        <f t="array" aca="1" ref="N684" ca="1">INDIRECT(_xlfn.CONCAT("D",$Q684))</f>
        <v>total</v>
      </c>
      <c r="O684" cm="1">
        <f t="array" aca="1" ref="O684" ca="1">INDIRECT(_xlfn.CONCAT("E",$Q684))</f>
        <v>30623</v>
      </c>
      <c r="Q684">
        <v>666</v>
      </c>
    </row>
    <row r="685" spans="1:17">
      <c r="A685" t="s">
        <v>97</v>
      </c>
      <c r="B685" t="s">
        <v>10</v>
      </c>
      <c r="C685">
        <v>37</v>
      </c>
      <c r="D685" t="s">
        <v>101</v>
      </c>
      <c r="E685">
        <v>13841</v>
      </c>
      <c r="K685" t="str" cm="1">
        <f t="array" aca="1" ref="K685" ca="1">INDIRECT(_xlfn.CONCAT("A",$Q685))</f>
        <v>connection_phase</v>
      </c>
      <c r="L685" t="str" cm="1">
        <f t="array" aca="1" ref="L685" ca="1">INDIRECT(_xlfn.CONCAT("B",$Q685))</f>
        <v>SPVA_CERTMON</v>
      </c>
      <c r="M685" cm="1">
        <f t="array" aca="1" ref="M685" ca="1">INDIRECT(_xlfn.CONCAT("C",$Q685))</f>
        <v>34</v>
      </c>
      <c r="N685" t="str" cm="1">
        <f t="array" aca="1" ref="N685" ca="1">INDIRECT(_xlfn.CONCAT("D",$Q685))</f>
        <v>total</v>
      </c>
      <c r="O685" cm="1">
        <f t="array" aca="1" ref="O685" ca="1">INDIRECT(_xlfn.CONCAT("E",$Q685))</f>
        <v>36954</v>
      </c>
      <c r="Q685">
        <v>671</v>
      </c>
    </row>
    <row r="686" spans="1:17">
      <c r="A686" t="s">
        <v>97</v>
      </c>
      <c r="B686" t="s">
        <v>10</v>
      </c>
      <c r="C686">
        <v>37</v>
      </c>
      <c r="D686" t="s">
        <v>102</v>
      </c>
      <c r="E686">
        <v>33668</v>
      </c>
      <c r="K686" t="str" cm="1">
        <f t="array" aca="1" ref="K686" ca="1">INDIRECT(_xlfn.CONCAT("A",$Q686))</f>
        <v>connection_phase</v>
      </c>
      <c r="L686" t="str" cm="1">
        <f t="array" aca="1" ref="L686" ca="1">INDIRECT(_xlfn.CONCAT("B",$Q686))</f>
        <v>SPVA_CERTMON</v>
      </c>
      <c r="M686" cm="1">
        <f t="array" aca="1" ref="M686" ca="1">INDIRECT(_xlfn.CONCAT("C",$Q686))</f>
        <v>35</v>
      </c>
      <c r="N686" t="str" cm="1">
        <f t="array" aca="1" ref="N686" ca="1">INDIRECT(_xlfn.CONCAT("D",$Q686))</f>
        <v>total</v>
      </c>
      <c r="O686" cm="1">
        <f t="array" aca="1" ref="O686" ca="1">INDIRECT(_xlfn.CONCAT("E",$Q686))</f>
        <v>40231</v>
      </c>
      <c r="Q686">
        <v>676</v>
      </c>
    </row>
    <row r="687" spans="1:17">
      <c r="A687" t="s">
        <v>97</v>
      </c>
      <c r="B687" t="s">
        <v>10</v>
      </c>
      <c r="C687">
        <v>38</v>
      </c>
      <c r="D687" t="s">
        <v>98</v>
      </c>
      <c r="E687">
        <v>1653</v>
      </c>
      <c r="K687" t="str" cm="1">
        <f t="array" aca="1" ref="K687" ca="1">INDIRECT(_xlfn.CONCAT("A",$Q687))</f>
        <v>connection_phase</v>
      </c>
      <c r="L687" t="str" cm="1">
        <f t="array" aca="1" ref="L687" ca="1">INDIRECT(_xlfn.CONCAT("B",$Q687))</f>
        <v>SPVA_CERTMON</v>
      </c>
      <c r="M687" cm="1">
        <f t="array" aca="1" ref="M687" ca="1">INDIRECT(_xlfn.CONCAT("C",$Q687))</f>
        <v>36</v>
      </c>
      <c r="N687" t="str" cm="1">
        <f t="array" aca="1" ref="N687" ca="1">INDIRECT(_xlfn.CONCAT("D",$Q687))</f>
        <v>total</v>
      </c>
      <c r="O687" cm="1">
        <f t="array" aca="1" ref="O687" ca="1">INDIRECT(_xlfn.CONCAT("E",$Q687))</f>
        <v>32278</v>
      </c>
      <c r="Q687">
        <v>681</v>
      </c>
    </row>
    <row r="688" spans="1:17">
      <c r="A688" t="s">
        <v>97</v>
      </c>
      <c r="B688" t="s">
        <v>10</v>
      </c>
      <c r="C688">
        <v>38</v>
      </c>
      <c r="D688" t="s">
        <v>99</v>
      </c>
      <c r="E688">
        <v>16000</v>
      </c>
      <c r="K688" t="str" cm="1">
        <f t="array" aca="1" ref="K688" ca="1">INDIRECT(_xlfn.CONCAT("A",$Q688))</f>
        <v>connection_phase</v>
      </c>
      <c r="L688" t="str" cm="1">
        <f t="array" aca="1" ref="L688" ca="1">INDIRECT(_xlfn.CONCAT("B",$Q688))</f>
        <v>SPVA_CERTMON</v>
      </c>
      <c r="M688" cm="1">
        <f t="array" aca="1" ref="M688" ca="1">INDIRECT(_xlfn.CONCAT("C",$Q688))</f>
        <v>37</v>
      </c>
      <c r="N688" t="str" cm="1">
        <f t="array" aca="1" ref="N688" ca="1">INDIRECT(_xlfn.CONCAT("D",$Q688))</f>
        <v>total</v>
      </c>
      <c r="O688" cm="1">
        <f t="array" aca="1" ref="O688" ca="1">INDIRECT(_xlfn.CONCAT("E",$Q688))</f>
        <v>33668</v>
      </c>
      <c r="Q688">
        <v>686</v>
      </c>
    </row>
    <row r="689" spans="1:17">
      <c r="A689" t="s">
        <v>97</v>
      </c>
      <c r="B689" t="s">
        <v>10</v>
      </c>
      <c r="C689">
        <v>38</v>
      </c>
      <c r="D689" t="s">
        <v>100</v>
      </c>
      <c r="E689">
        <v>621</v>
      </c>
      <c r="K689" t="str" cm="1">
        <f t="array" aca="1" ref="K689" ca="1">INDIRECT(_xlfn.CONCAT("A",$Q689))</f>
        <v>connection_phase</v>
      </c>
      <c r="L689" t="str" cm="1">
        <f t="array" aca="1" ref="L689" ca="1">INDIRECT(_xlfn.CONCAT("B",$Q689))</f>
        <v>SPVA_CERTMON</v>
      </c>
      <c r="M689" cm="1">
        <f t="array" aca="1" ref="M689" ca="1">INDIRECT(_xlfn.CONCAT("C",$Q689))</f>
        <v>38</v>
      </c>
      <c r="N689" t="str" cm="1">
        <f t="array" aca="1" ref="N689" ca="1">INDIRECT(_xlfn.CONCAT("D",$Q689))</f>
        <v>total</v>
      </c>
      <c r="O689" cm="1">
        <f t="array" aca="1" ref="O689" ca="1">INDIRECT(_xlfn.CONCAT("E",$Q689))</f>
        <v>33857</v>
      </c>
      <c r="Q689">
        <v>691</v>
      </c>
    </row>
    <row r="690" spans="1:17">
      <c r="A690" t="s">
        <v>97</v>
      </c>
      <c r="B690" t="s">
        <v>10</v>
      </c>
      <c r="C690">
        <v>38</v>
      </c>
      <c r="D690" t="s">
        <v>101</v>
      </c>
      <c r="E690">
        <v>15583</v>
      </c>
      <c r="K690" t="str" cm="1">
        <f t="array" aca="1" ref="K690" ca="1">INDIRECT(_xlfn.CONCAT("A",$Q690))</f>
        <v>connection_phase</v>
      </c>
      <c r="L690" t="str" cm="1">
        <f t="array" aca="1" ref="L690" ca="1">INDIRECT(_xlfn.CONCAT("B",$Q690))</f>
        <v>SPVA_CERTMON</v>
      </c>
      <c r="M690" cm="1">
        <f t="array" aca="1" ref="M690" ca="1">INDIRECT(_xlfn.CONCAT("C",$Q690))</f>
        <v>39</v>
      </c>
      <c r="N690" t="str" cm="1">
        <f t="array" aca="1" ref="N690" ca="1">INDIRECT(_xlfn.CONCAT("D",$Q690))</f>
        <v>total</v>
      </c>
      <c r="O690" cm="1">
        <f t="array" aca="1" ref="O690" ca="1">INDIRECT(_xlfn.CONCAT("E",$Q690))</f>
        <v>32922</v>
      </c>
      <c r="Q690">
        <v>696</v>
      </c>
    </row>
    <row r="691" spans="1:17">
      <c r="A691" t="s">
        <v>97</v>
      </c>
      <c r="B691" t="s">
        <v>10</v>
      </c>
      <c r="C691">
        <v>38</v>
      </c>
      <c r="D691" t="s">
        <v>102</v>
      </c>
      <c r="E691">
        <v>33857</v>
      </c>
      <c r="K691" t="str" cm="1">
        <f t="array" aca="1" ref="K691" ca="1">INDIRECT(_xlfn.CONCAT("A",$Q691))</f>
        <v>connection_phase</v>
      </c>
      <c r="L691" t="str" cm="1">
        <f t="array" aca="1" ref="L691" ca="1">INDIRECT(_xlfn.CONCAT("B",$Q691))</f>
        <v>SPVA_CERTMON</v>
      </c>
      <c r="M691" cm="1">
        <f t="array" aca="1" ref="M691" ca="1">INDIRECT(_xlfn.CONCAT("C",$Q691))</f>
        <v>40</v>
      </c>
      <c r="N691" t="str" cm="1">
        <f t="array" aca="1" ref="N691" ca="1">INDIRECT(_xlfn.CONCAT("D",$Q691))</f>
        <v>total</v>
      </c>
      <c r="O691" cm="1">
        <f t="array" aca="1" ref="O691" ca="1">INDIRECT(_xlfn.CONCAT("E",$Q691))</f>
        <v>32584</v>
      </c>
      <c r="Q691">
        <v>701</v>
      </c>
    </row>
    <row r="692" spans="1:17">
      <c r="A692" t="s">
        <v>97</v>
      </c>
      <c r="B692" t="s">
        <v>10</v>
      </c>
      <c r="C692">
        <v>39</v>
      </c>
      <c r="D692" t="s">
        <v>98</v>
      </c>
      <c r="E692">
        <v>2980</v>
      </c>
      <c r="K692" t="str" cm="1">
        <f t="array" aca="1" ref="K692" ca="1">INDIRECT(_xlfn.CONCAT("A",$Q692))</f>
        <v>connection_phase</v>
      </c>
      <c r="L692" t="str" cm="1">
        <f t="array" aca="1" ref="L692" ca="1">INDIRECT(_xlfn.CONCAT("B",$Q692))</f>
        <v>SPVA_CERTMON</v>
      </c>
      <c r="M692" cm="1">
        <f t="array" aca="1" ref="M692" ca="1">INDIRECT(_xlfn.CONCAT("C",$Q692))</f>
        <v>41</v>
      </c>
      <c r="N692" t="str" cm="1">
        <f t="array" aca="1" ref="N692" ca="1">INDIRECT(_xlfn.CONCAT("D",$Q692))</f>
        <v>total</v>
      </c>
      <c r="O692" cm="1">
        <f t="array" aca="1" ref="O692" ca="1">INDIRECT(_xlfn.CONCAT("E",$Q692))</f>
        <v>31818</v>
      </c>
      <c r="Q692">
        <v>706</v>
      </c>
    </row>
    <row r="693" spans="1:17">
      <c r="A693" t="s">
        <v>97</v>
      </c>
      <c r="B693" t="s">
        <v>10</v>
      </c>
      <c r="C693">
        <v>39</v>
      </c>
      <c r="D693" t="s">
        <v>99</v>
      </c>
      <c r="E693">
        <v>14681</v>
      </c>
      <c r="K693" t="str" cm="1">
        <f t="array" aca="1" ref="K693" ca="1">INDIRECT(_xlfn.CONCAT("A",$Q693))</f>
        <v>connection_phase</v>
      </c>
      <c r="L693" t="str" cm="1">
        <f t="array" aca="1" ref="L693" ca="1">INDIRECT(_xlfn.CONCAT("B",$Q693))</f>
        <v>SPVA_CERTMON</v>
      </c>
      <c r="M693" cm="1">
        <f t="array" aca="1" ref="M693" ca="1">INDIRECT(_xlfn.CONCAT("C",$Q693))</f>
        <v>42</v>
      </c>
      <c r="N693" t="str" cm="1">
        <f t="array" aca="1" ref="N693" ca="1">INDIRECT(_xlfn.CONCAT("D",$Q693))</f>
        <v>total</v>
      </c>
      <c r="O693" cm="1">
        <f t="array" aca="1" ref="O693" ca="1">INDIRECT(_xlfn.CONCAT("E",$Q693))</f>
        <v>39549</v>
      </c>
      <c r="Q693">
        <v>711</v>
      </c>
    </row>
    <row r="694" spans="1:17">
      <c r="A694" t="s">
        <v>97</v>
      </c>
      <c r="B694" t="s">
        <v>10</v>
      </c>
      <c r="C694">
        <v>39</v>
      </c>
      <c r="D694" t="s">
        <v>100</v>
      </c>
      <c r="E694">
        <v>604</v>
      </c>
      <c r="K694" t="str" cm="1">
        <f t="array" aca="1" ref="K694" ca="1">INDIRECT(_xlfn.CONCAT("A",$Q694))</f>
        <v>connection_phase</v>
      </c>
      <c r="L694" t="str" cm="1">
        <f t="array" aca="1" ref="L694" ca="1">INDIRECT(_xlfn.CONCAT("B",$Q694))</f>
        <v>SPVA_CERTMON</v>
      </c>
      <c r="M694" cm="1">
        <f t="array" aca="1" ref="M694" ca="1">INDIRECT(_xlfn.CONCAT("C",$Q694))</f>
        <v>43</v>
      </c>
      <c r="N694" t="str" cm="1">
        <f t="array" aca="1" ref="N694" ca="1">INDIRECT(_xlfn.CONCAT("D",$Q694))</f>
        <v>total</v>
      </c>
      <c r="O694" cm="1">
        <f t="array" aca="1" ref="O694" ca="1">INDIRECT(_xlfn.CONCAT("E",$Q694))</f>
        <v>37598</v>
      </c>
      <c r="Q694">
        <v>716</v>
      </c>
    </row>
    <row r="695" spans="1:17">
      <c r="A695" t="s">
        <v>97</v>
      </c>
      <c r="B695" t="s">
        <v>10</v>
      </c>
      <c r="C695">
        <v>39</v>
      </c>
      <c r="D695" t="s">
        <v>101</v>
      </c>
      <c r="E695">
        <v>14657</v>
      </c>
      <c r="K695" t="str" cm="1">
        <f t="array" aca="1" ref="K695" ca="1">INDIRECT(_xlfn.CONCAT("A",$Q695))</f>
        <v>connection_phase</v>
      </c>
      <c r="L695" t="str" cm="1">
        <f t="array" aca="1" ref="L695" ca="1">INDIRECT(_xlfn.CONCAT("B",$Q695))</f>
        <v>SPVA_CERTMON</v>
      </c>
      <c r="M695" cm="1">
        <f t="array" aca="1" ref="M695" ca="1">INDIRECT(_xlfn.CONCAT("C",$Q695))</f>
        <v>44</v>
      </c>
      <c r="N695" t="str" cm="1">
        <f t="array" aca="1" ref="N695" ca="1">INDIRECT(_xlfn.CONCAT("D",$Q695))</f>
        <v>total</v>
      </c>
      <c r="O695" cm="1">
        <f t="array" aca="1" ref="O695" ca="1">INDIRECT(_xlfn.CONCAT("E",$Q695))</f>
        <v>38937</v>
      </c>
      <c r="Q695">
        <v>721</v>
      </c>
    </row>
    <row r="696" spans="1:17">
      <c r="A696" t="s">
        <v>97</v>
      </c>
      <c r="B696" t="s">
        <v>10</v>
      </c>
      <c r="C696">
        <v>39</v>
      </c>
      <c r="D696" t="s">
        <v>102</v>
      </c>
      <c r="E696">
        <v>32922</v>
      </c>
      <c r="K696" t="str" cm="1">
        <f t="array" aca="1" ref="K696" ca="1">INDIRECT(_xlfn.CONCAT("A",$Q696))</f>
        <v>connection_phase</v>
      </c>
      <c r="L696" t="str" cm="1">
        <f t="array" aca="1" ref="L696" ca="1">INDIRECT(_xlfn.CONCAT("B",$Q696))</f>
        <v>SPVA_CERTMON</v>
      </c>
      <c r="M696" cm="1">
        <f t="array" aca="1" ref="M696" ca="1">INDIRECT(_xlfn.CONCAT("C",$Q696))</f>
        <v>45</v>
      </c>
      <c r="N696" t="str" cm="1">
        <f t="array" aca="1" ref="N696" ca="1">INDIRECT(_xlfn.CONCAT("D",$Q696))</f>
        <v>total</v>
      </c>
      <c r="O696" cm="1">
        <f t="array" aca="1" ref="O696" ca="1">INDIRECT(_xlfn.CONCAT("E",$Q696))</f>
        <v>31971</v>
      </c>
      <c r="Q696">
        <v>726</v>
      </c>
    </row>
    <row r="697" spans="1:17">
      <c r="A697" t="s">
        <v>97</v>
      </c>
      <c r="B697" t="s">
        <v>10</v>
      </c>
      <c r="C697">
        <v>40</v>
      </c>
      <c r="D697" t="s">
        <v>98</v>
      </c>
      <c r="E697">
        <v>10298</v>
      </c>
      <c r="K697" t="str" cm="1">
        <f t="array" aca="1" ref="K697" ca="1">INDIRECT(_xlfn.CONCAT("A",$Q697))</f>
        <v>connection_phase</v>
      </c>
      <c r="L697" t="str" cm="1">
        <f t="array" aca="1" ref="L697" ca="1">INDIRECT(_xlfn.CONCAT("B",$Q697))</f>
        <v>SPVA_CERTMON</v>
      </c>
      <c r="M697" cm="1">
        <f t="array" aca="1" ref="M697" ca="1">INDIRECT(_xlfn.CONCAT("C",$Q697))</f>
        <v>46</v>
      </c>
      <c r="N697" t="str" cm="1">
        <f t="array" aca="1" ref="N697" ca="1">INDIRECT(_xlfn.CONCAT("D",$Q697))</f>
        <v>total</v>
      </c>
      <c r="O697" cm="1">
        <f t="array" aca="1" ref="O697" ca="1">INDIRECT(_xlfn.CONCAT("E",$Q697))</f>
        <v>41557</v>
      </c>
      <c r="Q697">
        <v>731</v>
      </c>
    </row>
    <row r="698" spans="1:17">
      <c r="A698" t="s">
        <v>97</v>
      </c>
      <c r="B698" t="s">
        <v>10</v>
      </c>
      <c r="C698">
        <v>40</v>
      </c>
      <c r="D698" t="s">
        <v>99</v>
      </c>
      <c r="E698">
        <v>4631</v>
      </c>
      <c r="K698" t="str" cm="1">
        <f t="array" aca="1" ref="K698" ca="1">INDIRECT(_xlfn.CONCAT("A",$Q698))</f>
        <v>connection_phase</v>
      </c>
      <c r="L698" t="str" cm="1">
        <f t="array" aca="1" ref="L698" ca="1">INDIRECT(_xlfn.CONCAT("B",$Q698))</f>
        <v>SPVA_CERTMON</v>
      </c>
      <c r="M698" cm="1">
        <f t="array" aca="1" ref="M698" ca="1">INDIRECT(_xlfn.CONCAT("C",$Q698))</f>
        <v>47</v>
      </c>
      <c r="N698" t="str" cm="1">
        <f t="array" aca="1" ref="N698" ca="1">INDIRECT(_xlfn.CONCAT("D",$Q698))</f>
        <v>total</v>
      </c>
      <c r="O698" cm="1">
        <f t="array" aca="1" ref="O698" ca="1">INDIRECT(_xlfn.CONCAT("E",$Q698))</f>
        <v>29943</v>
      </c>
      <c r="Q698">
        <v>736</v>
      </c>
    </row>
    <row r="699" spans="1:17">
      <c r="A699" t="s">
        <v>97</v>
      </c>
      <c r="B699" t="s">
        <v>10</v>
      </c>
      <c r="C699">
        <v>40</v>
      </c>
      <c r="D699" t="s">
        <v>100</v>
      </c>
      <c r="E699">
        <v>391</v>
      </c>
      <c r="K699" t="str" cm="1">
        <f t="array" aca="1" ref="K699" ca="1">INDIRECT(_xlfn.CONCAT("A",$Q699))</f>
        <v>connection_phase</v>
      </c>
      <c r="L699" t="str" cm="1">
        <f t="array" aca="1" ref="L699" ca="1">INDIRECT(_xlfn.CONCAT("B",$Q699))</f>
        <v>SPVA_CERTMON</v>
      </c>
      <c r="M699" cm="1">
        <f t="array" aca="1" ref="M699" ca="1">INDIRECT(_xlfn.CONCAT("C",$Q699))</f>
        <v>48</v>
      </c>
      <c r="N699" t="str" cm="1">
        <f t="array" aca="1" ref="N699" ca="1">INDIRECT(_xlfn.CONCAT("D",$Q699))</f>
        <v>total</v>
      </c>
      <c r="O699" cm="1">
        <f t="array" aca="1" ref="O699" ca="1">INDIRECT(_xlfn.CONCAT("E",$Q699))</f>
        <v>42098</v>
      </c>
      <c r="Q699">
        <v>741</v>
      </c>
    </row>
    <row r="700" spans="1:17">
      <c r="A700" t="s">
        <v>97</v>
      </c>
      <c r="B700" t="s">
        <v>10</v>
      </c>
      <c r="C700">
        <v>40</v>
      </c>
      <c r="D700" t="s">
        <v>101</v>
      </c>
      <c r="E700">
        <v>17264</v>
      </c>
      <c r="K700" t="str" cm="1">
        <f t="array" aca="1" ref="K700" ca="1">INDIRECT(_xlfn.CONCAT("A",$Q700))</f>
        <v>connection_phase</v>
      </c>
      <c r="L700" t="str" cm="1">
        <f t="array" aca="1" ref="L700" ca="1">INDIRECT(_xlfn.CONCAT("B",$Q700))</f>
        <v>SPVA_CERTMON</v>
      </c>
      <c r="M700" cm="1">
        <f t="array" aca="1" ref="M700" ca="1">INDIRECT(_xlfn.CONCAT("C",$Q700))</f>
        <v>49</v>
      </c>
      <c r="N700" t="str" cm="1">
        <f t="array" aca="1" ref="N700" ca="1">INDIRECT(_xlfn.CONCAT("D",$Q700))</f>
        <v>total</v>
      </c>
      <c r="O700" cm="1">
        <f t="array" aca="1" ref="O700" ca="1">INDIRECT(_xlfn.CONCAT("E",$Q700))</f>
        <v>29735</v>
      </c>
      <c r="Q700">
        <v>746</v>
      </c>
    </row>
    <row r="701" spans="1:17">
      <c r="A701" t="s">
        <v>97</v>
      </c>
      <c r="B701" t="s">
        <v>10</v>
      </c>
      <c r="C701">
        <v>40</v>
      </c>
      <c r="D701" t="s">
        <v>102</v>
      </c>
      <c r="E701">
        <v>32584</v>
      </c>
      <c r="K701" t="str" cm="1">
        <f t="array" aca="1" ref="K701" ca="1">INDIRECT(_xlfn.CONCAT("A",$Q701))</f>
        <v>connection_phase</v>
      </c>
      <c r="L701" t="str" cm="1">
        <f t="array" aca="1" ref="L701" ca="1">INDIRECT(_xlfn.CONCAT("B",$Q701))</f>
        <v>SPVA_CERTMON</v>
      </c>
      <c r="M701" cm="1">
        <f t="array" aca="1" ref="M701" ca="1">INDIRECT(_xlfn.CONCAT("C",$Q701))</f>
        <v>50</v>
      </c>
      <c r="N701" t="str" cm="1">
        <f t="array" aca="1" ref="N701" ca="1">INDIRECT(_xlfn.CONCAT("D",$Q701))</f>
        <v>total</v>
      </c>
      <c r="O701" cm="1">
        <f t="array" aca="1" ref="O701" ca="1">INDIRECT(_xlfn.CONCAT("E",$Q701))</f>
        <v>31177</v>
      </c>
      <c r="Q701">
        <v>751</v>
      </c>
    </row>
    <row r="702" spans="1:17">
      <c r="A702" t="s">
        <v>97</v>
      </c>
      <c r="B702" t="s">
        <v>10</v>
      </c>
      <c r="C702">
        <v>41</v>
      </c>
      <c r="D702" t="s">
        <v>98</v>
      </c>
      <c r="E702">
        <v>1765</v>
      </c>
      <c r="K702" t="str" cm="1">
        <f t="array" aca="1" ref="K702" ca="1">INDIRECT(_xlfn.CONCAT("A",$Q702))</f>
        <v>connection_phase</v>
      </c>
      <c r="L702" t="str" cm="1">
        <f t="array" aca="1" ref="L702" ca="1">INDIRECT(_xlfn.CONCAT("B",$Q702))</f>
        <v>SPVA_CERTMON</v>
      </c>
      <c r="M702" cm="1">
        <f t="array" aca="1" ref="M702" ca="1">INDIRECT(_xlfn.CONCAT("C",$Q702))</f>
        <v>1</v>
      </c>
      <c r="N702" t="str" cm="1">
        <f t="array" aca="1" ref="N702" ca="1">INDIRECT(_xlfn.CONCAT("D",$Q702))</f>
        <v>validation</v>
      </c>
      <c r="O702" cm="1">
        <f t="array" aca="1" ref="O702" ca="1">INDIRECT(_xlfn.CONCAT("E",$Q702))</f>
        <v>618</v>
      </c>
      <c r="Q702">
        <v>504</v>
      </c>
    </row>
    <row r="703" spans="1:17">
      <c r="A703" t="s">
        <v>97</v>
      </c>
      <c r="B703" t="s">
        <v>10</v>
      </c>
      <c r="C703">
        <v>41</v>
      </c>
      <c r="D703" t="s">
        <v>99</v>
      </c>
      <c r="E703">
        <v>13875</v>
      </c>
      <c r="K703" t="str" cm="1">
        <f t="array" aca="1" ref="K703" ca="1">INDIRECT(_xlfn.CONCAT("A",$Q703))</f>
        <v>connection_phase</v>
      </c>
      <c r="L703" t="str" cm="1">
        <f t="array" aca="1" ref="L703" ca="1">INDIRECT(_xlfn.CONCAT("B",$Q703))</f>
        <v>SPVA_CERTMON</v>
      </c>
      <c r="M703" cm="1">
        <f t="array" aca="1" ref="M703" ca="1">INDIRECT(_xlfn.CONCAT("C",$Q703))</f>
        <v>2</v>
      </c>
      <c r="N703" t="str" cm="1">
        <f t="array" aca="1" ref="N703" ca="1">INDIRECT(_xlfn.CONCAT("D",$Q703))</f>
        <v>validation</v>
      </c>
      <c r="O703" cm="1">
        <f t="array" aca="1" ref="O703" ca="1">INDIRECT(_xlfn.CONCAT("E",$Q703))</f>
        <v>752</v>
      </c>
      <c r="Q703">
        <v>509</v>
      </c>
    </row>
    <row r="704" spans="1:17">
      <c r="A704" t="s">
        <v>97</v>
      </c>
      <c r="B704" t="s">
        <v>10</v>
      </c>
      <c r="C704">
        <v>41</v>
      </c>
      <c r="D704" t="s">
        <v>100</v>
      </c>
      <c r="E704">
        <v>874</v>
      </c>
      <c r="K704" t="str" cm="1">
        <f t="array" aca="1" ref="K704" ca="1">INDIRECT(_xlfn.CONCAT("A",$Q704))</f>
        <v>connection_phase</v>
      </c>
      <c r="L704" t="str" cm="1">
        <f t="array" aca="1" ref="L704" ca="1">INDIRECT(_xlfn.CONCAT("B",$Q704))</f>
        <v>SPVA_CERTMON</v>
      </c>
      <c r="M704" cm="1">
        <f t="array" aca="1" ref="M704" ca="1">INDIRECT(_xlfn.CONCAT("C",$Q704))</f>
        <v>3</v>
      </c>
      <c r="N704" t="str" cm="1">
        <f t="array" aca="1" ref="N704" ca="1">INDIRECT(_xlfn.CONCAT("D",$Q704))</f>
        <v>validation</v>
      </c>
      <c r="O704" cm="1">
        <f t="array" aca="1" ref="O704" ca="1">INDIRECT(_xlfn.CONCAT("E",$Q704))</f>
        <v>805</v>
      </c>
      <c r="Q704">
        <v>514</v>
      </c>
    </row>
    <row r="705" spans="1:17">
      <c r="A705" t="s">
        <v>97</v>
      </c>
      <c r="B705" t="s">
        <v>10</v>
      </c>
      <c r="C705">
        <v>41</v>
      </c>
      <c r="D705" t="s">
        <v>101</v>
      </c>
      <c r="E705">
        <v>15304</v>
      </c>
      <c r="K705" t="str" cm="1">
        <f t="array" aca="1" ref="K705" ca="1">INDIRECT(_xlfn.CONCAT("A",$Q705))</f>
        <v>connection_phase</v>
      </c>
      <c r="L705" t="str" cm="1">
        <f t="array" aca="1" ref="L705" ca="1">INDIRECT(_xlfn.CONCAT("B",$Q705))</f>
        <v>SPVA_CERTMON</v>
      </c>
      <c r="M705" cm="1">
        <f t="array" aca="1" ref="M705" ca="1">INDIRECT(_xlfn.CONCAT("C",$Q705))</f>
        <v>4</v>
      </c>
      <c r="N705" t="str" cm="1">
        <f t="array" aca="1" ref="N705" ca="1">INDIRECT(_xlfn.CONCAT("D",$Q705))</f>
        <v>validation</v>
      </c>
      <c r="O705" cm="1">
        <f t="array" aca="1" ref="O705" ca="1">INDIRECT(_xlfn.CONCAT("E",$Q705))</f>
        <v>844</v>
      </c>
      <c r="Q705">
        <v>519</v>
      </c>
    </row>
    <row r="706" spans="1:17">
      <c r="A706" t="s">
        <v>97</v>
      </c>
      <c r="B706" t="s">
        <v>10</v>
      </c>
      <c r="C706">
        <v>41</v>
      </c>
      <c r="D706" t="s">
        <v>102</v>
      </c>
      <c r="E706">
        <v>31818</v>
      </c>
      <c r="K706" t="str" cm="1">
        <f t="array" aca="1" ref="K706" ca="1">INDIRECT(_xlfn.CONCAT("A",$Q706))</f>
        <v>connection_phase</v>
      </c>
      <c r="L706" t="str" cm="1">
        <f t="array" aca="1" ref="L706" ca="1">INDIRECT(_xlfn.CONCAT("B",$Q706))</f>
        <v>SPVA_CERTMON</v>
      </c>
      <c r="M706" cm="1">
        <f t="array" aca="1" ref="M706" ca="1">INDIRECT(_xlfn.CONCAT("C",$Q706))</f>
        <v>5</v>
      </c>
      <c r="N706" t="str" cm="1">
        <f t="array" aca="1" ref="N706" ca="1">INDIRECT(_xlfn.CONCAT("D",$Q706))</f>
        <v>validation</v>
      </c>
      <c r="O706" cm="1">
        <f t="array" aca="1" ref="O706" ca="1">INDIRECT(_xlfn.CONCAT("E",$Q706))</f>
        <v>669</v>
      </c>
      <c r="Q706">
        <v>524</v>
      </c>
    </row>
    <row r="707" spans="1:17">
      <c r="A707" t="s">
        <v>97</v>
      </c>
      <c r="B707" t="s">
        <v>10</v>
      </c>
      <c r="C707">
        <v>42</v>
      </c>
      <c r="D707" t="s">
        <v>98</v>
      </c>
      <c r="E707">
        <v>5998</v>
      </c>
      <c r="K707" t="str" cm="1">
        <f t="array" aca="1" ref="K707" ca="1">INDIRECT(_xlfn.CONCAT("A",$Q707))</f>
        <v>connection_phase</v>
      </c>
      <c r="L707" t="str" cm="1">
        <f t="array" aca="1" ref="L707" ca="1">INDIRECT(_xlfn.CONCAT("B",$Q707))</f>
        <v>SPVA_CERTMON</v>
      </c>
      <c r="M707" cm="1">
        <f t="array" aca="1" ref="M707" ca="1">INDIRECT(_xlfn.CONCAT("C",$Q707))</f>
        <v>6</v>
      </c>
      <c r="N707" t="str" cm="1">
        <f t="array" aca="1" ref="N707" ca="1">INDIRECT(_xlfn.CONCAT("D",$Q707))</f>
        <v>validation</v>
      </c>
      <c r="O707" cm="1">
        <f t="array" aca="1" ref="O707" ca="1">INDIRECT(_xlfn.CONCAT("E",$Q707))</f>
        <v>855</v>
      </c>
      <c r="Q707">
        <v>529</v>
      </c>
    </row>
    <row r="708" spans="1:17">
      <c r="A708" t="s">
        <v>97</v>
      </c>
      <c r="B708" t="s">
        <v>10</v>
      </c>
      <c r="C708">
        <v>42</v>
      </c>
      <c r="D708" t="s">
        <v>99</v>
      </c>
      <c r="E708">
        <v>16964</v>
      </c>
      <c r="K708" t="str" cm="1">
        <f t="array" aca="1" ref="K708" ca="1">INDIRECT(_xlfn.CONCAT("A",$Q708))</f>
        <v>connection_phase</v>
      </c>
      <c r="L708" t="str" cm="1">
        <f t="array" aca="1" ref="L708" ca="1">INDIRECT(_xlfn.CONCAT("B",$Q708))</f>
        <v>SPVA_CERTMON</v>
      </c>
      <c r="M708" cm="1">
        <f t="array" aca="1" ref="M708" ca="1">INDIRECT(_xlfn.CONCAT("C",$Q708))</f>
        <v>7</v>
      </c>
      <c r="N708" t="str" cm="1">
        <f t="array" aca="1" ref="N708" ca="1">INDIRECT(_xlfn.CONCAT("D",$Q708))</f>
        <v>validation</v>
      </c>
      <c r="O708" cm="1">
        <f t="array" aca="1" ref="O708" ca="1">INDIRECT(_xlfn.CONCAT("E",$Q708))</f>
        <v>862</v>
      </c>
      <c r="Q708">
        <v>534</v>
      </c>
    </row>
    <row r="709" spans="1:17">
      <c r="A709" t="s">
        <v>97</v>
      </c>
      <c r="B709" t="s">
        <v>10</v>
      </c>
      <c r="C709">
        <v>42</v>
      </c>
      <c r="D709" t="s">
        <v>100</v>
      </c>
      <c r="E709">
        <v>680</v>
      </c>
      <c r="K709" t="str" cm="1">
        <f t="array" aca="1" ref="K709" ca="1">INDIRECT(_xlfn.CONCAT("A",$Q709))</f>
        <v>connection_phase</v>
      </c>
      <c r="L709" t="str" cm="1">
        <f t="array" aca="1" ref="L709" ca="1">INDIRECT(_xlfn.CONCAT("B",$Q709))</f>
        <v>SPVA_CERTMON</v>
      </c>
      <c r="M709" cm="1">
        <f t="array" aca="1" ref="M709" ca="1">INDIRECT(_xlfn.CONCAT("C",$Q709))</f>
        <v>8</v>
      </c>
      <c r="N709" t="str" cm="1">
        <f t="array" aca="1" ref="N709" ca="1">INDIRECT(_xlfn.CONCAT("D",$Q709))</f>
        <v>validation</v>
      </c>
      <c r="O709" cm="1">
        <f t="array" aca="1" ref="O709" ca="1">INDIRECT(_xlfn.CONCAT("E",$Q709))</f>
        <v>1213</v>
      </c>
      <c r="Q709">
        <v>539</v>
      </c>
    </row>
    <row r="710" spans="1:17">
      <c r="A710" t="s">
        <v>97</v>
      </c>
      <c r="B710" t="s">
        <v>10</v>
      </c>
      <c r="C710">
        <v>42</v>
      </c>
      <c r="D710" t="s">
        <v>101</v>
      </c>
      <c r="E710">
        <v>15907</v>
      </c>
      <c r="K710" t="str" cm="1">
        <f t="array" aca="1" ref="K710" ca="1">INDIRECT(_xlfn.CONCAT("A",$Q710))</f>
        <v>connection_phase</v>
      </c>
      <c r="L710" t="str" cm="1">
        <f t="array" aca="1" ref="L710" ca="1">INDIRECT(_xlfn.CONCAT("B",$Q710))</f>
        <v>SPVA_CERTMON</v>
      </c>
      <c r="M710" cm="1">
        <f t="array" aca="1" ref="M710" ca="1">INDIRECT(_xlfn.CONCAT("C",$Q710))</f>
        <v>9</v>
      </c>
      <c r="N710" t="str" cm="1">
        <f t="array" aca="1" ref="N710" ca="1">INDIRECT(_xlfn.CONCAT("D",$Q710))</f>
        <v>validation</v>
      </c>
      <c r="O710" cm="1">
        <f t="array" aca="1" ref="O710" ca="1">INDIRECT(_xlfn.CONCAT("E",$Q710))</f>
        <v>559</v>
      </c>
      <c r="Q710">
        <v>544</v>
      </c>
    </row>
    <row r="711" spans="1:17">
      <c r="A711" t="s">
        <v>97</v>
      </c>
      <c r="B711" t="s">
        <v>10</v>
      </c>
      <c r="C711">
        <v>42</v>
      </c>
      <c r="D711" t="s">
        <v>102</v>
      </c>
      <c r="E711">
        <v>39549</v>
      </c>
      <c r="K711" t="str" cm="1">
        <f t="array" aca="1" ref="K711" ca="1">INDIRECT(_xlfn.CONCAT("A",$Q711))</f>
        <v>connection_phase</v>
      </c>
      <c r="L711" t="str" cm="1">
        <f t="array" aca="1" ref="L711" ca="1">INDIRECT(_xlfn.CONCAT("B",$Q711))</f>
        <v>SPVA_CERTMON</v>
      </c>
      <c r="M711" cm="1">
        <f t="array" aca="1" ref="M711" ca="1">INDIRECT(_xlfn.CONCAT("C",$Q711))</f>
        <v>10</v>
      </c>
      <c r="N711" t="str" cm="1">
        <f t="array" aca="1" ref="N711" ca="1">INDIRECT(_xlfn.CONCAT("D",$Q711))</f>
        <v>validation</v>
      </c>
      <c r="O711" cm="1">
        <f t="array" aca="1" ref="O711" ca="1">INDIRECT(_xlfn.CONCAT("E",$Q711))</f>
        <v>707</v>
      </c>
      <c r="Q711">
        <v>549</v>
      </c>
    </row>
    <row r="712" spans="1:17">
      <c r="A712" t="s">
        <v>97</v>
      </c>
      <c r="B712" t="s">
        <v>10</v>
      </c>
      <c r="C712">
        <v>43</v>
      </c>
      <c r="D712" t="s">
        <v>98</v>
      </c>
      <c r="E712">
        <v>5402</v>
      </c>
      <c r="K712" t="str" cm="1">
        <f t="array" aca="1" ref="K712" ca="1">INDIRECT(_xlfn.CONCAT("A",$Q712))</f>
        <v>connection_phase</v>
      </c>
      <c r="L712" t="str" cm="1">
        <f t="array" aca="1" ref="L712" ca="1">INDIRECT(_xlfn.CONCAT("B",$Q712))</f>
        <v>SPVA_CERTMON</v>
      </c>
      <c r="M712" cm="1">
        <f t="array" aca="1" ref="M712" ca="1">INDIRECT(_xlfn.CONCAT("C",$Q712))</f>
        <v>11</v>
      </c>
      <c r="N712" t="str" cm="1">
        <f t="array" aca="1" ref="N712" ca="1">INDIRECT(_xlfn.CONCAT("D",$Q712))</f>
        <v>validation</v>
      </c>
      <c r="O712" cm="1">
        <f t="array" aca="1" ref="O712" ca="1">INDIRECT(_xlfn.CONCAT("E",$Q712))</f>
        <v>766</v>
      </c>
      <c r="Q712">
        <v>554</v>
      </c>
    </row>
    <row r="713" spans="1:17">
      <c r="A713" t="s">
        <v>97</v>
      </c>
      <c r="B713" t="s">
        <v>10</v>
      </c>
      <c r="C713">
        <v>43</v>
      </c>
      <c r="D713" t="s">
        <v>99</v>
      </c>
      <c r="E713">
        <v>15409</v>
      </c>
      <c r="K713" t="str" cm="1">
        <f t="array" aca="1" ref="K713" ca="1">INDIRECT(_xlfn.CONCAT("A",$Q713))</f>
        <v>connection_phase</v>
      </c>
      <c r="L713" t="str" cm="1">
        <f t="array" aca="1" ref="L713" ca="1">INDIRECT(_xlfn.CONCAT("B",$Q713))</f>
        <v>SPVA_CERTMON</v>
      </c>
      <c r="M713" cm="1">
        <f t="array" aca="1" ref="M713" ca="1">INDIRECT(_xlfn.CONCAT("C",$Q713))</f>
        <v>12</v>
      </c>
      <c r="N713" t="str" cm="1">
        <f t="array" aca="1" ref="N713" ca="1">INDIRECT(_xlfn.CONCAT("D",$Q713))</f>
        <v>validation</v>
      </c>
      <c r="O713" cm="1">
        <f t="array" aca="1" ref="O713" ca="1">INDIRECT(_xlfn.CONCAT("E",$Q713))</f>
        <v>697</v>
      </c>
      <c r="Q713">
        <v>559</v>
      </c>
    </row>
    <row r="714" spans="1:17">
      <c r="A714" t="s">
        <v>97</v>
      </c>
      <c r="B714" t="s">
        <v>10</v>
      </c>
      <c r="C714">
        <v>43</v>
      </c>
      <c r="D714" t="s">
        <v>100</v>
      </c>
      <c r="E714">
        <v>533</v>
      </c>
      <c r="K714" t="str" cm="1">
        <f t="array" aca="1" ref="K714" ca="1">INDIRECT(_xlfn.CONCAT("A",$Q714))</f>
        <v>connection_phase</v>
      </c>
      <c r="L714" t="str" cm="1">
        <f t="array" aca="1" ref="L714" ca="1">INDIRECT(_xlfn.CONCAT("B",$Q714))</f>
        <v>SPVA_CERTMON</v>
      </c>
      <c r="M714" cm="1">
        <f t="array" aca="1" ref="M714" ca="1">INDIRECT(_xlfn.CONCAT("C",$Q714))</f>
        <v>13</v>
      </c>
      <c r="N714" t="str" cm="1">
        <f t="array" aca="1" ref="N714" ca="1">INDIRECT(_xlfn.CONCAT("D",$Q714))</f>
        <v>validation</v>
      </c>
      <c r="O714" cm="1">
        <f t="array" aca="1" ref="O714" ca="1">INDIRECT(_xlfn.CONCAT("E",$Q714))</f>
        <v>719</v>
      </c>
      <c r="Q714">
        <v>564</v>
      </c>
    </row>
    <row r="715" spans="1:17">
      <c r="A715" t="s">
        <v>97</v>
      </c>
      <c r="B715" t="s">
        <v>10</v>
      </c>
      <c r="C715">
        <v>43</v>
      </c>
      <c r="D715" t="s">
        <v>101</v>
      </c>
      <c r="E715">
        <v>16254</v>
      </c>
      <c r="K715" t="str" cm="1">
        <f t="array" aca="1" ref="K715" ca="1">INDIRECT(_xlfn.CONCAT("A",$Q715))</f>
        <v>connection_phase</v>
      </c>
      <c r="L715" t="str" cm="1">
        <f t="array" aca="1" ref="L715" ca="1">INDIRECT(_xlfn.CONCAT("B",$Q715))</f>
        <v>SPVA_CERTMON</v>
      </c>
      <c r="M715" cm="1">
        <f t="array" aca="1" ref="M715" ca="1">INDIRECT(_xlfn.CONCAT("C",$Q715))</f>
        <v>14</v>
      </c>
      <c r="N715" t="str" cm="1">
        <f t="array" aca="1" ref="N715" ca="1">INDIRECT(_xlfn.CONCAT("D",$Q715))</f>
        <v>validation</v>
      </c>
      <c r="O715" cm="1">
        <f t="array" aca="1" ref="O715" ca="1">INDIRECT(_xlfn.CONCAT("E",$Q715))</f>
        <v>624</v>
      </c>
      <c r="Q715">
        <v>569</v>
      </c>
    </row>
    <row r="716" spans="1:17">
      <c r="A716" t="s">
        <v>97</v>
      </c>
      <c r="B716" t="s">
        <v>10</v>
      </c>
      <c r="C716">
        <v>43</v>
      </c>
      <c r="D716" t="s">
        <v>102</v>
      </c>
      <c r="E716">
        <v>37598</v>
      </c>
      <c r="K716" t="str" cm="1">
        <f t="array" aca="1" ref="K716" ca="1">INDIRECT(_xlfn.CONCAT("A",$Q716))</f>
        <v>connection_phase</v>
      </c>
      <c r="L716" t="str" cm="1">
        <f t="array" aca="1" ref="L716" ca="1">INDIRECT(_xlfn.CONCAT("B",$Q716))</f>
        <v>SPVA_CERTMON</v>
      </c>
      <c r="M716" cm="1">
        <f t="array" aca="1" ref="M716" ca="1">INDIRECT(_xlfn.CONCAT("C",$Q716))</f>
        <v>15</v>
      </c>
      <c r="N716" t="str" cm="1">
        <f t="array" aca="1" ref="N716" ca="1">INDIRECT(_xlfn.CONCAT("D",$Q716))</f>
        <v>validation</v>
      </c>
      <c r="O716" cm="1">
        <f t="array" aca="1" ref="O716" ca="1">INDIRECT(_xlfn.CONCAT("E",$Q716))</f>
        <v>1107</v>
      </c>
      <c r="Q716">
        <v>574</v>
      </c>
    </row>
    <row r="717" spans="1:17">
      <c r="A717" t="s">
        <v>97</v>
      </c>
      <c r="B717" t="s">
        <v>10</v>
      </c>
      <c r="C717">
        <v>44</v>
      </c>
      <c r="D717" t="s">
        <v>98</v>
      </c>
      <c r="E717">
        <v>2571</v>
      </c>
      <c r="K717" t="str" cm="1">
        <f t="array" aca="1" ref="K717" ca="1">INDIRECT(_xlfn.CONCAT("A",$Q717))</f>
        <v>connection_phase</v>
      </c>
      <c r="L717" t="str" cm="1">
        <f t="array" aca="1" ref="L717" ca="1">INDIRECT(_xlfn.CONCAT("B",$Q717))</f>
        <v>SPVA_CERTMON</v>
      </c>
      <c r="M717" cm="1">
        <f t="array" aca="1" ref="M717" ca="1">INDIRECT(_xlfn.CONCAT("C",$Q717))</f>
        <v>16</v>
      </c>
      <c r="N717" t="str" cm="1">
        <f t="array" aca="1" ref="N717" ca="1">INDIRECT(_xlfn.CONCAT("D",$Q717))</f>
        <v>validation</v>
      </c>
      <c r="O717" cm="1">
        <f t="array" aca="1" ref="O717" ca="1">INDIRECT(_xlfn.CONCAT("E",$Q717))</f>
        <v>338</v>
      </c>
      <c r="Q717">
        <v>579</v>
      </c>
    </row>
    <row r="718" spans="1:17">
      <c r="A718" t="s">
        <v>97</v>
      </c>
      <c r="B718" t="s">
        <v>10</v>
      </c>
      <c r="C718">
        <v>44</v>
      </c>
      <c r="D718" t="s">
        <v>99</v>
      </c>
      <c r="E718">
        <v>16324</v>
      </c>
      <c r="K718" t="str" cm="1">
        <f t="array" aca="1" ref="K718" ca="1">INDIRECT(_xlfn.CONCAT("A",$Q718))</f>
        <v>connection_phase</v>
      </c>
      <c r="L718" t="str" cm="1">
        <f t="array" aca="1" ref="L718" ca="1">INDIRECT(_xlfn.CONCAT("B",$Q718))</f>
        <v>SPVA_CERTMON</v>
      </c>
      <c r="M718" cm="1">
        <f t="array" aca="1" ref="M718" ca="1">INDIRECT(_xlfn.CONCAT("C",$Q718))</f>
        <v>17</v>
      </c>
      <c r="N718" t="str" cm="1">
        <f t="array" aca="1" ref="N718" ca="1">INDIRECT(_xlfn.CONCAT("D",$Q718))</f>
        <v>validation</v>
      </c>
      <c r="O718" cm="1">
        <f t="array" aca="1" ref="O718" ca="1">INDIRECT(_xlfn.CONCAT("E",$Q718))</f>
        <v>1030</v>
      </c>
      <c r="Q718">
        <v>584</v>
      </c>
    </row>
    <row r="719" spans="1:17">
      <c r="A719" t="s">
        <v>97</v>
      </c>
      <c r="B719" t="s">
        <v>10</v>
      </c>
      <c r="C719">
        <v>44</v>
      </c>
      <c r="D719" t="s">
        <v>100</v>
      </c>
      <c r="E719">
        <v>2051</v>
      </c>
      <c r="K719" t="str" cm="1">
        <f t="array" aca="1" ref="K719" ca="1">INDIRECT(_xlfn.CONCAT("A",$Q719))</f>
        <v>connection_phase</v>
      </c>
      <c r="L719" t="str" cm="1">
        <f t="array" aca="1" ref="L719" ca="1">INDIRECT(_xlfn.CONCAT("B",$Q719))</f>
        <v>SPVA_CERTMON</v>
      </c>
      <c r="M719" cm="1">
        <f t="array" aca="1" ref="M719" ca="1">INDIRECT(_xlfn.CONCAT("C",$Q719))</f>
        <v>18</v>
      </c>
      <c r="N719" t="str" cm="1">
        <f t="array" aca="1" ref="N719" ca="1">INDIRECT(_xlfn.CONCAT("D",$Q719))</f>
        <v>validation</v>
      </c>
      <c r="O719" cm="1">
        <f t="array" aca="1" ref="O719" ca="1">INDIRECT(_xlfn.CONCAT("E",$Q719))</f>
        <v>691</v>
      </c>
      <c r="Q719">
        <v>589</v>
      </c>
    </row>
    <row r="720" spans="1:17">
      <c r="A720" t="s">
        <v>97</v>
      </c>
      <c r="B720" t="s">
        <v>10</v>
      </c>
      <c r="C720">
        <v>44</v>
      </c>
      <c r="D720" t="s">
        <v>101</v>
      </c>
      <c r="E720">
        <v>17991</v>
      </c>
      <c r="K720" t="str" cm="1">
        <f t="array" aca="1" ref="K720" ca="1">INDIRECT(_xlfn.CONCAT("A",$Q720))</f>
        <v>connection_phase</v>
      </c>
      <c r="L720" t="str" cm="1">
        <f t="array" aca="1" ref="L720" ca="1">INDIRECT(_xlfn.CONCAT("B",$Q720))</f>
        <v>SPVA_CERTMON</v>
      </c>
      <c r="M720" cm="1">
        <f t="array" aca="1" ref="M720" ca="1">INDIRECT(_xlfn.CONCAT("C",$Q720))</f>
        <v>19</v>
      </c>
      <c r="N720" t="str" cm="1">
        <f t="array" aca="1" ref="N720" ca="1">INDIRECT(_xlfn.CONCAT("D",$Q720))</f>
        <v>validation</v>
      </c>
      <c r="O720" cm="1">
        <f t="array" aca="1" ref="O720" ca="1">INDIRECT(_xlfn.CONCAT("E",$Q720))</f>
        <v>631</v>
      </c>
      <c r="Q720">
        <v>594</v>
      </c>
    </row>
    <row r="721" spans="1:17">
      <c r="A721" t="s">
        <v>97</v>
      </c>
      <c r="B721" t="s">
        <v>10</v>
      </c>
      <c r="C721">
        <v>44</v>
      </c>
      <c r="D721" t="s">
        <v>102</v>
      </c>
      <c r="E721">
        <v>38937</v>
      </c>
      <c r="K721" t="str" cm="1">
        <f t="array" aca="1" ref="K721" ca="1">INDIRECT(_xlfn.CONCAT("A",$Q721))</f>
        <v>connection_phase</v>
      </c>
      <c r="L721" t="str" cm="1">
        <f t="array" aca="1" ref="L721" ca="1">INDIRECT(_xlfn.CONCAT("B",$Q721))</f>
        <v>SPVA_CERTMON</v>
      </c>
      <c r="M721" cm="1">
        <f t="array" aca="1" ref="M721" ca="1">INDIRECT(_xlfn.CONCAT("C",$Q721))</f>
        <v>20</v>
      </c>
      <c r="N721" t="str" cm="1">
        <f t="array" aca="1" ref="N721" ca="1">INDIRECT(_xlfn.CONCAT("D",$Q721))</f>
        <v>validation</v>
      </c>
      <c r="O721" cm="1">
        <f t="array" aca="1" ref="O721" ca="1">INDIRECT(_xlfn.CONCAT("E",$Q721))</f>
        <v>624</v>
      </c>
      <c r="Q721">
        <v>599</v>
      </c>
    </row>
    <row r="722" spans="1:17">
      <c r="A722" t="s">
        <v>97</v>
      </c>
      <c r="B722" t="s">
        <v>10</v>
      </c>
      <c r="C722">
        <v>45</v>
      </c>
      <c r="D722" t="s">
        <v>98</v>
      </c>
      <c r="E722">
        <v>4146</v>
      </c>
      <c r="K722" t="str" cm="1">
        <f t="array" aca="1" ref="K722" ca="1">INDIRECT(_xlfn.CONCAT("A",$Q722))</f>
        <v>connection_phase</v>
      </c>
      <c r="L722" t="str" cm="1">
        <f t="array" aca="1" ref="L722" ca="1">INDIRECT(_xlfn.CONCAT("B",$Q722))</f>
        <v>SPVA_CERTMON</v>
      </c>
      <c r="M722" cm="1">
        <f t="array" aca="1" ref="M722" ca="1">INDIRECT(_xlfn.CONCAT("C",$Q722))</f>
        <v>21</v>
      </c>
      <c r="N722" t="str" cm="1">
        <f t="array" aca="1" ref="N722" ca="1">INDIRECT(_xlfn.CONCAT("D",$Q722))</f>
        <v>validation</v>
      </c>
      <c r="O722" cm="1">
        <f t="array" aca="1" ref="O722" ca="1">INDIRECT(_xlfn.CONCAT("E",$Q722))</f>
        <v>369</v>
      </c>
      <c r="Q722">
        <v>604</v>
      </c>
    </row>
    <row r="723" spans="1:17">
      <c r="A723" t="s">
        <v>97</v>
      </c>
      <c r="B723" t="s">
        <v>10</v>
      </c>
      <c r="C723">
        <v>45</v>
      </c>
      <c r="D723" t="s">
        <v>99</v>
      </c>
      <c r="E723">
        <v>13046</v>
      </c>
      <c r="K723" t="str" cm="1">
        <f t="array" aca="1" ref="K723" ca="1">INDIRECT(_xlfn.CONCAT("A",$Q723))</f>
        <v>connection_phase</v>
      </c>
      <c r="L723" t="str" cm="1">
        <f t="array" aca="1" ref="L723" ca="1">INDIRECT(_xlfn.CONCAT("B",$Q723))</f>
        <v>SPVA_CERTMON</v>
      </c>
      <c r="M723" cm="1">
        <f t="array" aca="1" ref="M723" ca="1">INDIRECT(_xlfn.CONCAT("C",$Q723))</f>
        <v>22</v>
      </c>
      <c r="N723" t="str" cm="1">
        <f t="array" aca="1" ref="N723" ca="1">INDIRECT(_xlfn.CONCAT("D",$Q723))</f>
        <v>validation</v>
      </c>
      <c r="O723" cm="1">
        <f t="array" aca="1" ref="O723" ca="1">INDIRECT(_xlfn.CONCAT("E",$Q723))</f>
        <v>681</v>
      </c>
      <c r="Q723">
        <v>609</v>
      </c>
    </row>
    <row r="724" spans="1:17">
      <c r="A724" t="s">
        <v>97</v>
      </c>
      <c r="B724" t="s">
        <v>10</v>
      </c>
      <c r="C724">
        <v>45</v>
      </c>
      <c r="D724" t="s">
        <v>100</v>
      </c>
      <c r="E724">
        <v>1342</v>
      </c>
      <c r="K724" t="str" cm="1">
        <f t="array" aca="1" ref="K724" ca="1">INDIRECT(_xlfn.CONCAT("A",$Q724))</f>
        <v>connection_phase</v>
      </c>
      <c r="L724" t="str" cm="1">
        <f t="array" aca="1" ref="L724" ca="1">INDIRECT(_xlfn.CONCAT("B",$Q724))</f>
        <v>SPVA_CERTMON</v>
      </c>
      <c r="M724" cm="1">
        <f t="array" aca="1" ref="M724" ca="1">INDIRECT(_xlfn.CONCAT("C",$Q724))</f>
        <v>23</v>
      </c>
      <c r="N724" t="str" cm="1">
        <f t="array" aca="1" ref="N724" ca="1">INDIRECT(_xlfn.CONCAT("D",$Q724))</f>
        <v>validation</v>
      </c>
      <c r="O724" cm="1">
        <f t="array" aca="1" ref="O724" ca="1">INDIRECT(_xlfn.CONCAT("E",$Q724))</f>
        <v>836</v>
      </c>
      <c r="Q724">
        <v>614</v>
      </c>
    </row>
    <row r="725" spans="1:17">
      <c r="A725" t="s">
        <v>97</v>
      </c>
      <c r="B725" t="s">
        <v>10</v>
      </c>
      <c r="C725">
        <v>45</v>
      </c>
      <c r="D725" t="s">
        <v>101</v>
      </c>
      <c r="E725">
        <v>13437</v>
      </c>
      <c r="K725" t="str" cm="1">
        <f t="array" aca="1" ref="K725" ca="1">INDIRECT(_xlfn.CONCAT("A",$Q725))</f>
        <v>connection_phase</v>
      </c>
      <c r="L725" t="str" cm="1">
        <f t="array" aca="1" ref="L725" ca="1">INDIRECT(_xlfn.CONCAT("B",$Q725))</f>
        <v>SPVA_CERTMON</v>
      </c>
      <c r="M725" cm="1">
        <f t="array" aca="1" ref="M725" ca="1">INDIRECT(_xlfn.CONCAT("C",$Q725))</f>
        <v>24</v>
      </c>
      <c r="N725" t="str" cm="1">
        <f t="array" aca="1" ref="N725" ca="1">INDIRECT(_xlfn.CONCAT("D",$Q725))</f>
        <v>validation</v>
      </c>
      <c r="O725" cm="1">
        <f t="array" aca="1" ref="O725" ca="1">INDIRECT(_xlfn.CONCAT("E",$Q725))</f>
        <v>676</v>
      </c>
      <c r="Q725">
        <v>619</v>
      </c>
    </row>
    <row r="726" spans="1:17">
      <c r="A726" t="s">
        <v>97</v>
      </c>
      <c r="B726" t="s">
        <v>10</v>
      </c>
      <c r="C726">
        <v>45</v>
      </c>
      <c r="D726" t="s">
        <v>102</v>
      </c>
      <c r="E726">
        <v>31971</v>
      </c>
      <c r="K726" t="str" cm="1">
        <f t="array" aca="1" ref="K726" ca="1">INDIRECT(_xlfn.CONCAT("A",$Q726))</f>
        <v>connection_phase</v>
      </c>
      <c r="L726" t="str" cm="1">
        <f t="array" aca="1" ref="L726" ca="1">INDIRECT(_xlfn.CONCAT("B",$Q726))</f>
        <v>SPVA_CERTMON</v>
      </c>
      <c r="M726" cm="1">
        <f t="array" aca="1" ref="M726" ca="1">INDIRECT(_xlfn.CONCAT("C",$Q726))</f>
        <v>25</v>
      </c>
      <c r="N726" t="str" cm="1">
        <f t="array" aca="1" ref="N726" ca="1">INDIRECT(_xlfn.CONCAT("D",$Q726))</f>
        <v>validation</v>
      </c>
      <c r="O726" cm="1">
        <f t="array" aca="1" ref="O726" ca="1">INDIRECT(_xlfn.CONCAT("E",$Q726))</f>
        <v>766</v>
      </c>
      <c r="Q726">
        <v>624</v>
      </c>
    </row>
    <row r="727" spans="1:17">
      <c r="A727" t="s">
        <v>97</v>
      </c>
      <c r="B727" t="s">
        <v>10</v>
      </c>
      <c r="C727">
        <v>46</v>
      </c>
      <c r="D727" t="s">
        <v>98</v>
      </c>
      <c r="E727">
        <v>1937</v>
      </c>
      <c r="K727" t="str" cm="1">
        <f t="array" aca="1" ref="K727" ca="1">INDIRECT(_xlfn.CONCAT("A",$Q727))</f>
        <v>connection_phase</v>
      </c>
      <c r="L727" t="str" cm="1">
        <f t="array" aca="1" ref="L727" ca="1">INDIRECT(_xlfn.CONCAT("B",$Q727))</f>
        <v>SPVA_CERTMON</v>
      </c>
      <c r="M727" cm="1">
        <f t="array" aca="1" ref="M727" ca="1">INDIRECT(_xlfn.CONCAT("C",$Q727))</f>
        <v>26</v>
      </c>
      <c r="N727" t="str" cm="1">
        <f t="array" aca="1" ref="N727" ca="1">INDIRECT(_xlfn.CONCAT("D",$Q727))</f>
        <v>validation</v>
      </c>
      <c r="O727" cm="1">
        <f t="array" aca="1" ref="O727" ca="1">INDIRECT(_xlfn.CONCAT("E",$Q727))</f>
        <v>728</v>
      </c>
      <c r="Q727">
        <v>629</v>
      </c>
    </row>
    <row r="728" spans="1:17">
      <c r="A728" t="s">
        <v>97</v>
      </c>
      <c r="B728" t="s">
        <v>10</v>
      </c>
      <c r="C728">
        <v>46</v>
      </c>
      <c r="D728" t="s">
        <v>99</v>
      </c>
      <c r="E728">
        <v>27059</v>
      </c>
      <c r="K728" t="str" cm="1">
        <f t="array" aca="1" ref="K728" ca="1">INDIRECT(_xlfn.CONCAT("A",$Q728))</f>
        <v>connection_phase</v>
      </c>
      <c r="L728" t="str" cm="1">
        <f t="array" aca="1" ref="L728" ca="1">INDIRECT(_xlfn.CONCAT("B",$Q728))</f>
        <v>SPVA_CERTMON</v>
      </c>
      <c r="M728" cm="1">
        <f t="array" aca="1" ref="M728" ca="1">INDIRECT(_xlfn.CONCAT("C",$Q728))</f>
        <v>27</v>
      </c>
      <c r="N728" t="str" cm="1">
        <f t="array" aca="1" ref="N728" ca="1">INDIRECT(_xlfn.CONCAT("D",$Q728))</f>
        <v>validation</v>
      </c>
      <c r="O728" cm="1">
        <f t="array" aca="1" ref="O728" ca="1">INDIRECT(_xlfn.CONCAT("E",$Q728))</f>
        <v>418</v>
      </c>
      <c r="Q728">
        <v>634</v>
      </c>
    </row>
    <row r="729" spans="1:17">
      <c r="A729" t="s">
        <v>97</v>
      </c>
      <c r="B729" t="s">
        <v>10</v>
      </c>
      <c r="C729">
        <v>46</v>
      </c>
      <c r="D729" t="s">
        <v>100</v>
      </c>
      <c r="E729">
        <v>445</v>
      </c>
      <c r="K729" t="str" cm="1">
        <f t="array" aca="1" ref="K729" ca="1">INDIRECT(_xlfn.CONCAT("A",$Q729))</f>
        <v>connection_phase</v>
      </c>
      <c r="L729" t="str" cm="1">
        <f t="array" aca="1" ref="L729" ca="1">INDIRECT(_xlfn.CONCAT("B",$Q729))</f>
        <v>SPVA_CERTMON</v>
      </c>
      <c r="M729" cm="1">
        <f t="array" aca="1" ref="M729" ca="1">INDIRECT(_xlfn.CONCAT("C",$Q729))</f>
        <v>28</v>
      </c>
      <c r="N729" t="str" cm="1">
        <f t="array" aca="1" ref="N729" ca="1">INDIRECT(_xlfn.CONCAT("D",$Q729))</f>
        <v>validation</v>
      </c>
      <c r="O729" cm="1">
        <f t="array" aca="1" ref="O729" ca="1">INDIRECT(_xlfn.CONCAT("E",$Q729))</f>
        <v>407</v>
      </c>
      <c r="Q729">
        <v>639</v>
      </c>
    </row>
    <row r="730" spans="1:17">
      <c r="A730" t="s">
        <v>97</v>
      </c>
      <c r="B730" t="s">
        <v>10</v>
      </c>
      <c r="C730">
        <v>46</v>
      </c>
      <c r="D730" t="s">
        <v>101</v>
      </c>
      <c r="E730">
        <v>12116</v>
      </c>
      <c r="K730" t="str" cm="1">
        <f t="array" aca="1" ref="K730" ca="1">INDIRECT(_xlfn.CONCAT("A",$Q730))</f>
        <v>connection_phase</v>
      </c>
      <c r="L730" t="str" cm="1">
        <f t="array" aca="1" ref="L730" ca="1">INDIRECT(_xlfn.CONCAT("B",$Q730))</f>
        <v>SPVA_CERTMON</v>
      </c>
      <c r="M730" cm="1">
        <f t="array" aca="1" ref="M730" ca="1">INDIRECT(_xlfn.CONCAT("C",$Q730))</f>
        <v>29</v>
      </c>
      <c r="N730" t="str" cm="1">
        <f t="array" aca="1" ref="N730" ca="1">INDIRECT(_xlfn.CONCAT("D",$Q730))</f>
        <v>validation</v>
      </c>
      <c r="O730" cm="1">
        <f t="array" aca="1" ref="O730" ca="1">INDIRECT(_xlfn.CONCAT("E",$Q730))</f>
        <v>686</v>
      </c>
      <c r="Q730">
        <v>644</v>
      </c>
    </row>
    <row r="731" spans="1:17">
      <c r="A731" t="s">
        <v>97</v>
      </c>
      <c r="B731" t="s">
        <v>10</v>
      </c>
      <c r="C731">
        <v>46</v>
      </c>
      <c r="D731" t="s">
        <v>102</v>
      </c>
      <c r="E731">
        <v>41557</v>
      </c>
      <c r="K731" t="str" cm="1">
        <f t="array" aca="1" ref="K731" ca="1">INDIRECT(_xlfn.CONCAT("A",$Q731))</f>
        <v>connection_phase</v>
      </c>
      <c r="L731" t="str" cm="1">
        <f t="array" aca="1" ref="L731" ca="1">INDIRECT(_xlfn.CONCAT("B",$Q731))</f>
        <v>SPVA_CERTMON</v>
      </c>
      <c r="M731" cm="1">
        <f t="array" aca="1" ref="M731" ca="1">INDIRECT(_xlfn.CONCAT("C",$Q731))</f>
        <v>30</v>
      </c>
      <c r="N731" t="str" cm="1">
        <f t="array" aca="1" ref="N731" ca="1">INDIRECT(_xlfn.CONCAT("D",$Q731))</f>
        <v>validation</v>
      </c>
      <c r="O731" cm="1">
        <f t="array" aca="1" ref="O731" ca="1">INDIRECT(_xlfn.CONCAT("E",$Q731))</f>
        <v>783</v>
      </c>
      <c r="Q731">
        <v>649</v>
      </c>
    </row>
    <row r="732" spans="1:17">
      <c r="A732" t="s">
        <v>97</v>
      </c>
      <c r="B732" t="s">
        <v>10</v>
      </c>
      <c r="C732">
        <v>47</v>
      </c>
      <c r="D732" t="s">
        <v>98</v>
      </c>
      <c r="E732">
        <v>5062</v>
      </c>
      <c r="K732" t="str" cm="1">
        <f t="array" aca="1" ref="K732" ca="1">INDIRECT(_xlfn.CONCAT("A",$Q732))</f>
        <v>connection_phase</v>
      </c>
      <c r="L732" t="str" cm="1">
        <f t="array" aca="1" ref="L732" ca="1">INDIRECT(_xlfn.CONCAT("B",$Q732))</f>
        <v>SPVA_CERTMON</v>
      </c>
      <c r="M732" cm="1">
        <f t="array" aca="1" ref="M732" ca="1">INDIRECT(_xlfn.CONCAT("C",$Q732))</f>
        <v>31</v>
      </c>
      <c r="N732" t="str" cm="1">
        <f t="array" aca="1" ref="N732" ca="1">INDIRECT(_xlfn.CONCAT("D",$Q732))</f>
        <v>validation</v>
      </c>
      <c r="O732" cm="1">
        <f t="array" aca="1" ref="O732" ca="1">INDIRECT(_xlfn.CONCAT("E",$Q732))</f>
        <v>274</v>
      </c>
      <c r="Q732">
        <v>654</v>
      </c>
    </row>
    <row r="733" spans="1:17">
      <c r="A733" t="s">
        <v>97</v>
      </c>
      <c r="B733" t="s">
        <v>10</v>
      </c>
      <c r="C733">
        <v>47</v>
      </c>
      <c r="D733" t="s">
        <v>99</v>
      </c>
      <c r="E733">
        <v>11184</v>
      </c>
      <c r="K733" t="str" cm="1">
        <f t="array" aca="1" ref="K733" ca="1">INDIRECT(_xlfn.CONCAT("A",$Q733))</f>
        <v>connection_phase</v>
      </c>
      <c r="L733" t="str" cm="1">
        <f t="array" aca="1" ref="L733" ca="1">INDIRECT(_xlfn.CONCAT("B",$Q733))</f>
        <v>SPVA_CERTMON</v>
      </c>
      <c r="M733" cm="1">
        <f t="array" aca="1" ref="M733" ca="1">INDIRECT(_xlfn.CONCAT("C",$Q733))</f>
        <v>32</v>
      </c>
      <c r="N733" t="str" cm="1">
        <f t="array" aca="1" ref="N733" ca="1">INDIRECT(_xlfn.CONCAT("D",$Q733))</f>
        <v>validation</v>
      </c>
      <c r="O733" cm="1">
        <f t="array" aca="1" ref="O733" ca="1">INDIRECT(_xlfn.CONCAT("E",$Q733))</f>
        <v>806</v>
      </c>
      <c r="Q733">
        <v>659</v>
      </c>
    </row>
    <row r="734" spans="1:17">
      <c r="A734" t="s">
        <v>97</v>
      </c>
      <c r="B734" t="s">
        <v>10</v>
      </c>
      <c r="C734">
        <v>47</v>
      </c>
      <c r="D734" t="s">
        <v>100</v>
      </c>
      <c r="E734">
        <v>730</v>
      </c>
      <c r="K734" t="str" cm="1">
        <f t="array" aca="1" ref="K734" ca="1">INDIRECT(_xlfn.CONCAT("A",$Q734))</f>
        <v>connection_phase</v>
      </c>
      <c r="L734" t="str" cm="1">
        <f t="array" aca="1" ref="L734" ca="1">INDIRECT(_xlfn.CONCAT("B",$Q734))</f>
        <v>SPVA_CERTMON</v>
      </c>
      <c r="M734" cm="1">
        <f t="array" aca="1" ref="M734" ca="1">INDIRECT(_xlfn.CONCAT("C",$Q734))</f>
        <v>33</v>
      </c>
      <c r="N734" t="str" cm="1">
        <f t="array" aca="1" ref="N734" ca="1">INDIRECT(_xlfn.CONCAT("D",$Q734))</f>
        <v>validation</v>
      </c>
      <c r="O734" cm="1">
        <f t="array" aca="1" ref="O734" ca="1">INDIRECT(_xlfn.CONCAT("E",$Q734))</f>
        <v>445</v>
      </c>
      <c r="Q734">
        <v>664</v>
      </c>
    </row>
    <row r="735" spans="1:17">
      <c r="A735" t="s">
        <v>97</v>
      </c>
      <c r="B735" t="s">
        <v>10</v>
      </c>
      <c r="C735">
        <v>47</v>
      </c>
      <c r="D735" t="s">
        <v>101</v>
      </c>
      <c r="E735">
        <v>12967</v>
      </c>
      <c r="K735" t="str" cm="1">
        <f t="array" aca="1" ref="K735" ca="1">INDIRECT(_xlfn.CONCAT("A",$Q735))</f>
        <v>connection_phase</v>
      </c>
      <c r="L735" t="str" cm="1">
        <f t="array" aca="1" ref="L735" ca="1">INDIRECT(_xlfn.CONCAT("B",$Q735))</f>
        <v>SPVA_CERTMON</v>
      </c>
      <c r="M735" cm="1">
        <f t="array" aca="1" ref="M735" ca="1">INDIRECT(_xlfn.CONCAT("C",$Q735))</f>
        <v>34</v>
      </c>
      <c r="N735" t="str" cm="1">
        <f t="array" aca="1" ref="N735" ca="1">INDIRECT(_xlfn.CONCAT("D",$Q735))</f>
        <v>validation</v>
      </c>
      <c r="O735" cm="1">
        <f t="array" aca="1" ref="O735" ca="1">INDIRECT(_xlfn.CONCAT("E",$Q735))</f>
        <v>616</v>
      </c>
      <c r="Q735">
        <v>669</v>
      </c>
    </row>
    <row r="736" spans="1:17">
      <c r="A736" t="s">
        <v>97</v>
      </c>
      <c r="B736" t="s">
        <v>10</v>
      </c>
      <c r="C736">
        <v>47</v>
      </c>
      <c r="D736" t="s">
        <v>102</v>
      </c>
      <c r="E736">
        <v>29943</v>
      </c>
      <c r="K736" t="str" cm="1">
        <f t="array" aca="1" ref="K736" ca="1">INDIRECT(_xlfn.CONCAT("A",$Q736))</f>
        <v>connection_phase</v>
      </c>
      <c r="L736" t="str" cm="1">
        <f t="array" aca="1" ref="L736" ca="1">INDIRECT(_xlfn.CONCAT("B",$Q736))</f>
        <v>SPVA_CERTMON</v>
      </c>
      <c r="M736" cm="1">
        <f t="array" aca="1" ref="M736" ca="1">INDIRECT(_xlfn.CONCAT("C",$Q736))</f>
        <v>35</v>
      </c>
      <c r="N736" t="str" cm="1">
        <f t="array" aca="1" ref="N736" ca="1">INDIRECT(_xlfn.CONCAT("D",$Q736))</f>
        <v>validation</v>
      </c>
      <c r="O736" cm="1">
        <f t="array" aca="1" ref="O736" ca="1">INDIRECT(_xlfn.CONCAT("E",$Q736))</f>
        <v>877</v>
      </c>
      <c r="Q736">
        <v>674</v>
      </c>
    </row>
    <row r="737" spans="1:17">
      <c r="A737" t="s">
        <v>97</v>
      </c>
      <c r="B737" t="s">
        <v>10</v>
      </c>
      <c r="C737">
        <v>48</v>
      </c>
      <c r="D737" t="s">
        <v>98</v>
      </c>
      <c r="E737">
        <v>2977</v>
      </c>
      <c r="K737" t="str" cm="1">
        <f t="array" aca="1" ref="K737" ca="1">INDIRECT(_xlfn.CONCAT("A",$Q737))</f>
        <v>connection_phase</v>
      </c>
      <c r="L737" t="str" cm="1">
        <f t="array" aca="1" ref="L737" ca="1">INDIRECT(_xlfn.CONCAT("B",$Q737))</f>
        <v>SPVA_CERTMON</v>
      </c>
      <c r="M737" cm="1">
        <f t="array" aca="1" ref="M737" ca="1">INDIRECT(_xlfn.CONCAT("C",$Q737))</f>
        <v>36</v>
      </c>
      <c r="N737" t="str" cm="1">
        <f t="array" aca="1" ref="N737" ca="1">INDIRECT(_xlfn.CONCAT("D",$Q737))</f>
        <v>validation</v>
      </c>
      <c r="O737" cm="1">
        <f t="array" aca="1" ref="O737" ca="1">INDIRECT(_xlfn.CONCAT("E",$Q737))</f>
        <v>673</v>
      </c>
      <c r="Q737">
        <v>679</v>
      </c>
    </row>
    <row r="738" spans="1:17">
      <c r="A738" t="s">
        <v>97</v>
      </c>
      <c r="B738" t="s">
        <v>10</v>
      </c>
      <c r="C738">
        <v>48</v>
      </c>
      <c r="D738" t="s">
        <v>99</v>
      </c>
      <c r="E738">
        <v>12335</v>
      </c>
      <c r="K738" t="str" cm="1">
        <f t="array" aca="1" ref="K738" ca="1">INDIRECT(_xlfn.CONCAT("A",$Q738))</f>
        <v>connection_phase</v>
      </c>
      <c r="L738" t="str" cm="1">
        <f t="array" aca="1" ref="L738" ca="1">INDIRECT(_xlfn.CONCAT("B",$Q738))</f>
        <v>SPVA_CERTMON</v>
      </c>
      <c r="M738" cm="1">
        <f t="array" aca="1" ref="M738" ca="1">INDIRECT(_xlfn.CONCAT("C",$Q738))</f>
        <v>37</v>
      </c>
      <c r="N738" t="str" cm="1">
        <f t="array" aca="1" ref="N738" ca="1">INDIRECT(_xlfn.CONCAT("D",$Q738))</f>
        <v>validation</v>
      </c>
      <c r="O738" cm="1">
        <f t="array" aca="1" ref="O738" ca="1">INDIRECT(_xlfn.CONCAT("E",$Q738))</f>
        <v>1141</v>
      </c>
      <c r="Q738">
        <v>684</v>
      </c>
    </row>
    <row r="739" spans="1:17">
      <c r="A739" t="s">
        <v>97</v>
      </c>
      <c r="B739" t="s">
        <v>10</v>
      </c>
      <c r="C739">
        <v>48</v>
      </c>
      <c r="D739" t="s">
        <v>100</v>
      </c>
      <c r="E739">
        <v>757</v>
      </c>
      <c r="K739" t="str" cm="1">
        <f t="array" aca="1" ref="K739" ca="1">INDIRECT(_xlfn.CONCAT("A",$Q739))</f>
        <v>connection_phase</v>
      </c>
      <c r="L739" t="str" cm="1">
        <f t="array" aca="1" ref="L739" ca="1">INDIRECT(_xlfn.CONCAT("B",$Q739))</f>
        <v>SPVA_CERTMON</v>
      </c>
      <c r="M739" cm="1">
        <f t="array" aca="1" ref="M739" ca="1">INDIRECT(_xlfn.CONCAT("C",$Q739))</f>
        <v>38</v>
      </c>
      <c r="N739" t="str" cm="1">
        <f t="array" aca="1" ref="N739" ca="1">INDIRECT(_xlfn.CONCAT("D",$Q739))</f>
        <v>validation</v>
      </c>
      <c r="O739" cm="1">
        <f t="array" aca="1" ref="O739" ca="1">INDIRECT(_xlfn.CONCAT("E",$Q739))</f>
        <v>621</v>
      </c>
      <c r="Q739">
        <v>689</v>
      </c>
    </row>
    <row r="740" spans="1:17">
      <c r="A740" t="s">
        <v>97</v>
      </c>
      <c r="B740" t="s">
        <v>10</v>
      </c>
      <c r="C740">
        <v>48</v>
      </c>
      <c r="D740" t="s">
        <v>101</v>
      </c>
      <c r="E740">
        <v>26029</v>
      </c>
      <c r="K740" t="str" cm="1">
        <f t="array" aca="1" ref="K740" ca="1">INDIRECT(_xlfn.CONCAT("A",$Q740))</f>
        <v>connection_phase</v>
      </c>
      <c r="L740" t="str" cm="1">
        <f t="array" aca="1" ref="L740" ca="1">INDIRECT(_xlfn.CONCAT("B",$Q740))</f>
        <v>SPVA_CERTMON</v>
      </c>
      <c r="M740" cm="1">
        <f t="array" aca="1" ref="M740" ca="1">INDIRECT(_xlfn.CONCAT("C",$Q740))</f>
        <v>39</v>
      </c>
      <c r="N740" t="str" cm="1">
        <f t="array" aca="1" ref="N740" ca="1">INDIRECT(_xlfn.CONCAT("D",$Q740))</f>
        <v>validation</v>
      </c>
      <c r="O740" cm="1">
        <f t="array" aca="1" ref="O740" ca="1">INDIRECT(_xlfn.CONCAT("E",$Q740))</f>
        <v>604</v>
      </c>
      <c r="Q740">
        <v>694</v>
      </c>
    </row>
    <row r="741" spans="1:17">
      <c r="A741" t="s">
        <v>97</v>
      </c>
      <c r="B741" t="s">
        <v>10</v>
      </c>
      <c r="C741">
        <v>48</v>
      </c>
      <c r="D741" t="s">
        <v>102</v>
      </c>
      <c r="E741">
        <v>42098</v>
      </c>
      <c r="K741" t="str" cm="1">
        <f t="array" aca="1" ref="K741" ca="1">INDIRECT(_xlfn.CONCAT("A",$Q741))</f>
        <v>connection_phase</v>
      </c>
      <c r="L741" t="str" cm="1">
        <f t="array" aca="1" ref="L741" ca="1">INDIRECT(_xlfn.CONCAT("B",$Q741))</f>
        <v>SPVA_CERTMON</v>
      </c>
      <c r="M741" cm="1">
        <f t="array" aca="1" ref="M741" ca="1">INDIRECT(_xlfn.CONCAT("C",$Q741))</f>
        <v>40</v>
      </c>
      <c r="N741" t="str" cm="1">
        <f t="array" aca="1" ref="N741" ca="1">INDIRECT(_xlfn.CONCAT("D",$Q741))</f>
        <v>validation</v>
      </c>
      <c r="O741" cm="1">
        <f t="array" aca="1" ref="O741" ca="1">INDIRECT(_xlfn.CONCAT("E",$Q741))</f>
        <v>391</v>
      </c>
      <c r="Q741">
        <v>699</v>
      </c>
    </row>
    <row r="742" spans="1:17">
      <c r="A742" t="s">
        <v>97</v>
      </c>
      <c r="B742" t="s">
        <v>10</v>
      </c>
      <c r="C742">
        <v>49</v>
      </c>
      <c r="D742" t="s">
        <v>98</v>
      </c>
      <c r="E742">
        <v>1514</v>
      </c>
      <c r="K742" t="str" cm="1">
        <f t="array" aca="1" ref="K742" ca="1">INDIRECT(_xlfn.CONCAT("A",$Q742))</f>
        <v>connection_phase</v>
      </c>
      <c r="L742" t="str" cm="1">
        <f t="array" aca="1" ref="L742" ca="1">INDIRECT(_xlfn.CONCAT("B",$Q742))</f>
        <v>SPVA_CERTMON</v>
      </c>
      <c r="M742" cm="1">
        <f t="array" aca="1" ref="M742" ca="1">INDIRECT(_xlfn.CONCAT("C",$Q742))</f>
        <v>41</v>
      </c>
      <c r="N742" t="str" cm="1">
        <f t="array" aca="1" ref="N742" ca="1">INDIRECT(_xlfn.CONCAT("D",$Q742))</f>
        <v>validation</v>
      </c>
      <c r="O742" cm="1">
        <f t="array" aca="1" ref="O742" ca="1">INDIRECT(_xlfn.CONCAT("E",$Q742))</f>
        <v>874</v>
      </c>
      <c r="Q742">
        <v>704</v>
      </c>
    </row>
    <row r="743" spans="1:17">
      <c r="A743" t="s">
        <v>97</v>
      </c>
      <c r="B743" t="s">
        <v>10</v>
      </c>
      <c r="C743">
        <v>49</v>
      </c>
      <c r="D743" t="s">
        <v>99</v>
      </c>
      <c r="E743">
        <v>11893</v>
      </c>
      <c r="K743" t="str" cm="1">
        <f t="array" aca="1" ref="K743" ca="1">INDIRECT(_xlfn.CONCAT("A",$Q743))</f>
        <v>connection_phase</v>
      </c>
      <c r="L743" t="str" cm="1">
        <f t="array" aca="1" ref="L743" ca="1">INDIRECT(_xlfn.CONCAT("B",$Q743))</f>
        <v>SPVA_CERTMON</v>
      </c>
      <c r="M743" cm="1">
        <f t="array" aca="1" ref="M743" ca="1">INDIRECT(_xlfn.CONCAT("C",$Q743))</f>
        <v>42</v>
      </c>
      <c r="N743" t="str" cm="1">
        <f t="array" aca="1" ref="N743" ca="1">INDIRECT(_xlfn.CONCAT("D",$Q743))</f>
        <v>validation</v>
      </c>
      <c r="O743" cm="1">
        <f t="array" aca="1" ref="O743" ca="1">INDIRECT(_xlfn.CONCAT("E",$Q743))</f>
        <v>680</v>
      </c>
      <c r="Q743">
        <v>709</v>
      </c>
    </row>
    <row r="744" spans="1:17">
      <c r="A744" t="s">
        <v>97</v>
      </c>
      <c r="B744" t="s">
        <v>10</v>
      </c>
      <c r="C744">
        <v>49</v>
      </c>
      <c r="D744" t="s">
        <v>100</v>
      </c>
      <c r="E744">
        <v>856</v>
      </c>
      <c r="K744" t="str" cm="1">
        <f t="array" aca="1" ref="K744" ca="1">INDIRECT(_xlfn.CONCAT("A",$Q744))</f>
        <v>connection_phase</v>
      </c>
      <c r="L744" t="str" cm="1">
        <f t="array" aca="1" ref="L744" ca="1">INDIRECT(_xlfn.CONCAT("B",$Q744))</f>
        <v>SPVA_CERTMON</v>
      </c>
      <c r="M744" cm="1">
        <f t="array" aca="1" ref="M744" ca="1">INDIRECT(_xlfn.CONCAT("C",$Q744))</f>
        <v>43</v>
      </c>
      <c r="N744" t="str" cm="1">
        <f t="array" aca="1" ref="N744" ca="1">INDIRECT(_xlfn.CONCAT("D",$Q744))</f>
        <v>validation</v>
      </c>
      <c r="O744" cm="1">
        <f t="array" aca="1" ref="O744" ca="1">INDIRECT(_xlfn.CONCAT("E",$Q744))</f>
        <v>533</v>
      </c>
      <c r="Q744">
        <v>714</v>
      </c>
    </row>
    <row r="745" spans="1:17">
      <c r="A745" t="s">
        <v>97</v>
      </c>
      <c r="B745" t="s">
        <v>10</v>
      </c>
      <c r="C745">
        <v>49</v>
      </c>
      <c r="D745" t="s">
        <v>101</v>
      </c>
      <c r="E745">
        <v>15472</v>
      </c>
      <c r="K745" t="str" cm="1">
        <f t="array" aca="1" ref="K745" ca="1">INDIRECT(_xlfn.CONCAT("A",$Q745))</f>
        <v>connection_phase</v>
      </c>
      <c r="L745" t="str" cm="1">
        <f t="array" aca="1" ref="L745" ca="1">INDIRECT(_xlfn.CONCAT("B",$Q745))</f>
        <v>SPVA_CERTMON</v>
      </c>
      <c r="M745" cm="1">
        <f t="array" aca="1" ref="M745" ca="1">INDIRECT(_xlfn.CONCAT("C",$Q745))</f>
        <v>44</v>
      </c>
      <c r="N745" t="str" cm="1">
        <f t="array" aca="1" ref="N745" ca="1">INDIRECT(_xlfn.CONCAT("D",$Q745))</f>
        <v>validation</v>
      </c>
      <c r="O745" cm="1">
        <f t="array" aca="1" ref="O745" ca="1">INDIRECT(_xlfn.CONCAT("E",$Q745))</f>
        <v>2051</v>
      </c>
      <c r="Q745">
        <v>719</v>
      </c>
    </row>
    <row r="746" spans="1:17">
      <c r="A746" t="s">
        <v>97</v>
      </c>
      <c r="B746" t="s">
        <v>10</v>
      </c>
      <c r="C746">
        <v>49</v>
      </c>
      <c r="D746" t="s">
        <v>102</v>
      </c>
      <c r="E746">
        <v>29735</v>
      </c>
      <c r="K746" t="str" cm="1">
        <f t="array" aca="1" ref="K746" ca="1">INDIRECT(_xlfn.CONCAT("A",$Q746))</f>
        <v>connection_phase</v>
      </c>
      <c r="L746" t="str" cm="1">
        <f t="array" aca="1" ref="L746" ca="1">INDIRECT(_xlfn.CONCAT("B",$Q746))</f>
        <v>SPVA_CERTMON</v>
      </c>
      <c r="M746" cm="1">
        <f t="array" aca="1" ref="M746" ca="1">INDIRECT(_xlfn.CONCAT("C",$Q746))</f>
        <v>45</v>
      </c>
      <c r="N746" t="str" cm="1">
        <f t="array" aca="1" ref="N746" ca="1">INDIRECT(_xlfn.CONCAT("D",$Q746))</f>
        <v>validation</v>
      </c>
      <c r="O746" cm="1">
        <f t="array" aca="1" ref="O746" ca="1">INDIRECT(_xlfn.CONCAT("E",$Q746))</f>
        <v>1342</v>
      </c>
      <c r="Q746">
        <v>724</v>
      </c>
    </row>
    <row r="747" spans="1:17">
      <c r="A747" t="s">
        <v>97</v>
      </c>
      <c r="B747" t="s">
        <v>10</v>
      </c>
      <c r="C747">
        <v>50</v>
      </c>
      <c r="D747" t="s">
        <v>98</v>
      </c>
      <c r="E747">
        <v>4281</v>
      </c>
      <c r="K747" t="str" cm="1">
        <f t="array" aca="1" ref="K747" ca="1">INDIRECT(_xlfn.CONCAT("A",$Q747))</f>
        <v>connection_phase</v>
      </c>
      <c r="L747" t="str" cm="1">
        <f t="array" aca="1" ref="L747" ca="1">INDIRECT(_xlfn.CONCAT("B",$Q747))</f>
        <v>SPVA_CERTMON</v>
      </c>
      <c r="M747" cm="1">
        <f t="array" aca="1" ref="M747" ca="1">INDIRECT(_xlfn.CONCAT("C",$Q747))</f>
        <v>46</v>
      </c>
      <c r="N747" t="str" cm="1">
        <f t="array" aca="1" ref="N747" ca="1">INDIRECT(_xlfn.CONCAT("D",$Q747))</f>
        <v>validation</v>
      </c>
      <c r="O747" cm="1">
        <f t="array" aca="1" ref="O747" ca="1">INDIRECT(_xlfn.CONCAT("E",$Q747))</f>
        <v>445</v>
      </c>
      <c r="Q747">
        <v>729</v>
      </c>
    </row>
    <row r="748" spans="1:17">
      <c r="A748" t="s">
        <v>97</v>
      </c>
      <c r="B748" t="s">
        <v>10</v>
      </c>
      <c r="C748">
        <v>50</v>
      </c>
      <c r="D748" t="s">
        <v>99</v>
      </c>
      <c r="E748">
        <v>12679</v>
      </c>
      <c r="K748" t="str" cm="1">
        <f t="array" aca="1" ref="K748" ca="1">INDIRECT(_xlfn.CONCAT("A",$Q748))</f>
        <v>connection_phase</v>
      </c>
      <c r="L748" t="str" cm="1">
        <f t="array" aca="1" ref="L748" ca="1">INDIRECT(_xlfn.CONCAT("B",$Q748))</f>
        <v>SPVA_CERTMON</v>
      </c>
      <c r="M748" cm="1">
        <f t="array" aca="1" ref="M748" ca="1">INDIRECT(_xlfn.CONCAT("C",$Q748))</f>
        <v>47</v>
      </c>
      <c r="N748" t="str" cm="1">
        <f t="array" aca="1" ref="N748" ca="1">INDIRECT(_xlfn.CONCAT("D",$Q748))</f>
        <v>validation</v>
      </c>
      <c r="O748" cm="1">
        <f t="array" aca="1" ref="O748" ca="1">INDIRECT(_xlfn.CONCAT("E",$Q748))</f>
        <v>730</v>
      </c>
      <c r="Q748">
        <v>734</v>
      </c>
    </row>
    <row r="749" spans="1:17">
      <c r="A749" t="s">
        <v>97</v>
      </c>
      <c r="B749" t="s">
        <v>10</v>
      </c>
      <c r="C749">
        <v>50</v>
      </c>
      <c r="D749" t="s">
        <v>100</v>
      </c>
      <c r="E749">
        <v>861</v>
      </c>
      <c r="K749" t="str" cm="1">
        <f t="array" aca="1" ref="K749" ca="1">INDIRECT(_xlfn.CONCAT("A",$Q749))</f>
        <v>connection_phase</v>
      </c>
      <c r="L749" t="str" cm="1">
        <f t="array" aca="1" ref="L749" ca="1">INDIRECT(_xlfn.CONCAT("B",$Q749))</f>
        <v>SPVA_CERTMON</v>
      </c>
      <c r="M749" cm="1">
        <f t="array" aca="1" ref="M749" ca="1">INDIRECT(_xlfn.CONCAT("C",$Q749))</f>
        <v>48</v>
      </c>
      <c r="N749" t="str" cm="1">
        <f t="array" aca="1" ref="N749" ca="1">INDIRECT(_xlfn.CONCAT("D",$Q749))</f>
        <v>validation</v>
      </c>
      <c r="O749" cm="1">
        <f t="array" aca="1" ref="O749" ca="1">INDIRECT(_xlfn.CONCAT("E",$Q749))</f>
        <v>757</v>
      </c>
      <c r="Q749">
        <v>739</v>
      </c>
    </row>
    <row r="750" spans="1:17">
      <c r="A750" t="s">
        <v>97</v>
      </c>
      <c r="B750" t="s">
        <v>10</v>
      </c>
      <c r="C750">
        <v>50</v>
      </c>
      <c r="D750" t="s">
        <v>101</v>
      </c>
      <c r="E750">
        <v>13356</v>
      </c>
      <c r="K750" t="str" cm="1">
        <f t="array" aca="1" ref="K750" ca="1">INDIRECT(_xlfn.CONCAT("A",$Q750))</f>
        <v>connection_phase</v>
      </c>
      <c r="L750" t="str" cm="1">
        <f t="array" aca="1" ref="L750" ca="1">INDIRECT(_xlfn.CONCAT("B",$Q750))</f>
        <v>SPVA_CERTMON</v>
      </c>
      <c r="M750" cm="1">
        <f t="array" aca="1" ref="M750" ca="1">INDIRECT(_xlfn.CONCAT("C",$Q750))</f>
        <v>49</v>
      </c>
      <c r="N750" t="str" cm="1">
        <f t="array" aca="1" ref="N750" ca="1">INDIRECT(_xlfn.CONCAT("D",$Q750))</f>
        <v>validation</v>
      </c>
      <c r="O750" cm="1">
        <f t="array" aca="1" ref="O750" ca="1">INDIRECT(_xlfn.CONCAT("E",$Q750))</f>
        <v>856</v>
      </c>
      <c r="Q750">
        <v>744</v>
      </c>
    </row>
    <row r="751" spans="1:17">
      <c r="A751" t="s">
        <v>97</v>
      </c>
      <c r="B751" t="s">
        <v>10</v>
      </c>
      <c r="C751">
        <v>50</v>
      </c>
      <c r="D751" t="s">
        <v>102</v>
      </c>
      <c r="E751">
        <v>31177</v>
      </c>
      <c r="K751" t="str" cm="1">
        <f t="array" aca="1" ref="K751" ca="1">INDIRECT(_xlfn.CONCAT("A",$Q751))</f>
        <v>connection_phase</v>
      </c>
      <c r="L751" t="str" cm="1">
        <f t="array" aca="1" ref="L751" ca="1">INDIRECT(_xlfn.CONCAT("B",$Q751))</f>
        <v>SPVA_CERTMON</v>
      </c>
      <c r="M751" cm="1">
        <f t="array" aca="1" ref="M751" ca="1">INDIRECT(_xlfn.CONCAT("C",$Q751))</f>
        <v>50</v>
      </c>
      <c r="N751" t="str" cm="1">
        <f t="array" aca="1" ref="N751" ca="1">INDIRECT(_xlfn.CONCAT("D",$Q751))</f>
        <v>validation</v>
      </c>
      <c r="O751" cm="1">
        <f t="array" aca="1" ref="O751" ca="1">INDIRECT(_xlfn.CONCAT("E",$Q751))</f>
        <v>861</v>
      </c>
      <c r="Q751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charts</vt:lpstr>
      <vt:lpstr>3d charts</vt:lpstr>
      <vt:lpstr>Connection Phase Timing</vt:lpstr>
      <vt:lpstr>seq</vt:lpstr>
      <vt:lpstr>par</vt:lpstr>
      <vt:lpstr>all</vt:lpstr>
      <vt:lpstr>Throughput Summary</vt:lpstr>
      <vt:lpstr>csv</vt:lpstr>
      <vt:lpstr>csv_phase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McIntyre</dc:creator>
  <cp:lastModifiedBy>George McIntyre</cp:lastModifiedBy>
  <dcterms:created xsi:type="dcterms:W3CDTF">2026-03-02T19:58:21Z</dcterms:created>
  <dcterms:modified xsi:type="dcterms:W3CDTF">2026-03-07T07:50:00Z</dcterms:modified>
</cp:coreProperties>
</file>